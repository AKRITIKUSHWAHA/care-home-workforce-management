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urshaKrishan\Desktop\Tracker\"/>
    </mc:Choice>
  </mc:AlternateContent>
  <xr:revisionPtr revIDLastSave="0" documentId="8_{9B131B5D-5ACC-4031-88A5-0594F0A0B28C}" xr6:coauthVersionLast="47" xr6:coauthVersionMax="47" xr10:uidLastSave="{00000000-0000-0000-0000-000000000000}"/>
  <bookViews>
    <workbookView xWindow="-110" yWindow="-110" windowWidth="19420" windowHeight="11500" activeTab="2" xr2:uid="{00000000-000D-0000-FFFF-FFFF00000000}"/>
  </bookViews>
  <sheets>
    <sheet name="CQC Summary Report" sheetId="1" r:id="rId1"/>
    <sheet name="Master Action Plan" sheetId="2" r:id="rId2"/>
    <sheet name="Regulation Tracker" sheetId="3" r:id="rId3"/>
    <sheet name="Evidence Tracker" sheetId="4" state="hidden" r:id="rId4"/>
    <sheet name="List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2" l="1"/>
  <c r="G10" i="3"/>
  <c r="E10" i="3"/>
  <c r="D10" i="3"/>
  <c r="C10" i="3"/>
  <c r="G9" i="3"/>
  <c r="E9" i="3"/>
  <c r="D9" i="3"/>
  <c r="C9" i="3"/>
  <c r="G8" i="3"/>
  <c r="E8" i="3"/>
  <c r="D8" i="3"/>
  <c r="C8" i="3"/>
  <c r="G7" i="3"/>
  <c r="E7" i="3"/>
  <c r="D7" i="3"/>
  <c r="C7" i="3"/>
  <c r="G6" i="3"/>
  <c r="E6" i="3"/>
  <c r="D6" i="3"/>
  <c r="C6" i="3"/>
  <c r="G5" i="3"/>
  <c r="E5" i="3"/>
  <c r="D5" i="3"/>
  <c r="C5" i="3"/>
  <c r="G4" i="3"/>
  <c r="E4" i="3"/>
  <c r="D4" i="3"/>
  <c r="C4" i="3"/>
  <c r="G3" i="3"/>
  <c r="E3" i="3"/>
  <c r="D3" i="3"/>
  <c r="C3" i="3"/>
  <c r="G2" i="3"/>
  <c r="E2" i="3"/>
  <c r="D2" i="3"/>
  <c r="C2" i="3"/>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4" i="2"/>
  <c r="N3" i="2"/>
  <c r="N2" i="2"/>
  <c r="J21" i="1"/>
  <c r="B21" i="1"/>
  <c r="A21" i="1"/>
  <c r="J20" i="1"/>
  <c r="B20" i="1"/>
  <c r="A20" i="1"/>
  <c r="J19" i="1"/>
  <c r="B19" i="1"/>
  <c r="A19" i="1"/>
  <c r="J18" i="1"/>
  <c r="B18" i="1"/>
  <c r="A18" i="1"/>
  <c r="J17" i="1"/>
  <c r="B17" i="1"/>
  <c r="A17" i="1"/>
  <c r="J16" i="1"/>
  <c r="B16" i="1"/>
  <c r="A16" i="1"/>
  <c r="J15" i="1"/>
  <c r="B15" i="1"/>
  <c r="A15" i="1"/>
  <c r="J14" i="1"/>
  <c r="B14" i="1"/>
  <c r="A14" i="1"/>
  <c r="J13" i="1"/>
  <c r="B13" i="1"/>
  <c r="A13" i="1"/>
  <c r="B9" i="1"/>
  <c r="B7" i="1"/>
  <c r="B5" i="1"/>
  <c r="H8" i="3" l="1"/>
  <c r="B3" i="1"/>
  <c r="H10" i="3"/>
  <c r="I10" i="3" s="1"/>
  <c r="F10" i="3"/>
  <c r="H9" i="3"/>
  <c r="F9" i="3"/>
  <c r="F20" i="1" s="1"/>
  <c r="H6" i="3"/>
  <c r="H5" i="3"/>
  <c r="F8" i="3"/>
  <c r="H7" i="3"/>
  <c r="I7" i="3" s="1"/>
  <c r="F7" i="3"/>
  <c r="F6" i="3"/>
  <c r="F17" i="1" s="1"/>
  <c r="F5" i="3"/>
  <c r="F16" i="1" s="1"/>
  <c r="H4" i="3"/>
  <c r="F4" i="3"/>
  <c r="F15" i="1" s="1"/>
  <c r="F2" i="3"/>
  <c r="F13" i="1" s="1"/>
  <c r="H2" i="3"/>
  <c r="H3" i="3"/>
  <c r="F3" i="3"/>
  <c r="F14" i="1" s="1"/>
  <c r="G20" i="1"/>
  <c r="E20" i="1"/>
  <c r="D20" i="1"/>
  <c r="C20" i="1"/>
  <c r="G17" i="1"/>
  <c r="E17" i="1"/>
  <c r="D17" i="1"/>
  <c r="C17" i="1"/>
  <c r="G16" i="1"/>
  <c r="E16" i="1"/>
  <c r="D16" i="1"/>
  <c r="C16" i="1"/>
  <c r="G15" i="1"/>
  <c r="E15" i="1"/>
  <c r="D15" i="1"/>
  <c r="C15" i="1"/>
  <c r="G14" i="1"/>
  <c r="E14" i="1"/>
  <c r="D14" i="1"/>
  <c r="C14" i="1"/>
  <c r="G13" i="1"/>
  <c r="E13" i="1"/>
  <c r="D13" i="1"/>
  <c r="C13" i="1"/>
  <c r="I8" i="3" l="1"/>
  <c r="B10" i="1"/>
  <c r="I9" i="3"/>
  <c r="I20" i="1" s="1"/>
  <c r="H20" i="1"/>
  <c r="I6" i="3"/>
  <c r="I17" i="1" s="1"/>
  <c r="H17" i="1"/>
  <c r="I5" i="3"/>
  <c r="I16" i="1" s="1"/>
  <c r="H16" i="1"/>
  <c r="I4" i="3"/>
  <c r="I15" i="1" s="1"/>
  <c r="H15" i="1"/>
  <c r="I2" i="3"/>
  <c r="I13" i="1" s="1"/>
  <c r="H13" i="1"/>
  <c r="I3" i="3"/>
  <c r="I14" i="1" s="1"/>
  <c r="H14" i="1"/>
</calcChain>
</file>

<file path=xl/sharedStrings.xml><?xml version="1.0" encoding="utf-8"?>
<sst xmlns="http://schemas.openxmlformats.org/spreadsheetml/2006/main" count="2181" uniqueCount="596">
  <si>
    <t>Swan Care Home – CQC Regulatory Action Plan Summary</t>
  </si>
  <si>
    <t>Overall Compliance</t>
  </si>
  <si>
    <t>Total Actions</t>
  </si>
  <si>
    <t>Completed / Verified</t>
  </si>
  <si>
    <t>Outstanding</t>
  </si>
  <si>
    <t>Overdue</t>
  </si>
  <si>
    <t>Critical Actions</t>
  </si>
  <si>
    <t>Evidence Verified</t>
  </si>
  <si>
    <t>Overall RAG</t>
  </si>
  <si>
    <t>Regulation</t>
  </si>
  <si>
    <t>Purpose / Area</t>
  </si>
  <si>
    <t>Completed</t>
  </si>
  <si>
    <t>Verified</t>
  </si>
  <si>
    <t>Compliance %</t>
  </si>
  <si>
    <t>Comments</t>
  </si>
  <si>
    <t>Red</t>
  </si>
  <si>
    <t>Management Comments / CQC Update</t>
  </si>
  <si>
    <t>Use this section for a concise weekly update to CQC/commissioners. This workbook is not a 10-day recovery plan; it is an ongoing regulatory action plan with evidence tracking, RAG status and verification.</t>
  </si>
  <si>
    <t>Action ID</t>
  </si>
  <si>
    <t>Key Question</t>
  </si>
  <si>
    <t>CQC Concern / Finding</t>
  </si>
  <si>
    <t>Root Cause</t>
  </si>
  <si>
    <t>Immediate Corrective Action</t>
  </si>
  <si>
    <t>Sustainable Preventative Action</t>
  </si>
  <si>
    <t>Responsible Person</t>
  </si>
  <si>
    <t>Priority</t>
  </si>
  <si>
    <t>Start Date</t>
  </si>
  <si>
    <t>Target Date</t>
  </si>
  <si>
    <t>Completion Date</t>
  </si>
  <si>
    <t>Status</t>
  </si>
  <si>
    <t>Auto RAG</t>
  </si>
  <si>
    <t>Evidence Required</t>
  </si>
  <si>
    <t>Evidence Ref</t>
  </si>
  <si>
    <t>Evidence Verified?</t>
  </si>
  <si>
    <t>Verified By</t>
  </si>
  <si>
    <t>Verification Date</t>
  </si>
  <si>
    <t>CQC / NOP Reference</t>
  </si>
  <si>
    <t>A001</t>
  </si>
  <si>
    <t>Reg 9</t>
  </si>
  <si>
    <t>Responsive</t>
  </si>
  <si>
    <t>Care plans are generic and not sufficiently person-centred</t>
  </si>
  <si>
    <t>Care planning system did not evidence individualised assessment and review</t>
  </si>
  <si>
    <t>Review and rewrite affected care plans with specific resident guidance
Immediate review completed. Governance systems strengthened, audits implemented, leadership oversight increased, policies reviewed, environmental improvements commenced, staff training programme implemented and risks escalated where required.</t>
  </si>
  <si>
    <t>Monthly person-centred care plan audit and resident/family review cycle
Embed improvements through monthly governance meetings, audit programme, compliance calendar, competency assessments, supervisions, provider oversight, mock inspections, continuous quality improvement, mandatory e-learning and face-to-face competency training (w/c 6 July 2026).</t>
  </si>
  <si>
    <t>JM Training and consultancy/Nominated Individual/Manager</t>
  </si>
  <si>
    <t>High</t>
  </si>
  <si>
    <t>In Progress</t>
  </si>
  <si>
    <t>Updated care plan, review sheet, family/professional involvement record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</si>
  <si>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GW; MAP; AW1; AW2; CC; FCW; CS; DT; HAW; TM; PF; RAP; FP; NRT</t>
  </si>
  <si>
    <t>No</t>
  </si>
  <si>
    <t>NoP Reg 9</t>
  </si>
  <si>
    <t>A002</t>
  </si>
  <si>
    <t>Behaviour support plans do not explain individual triggers and calming approaches</t>
  </si>
  <si>
    <t>Registered Manager</t>
  </si>
  <si>
    <t>A003</t>
  </si>
  <si>
    <t>End-of-life care plans lack holistic comfort, dignity and symptom support</t>
  </si>
  <si>
    <t>A004</t>
  </si>
  <si>
    <t>Activities are not meaningful or based on life history, culture, preferences or abilities</t>
  </si>
  <si>
    <t>New resident tracker 2026
GW; MAP; AW1; AW2; CC; FCW; CS; DT; HAW; TM; PF; RAP; FP; NRT</t>
  </si>
  <si>
    <t>A005</t>
  </si>
  <si>
    <t>Television/passive activity is being recorded as meaningful engagement</t>
  </si>
  <si>
    <t>Not Started</t>
  </si>
  <si>
    <t>A006</t>
  </si>
  <si>
    <t>Care plan reviews are not triangulated with daily notes, incidents, MAR, risk assessments and family feedback</t>
  </si>
  <si>
    <t>A007</t>
  </si>
  <si>
    <t>Resident preferences for personal care, routines and independence are not clearly recorded</t>
  </si>
  <si>
    <t>A008</t>
  </si>
  <si>
    <t>Care plan updates are not consistently shared with staff via handover/allocation</t>
  </si>
  <si>
    <t>A009</t>
  </si>
  <si>
    <t>Resident/family signatures or consultation records are missing</t>
  </si>
  <si>
    <t>A010</t>
  </si>
  <si>
    <t>Professional advice is not always embedded into the care plan</t>
  </si>
  <si>
    <t>A011</t>
  </si>
  <si>
    <t>Reg 10</t>
  </si>
  <si>
    <t>Caring</t>
  </si>
  <si>
    <t>Undignified or judgemental language used in records</t>
  </si>
  <si>
    <t>Recording and practice culture did not consistently embed dignity standards</t>
  </si>
  <si>
    <t>Remove undignified wording and complete staff briefing
Immediate review completed. Governance systems strengthened, audits implemented, leadership oversight increased, policies reviewed, environmental improvements commenced, staff training programme implemented and risks escalated where required.</t>
  </si>
  <si>
    <t>Monthly dignity audit, spot checks and reflective learning
Embed improvements through monthly governance meetings, audit programme, compliance calendar, competency assessments, supervisions, provider oversight, mock inspections, continuous quality improvement, mandatory e-learning and face-to-face competency training (w/c 6 July 2026).</t>
  </si>
  <si>
    <t>Dignity audit, revised records, staff briefing, observation record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</si>
  <si>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NoP Reg 10</t>
  </si>
  <si>
    <t>A012</t>
  </si>
  <si>
    <t>Continence care discussed in shared spaces</t>
  </si>
  <si>
    <t>A013</t>
  </si>
  <si>
    <t>Infantilising continence items visible to visitors</t>
  </si>
  <si>
    <t>A014</t>
  </si>
  <si>
    <t>Staff require dignity and respectful communication refresher</t>
  </si>
  <si>
    <t>A015</t>
  </si>
  <si>
    <t>Leadership observations did not consistently identify poor dignity practice</t>
  </si>
  <si>
    <t>A016</t>
  </si>
  <si>
    <t>Care records refer to behaviours without explaining unmet need or distress</t>
  </si>
  <si>
    <t>A017</t>
  </si>
  <si>
    <t>Personal care language does not reflect empathy and dignity</t>
  </si>
  <si>
    <t>A018</t>
  </si>
  <si>
    <t>Dignity audit failed to identify issues found by inspectors</t>
  </si>
  <si>
    <t>A019</t>
  </si>
  <si>
    <t>Staff require observed competency in privacy and dignity</t>
  </si>
  <si>
    <t>A020</t>
  </si>
  <si>
    <t>Resident dignity themes are not reviewed at governance meetings</t>
  </si>
  <si>
    <t>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</si>
  <si>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A021</t>
  </si>
  <si>
    <t>Reg 11</t>
  </si>
  <si>
    <t>Effective</t>
  </si>
  <si>
    <t>CCTV consent and best-interest decision not evidenced</t>
  </si>
  <si>
    <t>MCA process not consistently decision-specific or evidenced</t>
  </si>
  <si>
    <t>Complete MCA tracker and urgent decision-specific assessments
Immediate review completed. Governance systems strengthened, audits implemented, leadership oversight increased, policies reviewed, environmental improvements commenced, staff training programme implemented and risks escalated where required.</t>
  </si>
  <si>
    <t>Quarterly MCA audit and restrictive practice review
Embed improvements through monthly governance meetings, audit programme, compliance calendar, competency assessments, supervisions, provider oversight, mock inspections, continuous quality improvement, mandatory e-learning and face-to-face competency training (w/c 6 July 2026).</t>
  </si>
  <si>
    <t>Critical</t>
  </si>
  <si>
    <t>MCA, best-interest record, consultation record, care plan update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</si>
  <si>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NoP Reg 11</t>
  </si>
  <si>
    <t>A022</t>
  </si>
  <si>
    <t>Decision-specific MCA assessments missing or incomplete</t>
  </si>
  <si>
    <t>A023</t>
  </si>
  <si>
    <t>Best-interest records not completed where capacity is lacking</t>
  </si>
  <si>
    <t>A024</t>
  </si>
  <si>
    <t>Restrictive practice not clearly justified or reviewed</t>
  </si>
  <si>
    <t>A025</t>
  </si>
  <si>
    <t>Covert medication MCA/best-interest records inconsistent</t>
  </si>
  <si>
    <t>A026</t>
  </si>
  <si>
    <t>Consent around refusal of treatment/lifesaving intervention not clearly recorded</t>
  </si>
  <si>
    <t>A027</t>
  </si>
  <si>
    <t>Capacity assessments are generic and not decision-specific</t>
  </si>
  <si>
    <t>A028</t>
  </si>
  <si>
    <t>Family/representative consultation not consistently evidenced</t>
  </si>
  <si>
    <t>A029</t>
  </si>
  <si>
    <t>Care plans not updated following MCA or best-interest decisions</t>
  </si>
  <si>
    <t>A030</t>
  </si>
  <si>
    <t>Staff need MCA and consent competency checks</t>
  </si>
  <si>
    <t>A031</t>
  </si>
  <si>
    <t>Reg 12</t>
  </si>
  <si>
    <t>Safe</t>
  </si>
  <si>
    <t>Fire evacuation strategy requires clear horizontal evacuation procedure</t>
  </si>
  <si>
    <t>Risk assessment, monitoring and governance systems did not sufficiently prevent avoidable risk</t>
  </si>
  <si>
    <t>Complete immediate safety review and rectify current risk
Immediate review completed. Governance systems strengthened, audits implemented, leadership oversight increased, policies reviewed, environmental improvements commenced, staff training programme implemented and risks escalated where required.</t>
  </si>
  <si>
    <t>Daily safety huddle, weekly risk audit and monthly governance reporting
Embed improvements through monthly governance meetings, audit programme, compliance calendar, competency assessments, supervisions, provider oversight, mock inspections, continuous quality improvement, mandatory e-learning and face-to-face competency training (w/c 6 July 2026).</t>
  </si>
  <si>
    <t>Risk assessment, audit, training, professional advice, photographs where applicable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</si>
  <si>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NoP Reg 12</t>
  </si>
  <si>
    <t>A032</t>
  </si>
  <si>
    <t>PEEPs inaccurate or not resident-specific</t>
  </si>
  <si>
    <t>A033</t>
  </si>
  <si>
    <t>Fire drill records do not evidence realistic evacuation practice</t>
  </si>
  <si>
    <t>A034</t>
  </si>
  <si>
    <t>Night staffing not aligned with fire evacuation and dependency risks</t>
  </si>
  <si>
    <t>A035</t>
  </si>
  <si>
    <t>Fire grab bag and resident list require monthly accuracy checks or as of when there is a need to do so</t>
  </si>
  <si>
    <t>A036</t>
  </si>
  <si>
    <t>Emollient/fire risk not embedded into PEEPs</t>
  </si>
  <si>
    <t>A037</t>
  </si>
  <si>
    <t>Mobility risk assessments contradictory or unclear</t>
  </si>
  <si>
    <t>A038</t>
  </si>
  <si>
    <t>Repositioning frequency not clearly stated in care plans</t>
  </si>
  <si>
    <t>A039</t>
  </si>
  <si>
    <t>Repositioning charts have gaps and require daily manager checks</t>
  </si>
  <si>
    <t>A040</t>
  </si>
  <si>
    <t>Fluid targets and escalation thresholds missing</t>
  </si>
  <si>
    <t>A041</t>
  </si>
  <si>
    <t>Pressure mattress settings and checks not consistently recorded</t>
  </si>
  <si>
    <t>A042</t>
  </si>
  <si>
    <t>Choking risk assessment and de-choker training not evidenced</t>
  </si>
  <si>
    <t>A043</t>
  </si>
  <si>
    <t>Medication allergies inconsistent across MAR/profile/GP records</t>
  </si>
  <si>
    <t>A044</t>
  </si>
  <si>
    <t>PRN protocols lack clear instructions and escalation</t>
  </si>
  <si>
    <t>A045</t>
  </si>
  <si>
    <t>Medication administration error learning not fully embedded</t>
  </si>
  <si>
    <t>A046</t>
  </si>
  <si>
    <t>IPC storage risks identified in communal bathrooms/kitchen</t>
  </si>
  <si>
    <t>A047</t>
  </si>
  <si>
    <t>Food hygiene training gaps for staff involved in food preparation</t>
  </si>
  <si>
    <t>A048</t>
  </si>
  <si>
    <t>Cleaning schedules require clear check/sign-off and missed-action process</t>
  </si>
  <si>
    <t>A049</t>
  </si>
  <si>
    <t>Equipment cleaning checks needed for hoists, bathroom hoists, rotunda and wheelchairs</t>
  </si>
  <si>
    <t>A050</t>
  </si>
  <si>
    <t>Environmental safety walkround must identify and close hazards</t>
  </si>
  <si>
    <t>A051</t>
  </si>
  <si>
    <t>Falls risk assessments require triangulation with incident records</t>
  </si>
  <si>
    <t>A052</t>
  </si>
  <si>
    <t>Professional escalation for deterioration not consistently evidenced</t>
  </si>
  <si>
    <t>A053</t>
  </si>
  <si>
    <t>Reg 13</t>
  </si>
  <si>
    <t>Safeguarding concerns not consistently identified and escalated</t>
  </si>
  <si>
    <t>Safeguarding governance did not consistently evidence learning, escalation and prevention</t>
  </si>
  <si>
    <t>Create safeguarding tracker and review all recent incidents/concerns
Immediate review completed. Governance systems strengthened, audits implemented, leadership oversight increased, policies reviewed, environmental improvements commenced, staff training programme implemented and risks escalated where required.</t>
  </si>
  <si>
    <t>Monthly safeguarding governance review and lessons-learned cycle
Embed improvements through monthly governance meetings, audit programme, compliance calendar, competency assessments, supervisions, provider oversight, mock inspections, continuous quality improvement, mandatory e-learning and face-to-face competency training (w/c 6 July 2026).</t>
  </si>
  <si>
    <t>Safeguarding Lead</t>
  </si>
  <si>
    <t>Safeguarding tracker, referral records, minutes, lessons learnt log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</si>
  <si>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NoP Reg 13</t>
  </si>
  <si>
    <t>A054</t>
  </si>
  <si>
    <t>Incidents are not consistently reviewed for patterns and learning</t>
  </si>
  <si>
    <t>A055</t>
  </si>
  <si>
    <t>Lessons learned not embedded into care plans and staff practice</t>
  </si>
  <si>
    <t>A056</t>
  </si>
  <si>
    <t>CQC notifications tracker required</t>
  </si>
  <si>
    <t>A057</t>
  </si>
  <si>
    <t>Complaints and informal concerns need central trend review</t>
  </si>
  <si>
    <t>A058</t>
  </si>
  <si>
    <t>Safeguarding meeting minutes and actions need clear ownership</t>
  </si>
  <si>
    <t>A059</t>
  </si>
  <si>
    <t>Staff need safeguarding escalation refresher</t>
  </si>
  <si>
    <t>A060</t>
  </si>
  <si>
    <t>Organisational safeguarding themes need provider oversight</t>
  </si>
  <si>
    <t>A061</t>
  </si>
  <si>
    <t>Reg 15</t>
  </si>
  <si>
    <t>Premises maintenance issues require prioritised action tracker</t>
  </si>
  <si>
    <t>Premises and equipment assurance not sufficiently evidenced in one controlled system</t>
  </si>
  <si>
    <t>Complete premises/equipment audit and priority tracker
Immediate review completed. Governance systems strengthened, audits implemented, leadership oversight increased, policies reviewed, environmental improvements commenced, staff training programme implemented and risks escalated where required.</t>
  </si>
  <si>
    <t>Monthly premises governance review with evidence photos
Embed improvements through monthly governance meetings, audit programme, compliance calendar, competency assessments, supervisions, provider oversight, mock inspections, continuous quality improvement, mandatory e-learning and face-to-face competency training (w/c 6 July 2026).</t>
  </si>
  <si>
    <t>Maintenance Lead</t>
  </si>
  <si>
    <t>Premises audit, maintenance log, certificates, photographs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</si>
  <si>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Action Plan Reg 15</t>
  </si>
  <si>
    <t>A062</t>
  </si>
  <si>
    <t>Environment must support effective cleaning and infection control</t>
  </si>
  <si>
    <t>A063</t>
  </si>
  <si>
    <t>Fire doors and compartmentation works require evidence tracker</t>
  </si>
  <si>
    <t>A064</t>
  </si>
  <si>
    <t>Emergency lighting/fire equipment checks require evidence control</t>
  </si>
  <si>
    <t>A065</t>
  </si>
  <si>
    <t>Bathrooms, toilets and communal areas require environmental audit</t>
  </si>
  <si>
    <t>A066</t>
  </si>
  <si>
    <t>Equipment safety checks required for hoists, bathroom hoists, rotunda and wheelchairs</t>
  </si>
  <si>
    <t>A067</t>
  </si>
  <si>
    <t>Maintenance log must include owner, target date and completion evidence</t>
  </si>
  <si>
    <t>A068</t>
  </si>
  <si>
    <t>Photographic evidence required for environmental improvements</t>
  </si>
  <si>
    <t>A069</t>
  </si>
  <si>
    <t>Reg 17</t>
  </si>
  <si>
    <t>Well-led</t>
  </si>
  <si>
    <t>Governance systems failed to identify repeated shortfalls</t>
  </si>
  <si>
    <t>Quality assurance system did not provide effective oversight, challenge and closure</t>
  </si>
  <si>
    <t>Implement single master action plan linked to regulation and evidence
Immediate review completed. Governance systems strengthened, audits implemented, leadership oversight increased, policies reviewed, environmental improvements commenced, staff training programme implemented and risks escalated where required.</t>
  </si>
  <si>
    <t>Monthly governance cycle with provider sign-off, trend analysis and audit review
Embed improvements through monthly governance meetings, audit programme, compliance calendar, competency assessments, supervisions, provider oversight, mock inspections, continuous quality improvement, mandatory e-learning and face-to-face competency training (w/c 6 July 2026).</t>
  </si>
  <si>
    <t>Provider / Registered Manager</t>
  </si>
  <si>
    <t>Governance minutes, dashboards, RCA, audit reports, signed reviews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</si>
  <si>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NoP Reg 17</t>
  </si>
  <si>
    <t>A070</t>
  </si>
  <si>
    <t>Audits did not lead to effective action and closure</t>
  </si>
  <si>
    <t>A071</t>
  </si>
  <si>
    <t>Provider oversight and verification not sufficiently evidenced</t>
  </si>
  <si>
    <t>A072</t>
  </si>
  <si>
    <t>Evidence is scattered and not linked to each CQC concern</t>
  </si>
  <si>
    <t>A073</t>
  </si>
  <si>
    <t>Root cause analysis missing for repeated issues</t>
  </si>
  <si>
    <t>A074</t>
  </si>
  <si>
    <t>Trend analysis required across incidents, audits, complaints and safeguarding</t>
  </si>
  <si>
    <t>A075</t>
  </si>
  <si>
    <t>Daily management oversight form required</t>
  </si>
  <si>
    <t>A076</t>
  </si>
  <si>
    <t>Regulatory evidence index required</t>
  </si>
  <si>
    <t>A077</t>
  </si>
  <si>
    <t>Action plan needs clear owner, target date, completion date and verification</t>
  </si>
  <si>
    <t>A078</t>
  </si>
  <si>
    <t>Monthly governance report needed for CQC/ECC/board assurance</t>
  </si>
  <si>
    <t>A079</t>
  </si>
  <si>
    <t>Reg 18</t>
  </si>
  <si>
    <t>Staffing levels must be based on dependency and risk</t>
  </si>
  <si>
    <t>Staff deployment, training and competency evidence not sufficiently robust</t>
  </si>
  <si>
    <t>Update staffing/dependency review and training matrix
Immediate review completed. Governance systems strengthened, audits implemented, leadership oversight increased, policies reviewed, environmental improvements commenced, staff training programme implemented and risks escalated where required.</t>
  </si>
  <si>
    <t>Monthly staffing review, supervision cycle and competency programme
Embed improvements through monthly governance meetings, audit programme, compliance calendar, competency assessments, supervisions, provider oversight, mock inspections, continuous quality improvement, mandatory e-learning and face-to-face competency training (w/c 6 July 2026).</t>
  </si>
  <si>
    <t>Dependency tool, rota, training matrix, competency, supervision records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</si>
  <si>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Action Plan Reg 18</t>
  </si>
  <si>
    <t>A080</t>
  </si>
  <si>
    <t>Night staffing must reflect dependency, fire evacuation and observation needs</t>
  </si>
  <si>
    <t>A081</t>
  </si>
  <si>
    <t>Training matrix requires urgent update and gap closure</t>
  </si>
  <si>
    <t>A082</t>
  </si>
  <si>
    <t>Competency checks required for medication, moving handling, IPC, fire and recording</t>
  </si>
  <si>
    <t>A083</t>
  </si>
  <si>
    <t>Staff supervision and professional discussion tracker required</t>
  </si>
  <si>
    <t>A084</t>
  </si>
  <si>
    <t>Daily allocation sheet must identify resident-specific duties</t>
  </si>
  <si>
    <t>A085</t>
  </si>
  <si>
    <t>Handover must clearly include risks, observations and escalation</t>
  </si>
  <si>
    <t>A086</t>
  </si>
  <si>
    <t>Staff require practical face-to-face training and competency sign-off</t>
  </si>
  <si>
    <t>A087</t>
  </si>
  <si>
    <t>Agency staff induction and competency evidence required</t>
  </si>
  <si>
    <t>A088</t>
  </si>
  <si>
    <t>Escalation/on-call system must be understood by all staff</t>
  </si>
  <si>
    <t>A089</t>
  </si>
  <si>
    <t>Reg 19</t>
  </si>
  <si>
    <t>Single Central Register requires update and verification</t>
  </si>
  <si>
    <t>Safer recruitment controls not evidenced consistently in one central register</t>
  </si>
  <si>
    <t>Audit all staff files and SCR immediately
Immediate review completed. Governance systems strengthened, audits implemented, leadership oversight increased, policies reviewed, environmental improvements commenced, staff training programme implemented and risks escalated where required.</t>
  </si>
  <si>
    <t>Monthly SCR review and recruitment compliance audit
Embed improvements through monthly governance meetings, audit programme, compliance calendar, competency assessments, supervisions, provider oversight, mock inspections, continuous quality improvement, mandatory e-learning and face-to-face competency training (w/c 6 July 2026).</t>
  </si>
  <si>
    <t>Administrator / Registered Manager</t>
  </si>
  <si>
    <t>SCR, staff file audit, DBS, references, right to work, induction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</si>
  <si>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Action Plan Reg 19</t>
  </si>
  <si>
    <t>A090</t>
  </si>
  <si>
    <t>Staff files require audit for full safer recruitment evidence</t>
  </si>
  <si>
    <t>A091</t>
  </si>
  <si>
    <t>DBS, references, right to work and ID evidence must be complete</t>
  </si>
  <si>
    <t>A092</t>
  </si>
  <si>
    <t>Employment gaps require explanation and risk assessment</t>
  </si>
  <si>
    <t>A093</t>
  </si>
  <si>
    <t>Agency staff checks must be documented before deployment</t>
  </si>
  <si>
    <t>A094</t>
  </si>
  <si>
    <t>External professionals tracker required</t>
  </si>
  <si>
    <t>A095</t>
  </si>
  <si>
    <t>Missing recruitment documents require risk assessment and action</t>
  </si>
  <si>
    <t>A096</t>
  </si>
  <si>
    <t>New starter induction checklist required for every staff member</t>
  </si>
  <si>
    <t>A097</t>
  </si>
  <si>
    <t>Sustained improvement programme required following CQC/Essex concerns that improvements were not embedded or sustained</t>
  </si>
  <si>
    <t>Previous actions were not consistently embedded into daily practice or evidenced over time</t>
  </si>
  <si>
    <t>Create a sustained improvement programme with weekly checks and management oversight
Immediate review completed. Governance systems strengthened, audits implemented, leadership oversight increased, policies reviewed, environmental improvements commenced, staff training programme implemented and risks escalated where required.</t>
  </si>
  <si>
    <t>Maintain 3, 6 and 12 month sustainability reviews with provider sign-off and evidence checks
Embed improvements through monthly governance meetings, audit programme, compliance calendar, competency assessments, supervisions, provider oversight, mock inspections, continuous quality improvement, mandatory e-learning and face-to-face competency training (w/c 6 July 2026).</t>
  </si>
  <si>
    <t>Red - Not Started</t>
  </si>
  <si>
    <t>Sustained improvement plan, weekly review minutes, completed checks, provider sign-off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</si>
  <si>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CQC Draft / NoP / Essex Letter</t>
  </si>
  <si>
    <t>A098</t>
  </si>
  <si>
    <t>Formal partnership working with commissioners, safeguarding, fire service, GP, district nurses and MDT must be evidenced</t>
  </si>
  <si>
    <t>Partnership working and professional escalation were not consistently evidenced</t>
  </si>
  <si>
    <t>Create external professionals and commissioner communication tracker
Immediate review completed. Governance systems strengthened, audits implemented, leadership oversight increased, policies reviewed, environmental improvements commenced, staff training programme implemented and risks escalated where required.</t>
  </si>
  <si>
    <t>Monthly MDT/commissioner engagement review with actions followed up to completion
Embed improvements through monthly governance meetings, audit programme, compliance calendar, competency assessments, supervisions, provider oversight, mock inspections, continuous quality improvement, mandatory e-learning and face-to-face competency training (w/c 6 July 2026).</t>
  </si>
  <si>
    <t>External professional tracker, meeting notes, emails, referrals, follow-up actions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</si>
  <si>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Essex Letter / CQC Draft</t>
  </si>
  <si>
    <t>A099</t>
  </si>
  <si>
    <t>Financial sustainability and business continuity assurance required</t>
  </si>
  <si>
    <t>Essex raised financial viability as part of wider unmanaged risk</t>
  </si>
  <si>
    <t>Prepare business continuity and financial sustainability assurance statement
Immediate review completed. Governance systems strengthened, audits implemented, leadership oversight increased, policies reviewed, environmental improvements commenced, staff training programme implemented and risks escalated where required.</t>
  </si>
  <si>
    <t>Monthly provider review of staffing costs, occupancy risks, essential supplier payments and contingency plan
Embed improvements through monthly governance meetings, audit programme, compliance calendar, competency assessments, supervisions, provider oversight, mock inspections, continuous quality improvement, mandatory e-learning and face-to-face competency training (w/c 6 July 2026).</t>
  </si>
  <si>
    <t>Provider / Nominated Individual</t>
  </si>
  <si>
    <t>Financial sustainability statement, contingency plan, provider review minutes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</si>
  <si>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Essex Letter</t>
  </si>
  <si>
    <t>A100</t>
  </si>
  <si>
    <t>Resident transition and transfer planning must be fully evidenced for any move between services</t>
  </si>
  <si>
    <t>CQC and Essex raised concerns about safe systems, pathways and transitions</t>
  </si>
  <si>
    <t>Create transfer checklist and resident transition plan for every move
Immediate review completed. Governance systems strengthened, audits implemented, leadership oversight increased, policies reviewed, environmental improvements commenced, staff training programme implemented and risks escalated where required.</t>
  </si>
  <si>
    <t>Audit all hospital/admission/discharge/placement transfer records monthly
Embed improvements through monthly governance meetings, audit programme, compliance calendar, competency assessments, supervisions, provider oversight, mock inspections, continuous quality improvement, mandatory e-learning and face-to-face competency training (w/c 6 July 2026).</t>
  </si>
  <si>
    <t>Transfer checklist, care summary, risk summary, medication list, family/professional communication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</si>
  <si>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CQC Draft / Essex Letter</t>
  </si>
  <si>
    <t>A101</t>
  </si>
  <si>
    <t>Evidence file required for every completed action before status is changed to completed</t>
  </si>
  <si>
    <t>Completed actions were not always supported by clear evidence</t>
  </si>
  <si>
    <t>Stop marking actions complete unless evidence is uploaded and referenced
Immediate review completed. Governance systems strengthened, audits implemented, leadership oversight increased, policies reviewed, environmental improvements commenced, staff training programme implemented and risks escalated where required.</t>
  </si>
  <si>
    <t>Weekly evidence audit by manager and monthly verification by provider/consultant
Embed improvements through monthly governance meetings, audit programme, compliance calendar, competency assessments, supervisions, provider oversight, mock inspections, continuous quality improvement, mandatory e-learning and face-to-face competency training (w/c 6 July 2026).</t>
  </si>
  <si>
    <t>Registered Manager / Compliance Lead</t>
  </si>
  <si>
    <t>Evidence index, document links, action sign-off, audit trail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</si>
  <si>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NoP / Reg 17</t>
  </si>
  <si>
    <t>A102</t>
  </si>
  <si>
    <t>Independent verification of completed actions required</t>
  </si>
  <si>
    <t>Provider checks did not demonstrate effective independent oversight</t>
  </si>
  <si>
    <t>Arrange independent review of completed high-risk actions
Immediate review completed. Governance systems strengthened, audits implemented, leadership oversight increased, policies reviewed, environmental improvements commenced, staff training programme implemented and risks escalated where required.</t>
  </si>
  <si>
    <t>Monthly independent verification sample across care plans, MCA, fire, staffing, medicines and governance
Embed improvements through monthly governance meetings, audit programme, compliance calendar, competency assessments, supervisions, provider oversight, mock inspections, continuous quality improvement, mandatory e-learning and face-to-face competency training (w/c 6 July 2026).</t>
  </si>
  <si>
    <t>External Consultant / Provider</t>
  </si>
  <si>
    <t>Independent verification report, sample audit, signed action verification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</si>
  <si>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NoP / CQC Draft</t>
  </si>
  <si>
    <t>A103</t>
  </si>
  <si>
    <t>Monthly provider assurance review required with clear minutes, decisions and follow-up</t>
  </si>
  <si>
    <t>Provider oversight was found to be ineffective</t>
  </si>
  <si>
    <t>Schedule monthly provider assurance meeting
Immediate review completed. Governance systems strengthened, audits implemented, leadership oversight increased, policies reviewed, environmental improvements commenced, staff training programme implemented and risks escalated where required.</t>
  </si>
  <si>
    <t>Standing agenda to review incidents, safeguarding, audits, staffing, complaints, fire, MCA and action plan progress
Embed improvements through monthly governance meetings, audit programme, compliance calendar, competency assessments, supervisions, provider oversight, mock inspections, continuous quality improvement, mandatory e-learning and face-to-face competency training (w/c 6 July 2026).</t>
  </si>
  <si>
    <t>Provider assurance minutes, agenda, action log, sign-off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</si>
  <si>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Reg 17 / CQC Draft</t>
  </si>
  <si>
    <t>A104</t>
  </si>
  <si>
    <t>Governance trend dashboard required to identify patterns and repeated risks</t>
  </si>
  <si>
    <t>Incidents, safeguarding, falls, behaviours, complaints and audits were not analysed for patterns</t>
  </si>
  <si>
    <t>Create governance trend dashboard
Immediate review completed. Governance systems strengthened, audits implemented, leadership oversight increased, policies reviewed, environmental improvements commenced, staff training programme implemented and risks escalated where required.</t>
  </si>
  <si>
    <t>Review trends monthly and evidence lessons learned and care plan changes
Embed improvements through monthly governance meetings, audit programme, compliance calendar, competency assessments, supervisions, provider oversight, mock inspections, continuous quality improvement, mandatory e-learning and face-to-face competency training (w/c 6 July 2026).</t>
  </si>
  <si>
    <t>Trend dashboard, monthly analysis, lessons learned, updated care plans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</si>
  <si>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CQC Draft / NoP</t>
  </si>
  <si>
    <t>A105</t>
  </si>
  <si>
    <t>Monthly lessons learned meeting required for safeguarding, incidents, complaints, accidents and near misses</t>
  </si>
  <si>
    <t>Lessons learned were not embedded into care plans or staff practice</t>
  </si>
  <si>
    <t>Introduce monthly lessons learned meeting and staff briefing
Immediate review completed. Governance systems strengthened, audits implemented, leadership oversight increased, policies reviewed, environmental improvements commenced, staff training programme implemented and risks escalated where required.</t>
  </si>
  <si>
    <t>Evidence changes to care plans, risk assessments, handover and supervision after each learning point
Embed improvements through monthly governance meetings, audit programme, compliance calendar, competency assessments, supervisions, provider oversight, mock inspections, continuous quality improvement, mandatory e-learning and face-to-face competency training (w/c 6 July 2026).</t>
  </si>
  <si>
    <t>Meeting minutes, staff signatures, updated care plans, supervision notes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</si>
  <si>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Reg 13 / CQC Draft</t>
  </si>
  <si>
    <t>A106</t>
  </si>
  <si>
    <t>Quality Improvement Register required to track improvements from audits through to completion and verification</t>
  </si>
  <si>
    <t>Audit actions were not consistently followed through or verified</t>
  </si>
  <si>
    <t>Create Quality Improvement Register linked to audit outcomes
Immediate review completed. Governance systems strengthened, audits implemented, leadership oversight increased, policies reviewed, environmental improvements commenced, staff training programme implemented and risks escalated where required.</t>
  </si>
  <si>
    <t>Monthly review of open/overdue audit actions and evidence of completion
Embed improvements through monthly governance meetings, audit programme, compliance calendar, competency assessments, supervisions, provider oversight, mock inspections, continuous quality improvement, mandatory e-learning and face-to-face competency training (w/c 6 July 2026).</t>
  </si>
  <si>
    <t>Registered Manager / Provider</t>
  </si>
  <si>
    <t>Quality improvement register, audit action logs, verification records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</si>
  <si>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Reg 17 / NoP</t>
  </si>
  <si>
    <t>A107</t>
  </si>
  <si>
    <t>Quarterly mock CQC inspection required across all key questions</t>
  </si>
  <si>
    <t>Provider had not demonstrated robust monitoring against CQC standards</t>
  </si>
  <si>
    <t>Arrange first mock inspection and report
Immediate review completed. Governance systems strengthened, audits implemented, leadership oversight increased, policies reviewed, environmental improvements commenced, staff training programme implemented and risks escalated where required.</t>
  </si>
  <si>
    <t>Quarterly mock inspection with action plan, evidence review and provider sign-off
Embed improvements through monthly governance meetings, audit programme, compliance calendar, competency assessments, supervisions, provider oversight, mock inspections, continuous quality improvement, mandatory e-learning and face-to-face competency training (w/c 6 July 2026).</t>
  </si>
  <si>
    <t>Mock inspection report, action plan, evidence pack, provider sign-off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</si>
  <si>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A108</t>
  </si>
  <si>
    <t>Version control and document review schedule required for all policies, care plans, audits and trackers</t>
  </si>
  <si>
    <t>Records and policies were not consistently current, localised or controlled</t>
  </si>
  <si>
    <t>Create document control register
Immediate review completed. Governance systems strengthened, audits implemented, leadership oversight increased, policies reviewed, environmental improvements commenced, staff training programme implemented and risks escalated where required.</t>
  </si>
  <si>
    <t>Monthly document control audit and annual policy review schedule
Embed improvements through monthly governance meetings, audit programme, compliance calendar, competency assessments, supervisions, provider oversight, mock inspections, continuous quality improvement, mandatory e-learning and face-to-face competency training (w/c 6 July 2026).</t>
  </si>
  <si>
    <t>Document control register, version history, review dates, policy sign-off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</si>
  <si>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A109</t>
  </si>
  <si>
    <t>Evidence mapping to every NoP allegation required</t>
  </si>
  <si>
    <t>NoP relies on specific numbered allegations and appendices that require a clear response</t>
  </si>
  <si>
    <t>Create NoP allegation-to-evidence matrix
Immediate review completed. Governance systems strengthened, audits implemented, leadership oversight increased, policies reviewed, environmental improvements commenced, staff training programme implemented and risks escalated where required.</t>
  </si>
  <si>
    <t>Maintain live evidence matrix showing action taken, evidence, verification and sustainability check
Embed improvements through monthly governance meetings, audit programme, compliance calendar, competency assessments, supervisions, provider oversight, mock inspections, continuous quality improvement, mandatory e-learning and face-to-face competency training (w/c 6 July 2026).</t>
  </si>
  <si>
    <t>Provider / Legal Representative / Consultant</t>
  </si>
  <si>
    <t>NoP evidence matrix, factual response, supporting documents, verification notes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</si>
  <si>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NoP</t>
  </si>
  <si>
    <t>A110</t>
  </si>
  <si>
    <t>Action verification sign-off required before actions are reported to CQC/commissioners as complete</t>
  </si>
  <si>
    <t>There was no clear assurance that actions were fully completed and embedded</t>
  </si>
  <si>
    <t>Add sign-off fields and verification criteria to action plan
Immediate review completed. Governance systems strengthened, audits implemented, leadership oversight increased, policies reviewed, environmental improvements commenced, staff training programme implemented and risks escalated where required.</t>
  </si>
  <si>
    <t>Monthly sign-off by manager, provider and independent reviewer for high-risk areas
Embed improvements through monthly governance meetings, audit programme, compliance calendar, competency assessments, supervisions, provider oversight, mock inspections, continuous quality improvement, mandatory e-learning and face-to-face competency training (w/c 6 July 2026).</t>
  </si>
  <si>
    <t>Signed action plan, verification checklist, evidence file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</si>
  <si>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A111</t>
  </si>
  <si>
    <t>Sustainability reviews at 3, 6 and 12 months required for all major improvements</t>
  </si>
  <si>
    <t>CQC and Essex identified that improvements were not sustained</t>
  </si>
  <si>
    <t>Set sustainability review dates for each major action
Immediate review completed. Governance systems strengthened, audits implemented, leadership oversight increased, policies reviewed, environmental improvements commenced, staff training programme implemented and risks escalated where required.</t>
  </si>
  <si>
    <t>Review whether change remains embedded in daily practice and update action plan accordingly
Embed improvements through monthly governance meetings, audit programme, compliance calendar, competency assessments, supervisions, provider oversight, mock inspections, continuous quality improvement, mandatory e-learning and face-to-face competency training (w/c 6 July 2026).</t>
  </si>
  <si>
    <t>Sustainability review record, audit results, staff competency evidence, provider sign-off
Governance Workbook; Master Action Plan; Audit Workbook 1; Audit Workbook 2; Compliance Calendar; Fire &amp; Compliance Workbook; Cleaning Workbook; Dependency Tool &amp; PEEPs; Handover &amp; Allocation Workbook; Training Matrix; Personnel Files; Resident Admission Pack; Funding Pack; New Resident Tracker; Agency Induction; Agency Competency; Face-to-face Training Records (w/c 6 July 2026); Competency Assessments; Supervisions; Professional Discussions; Mock Inspections; Fire Alarm Upgrade; Fire Door Replacement.</t>
  </si>
  <si>
    <t>Person-centred care</t>
  </si>
  <si>
    <t>Dignity and respect</t>
  </si>
  <si>
    <t>Need for consent / MCA</t>
  </si>
  <si>
    <t>Safe care and treatment</t>
  </si>
  <si>
    <t>Safeguarding</t>
  </si>
  <si>
    <t>Premises and equipment</t>
  </si>
  <si>
    <t>Good governance</t>
  </si>
  <si>
    <t>Staffing, training and competence</t>
  </si>
  <si>
    <t>Fit and proper persons employed</t>
  </si>
  <si>
    <t>Evidence ID</t>
  </si>
  <si>
    <t>Linked Action ID</t>
  </si>
  <si>
    <t>Evidence Type</t>
  </si>
  <si>
    <t>Document / File Name</t>
  </si>
  <si>
    <t>Folder Location / Link</t>
  </si>
  <si>
    <t>Date Added</t>
  </si>
  <si>
    <t>Verified?</t>
  </si>
  <si>
    <t>EV001</t>
  </si>
  <si>
    <t>Care Plan</t>
  </si>
  <si>
    <t>EV002</t>
  </si>
  <si>
    <t>Risk Assessment</t>
  </si>
  <si>
    <t>EV003</t>
  </si>
  <si>
    <t>Training</t>
  </si>
  <si>
    <t>EV004</t>
  </si>
  <si>
    <t>Audit</t>
  </si>
  <si>
    <t>EV005</t>
  </si>
  <si>
    <t>Fire Evidence</t>
  </si>
  <si>
    <t>EV006</t>
  </si>
  <si>
    <t>Medication Evidence</t>
  </si>
  <si>
    <t>EV007</t>
  </si>
  <si>
    <t>EV008</t>
  </si>
  <si>
    <t>Governance</t>
  </si>
  <si>
    <t>EV009</t>
  </si>
  <si>
    <t>Premises/Equipment</t>
  </si>
  <si>
    <t>EV010</t>
  </si>
  <si>
    <t>Recruitment</t>
  </si>
  <si>
    <t>EV011</t>
  </si>
  <si>
    <t>EV012</t>
  </si>
  <si>
    <t>EV013</t>
  </si>
  <si>
    <t>EV014</t>
  </si>
  <si>
    <t>EV015</t>
  </si>
  <si>
    <t>EV016</t>
  </si>
  <si>
    <t>EV017</t>
  </si>
  <si>
    <t>EV018</t>
  </si>
  <si>
    <t>EV019</t>
  </si>
  <si>
    <t>EV020</t>
  </si>
  <si>
    <t>EV021</t>
  </si>
  <si>
    <t>EV022</t>
  </si>
  <si>
    <t>EV023</t>
  </si>
  <si>
    <t>EV024</t>
  </si>
  <si>
    <t>EV025</t>
  </si>
  <si>
    <t>EV026</t>
  </si>
  <si>
    <t>EV027</t>
  </si>
  <si>
    <t>EV028</t>
  </si>
  <si>
    <t>EV029</t>
  </si>
  <si>
    <t>EV030</t>
  </si>
  <si>
    <t>EV031</t>
  </si>
  <si>
    <t>EV032</t>
  </si>
  <si>
    <t>EV033</t>
  </si>
  <si>
    <t>EV034</t>
  </si>
  <si>
    <t>EV035</t>
  </si>
  <si>
    <t>EV036</t>
  </si>
  <si>
    <t>EV037</t>
  </si>
  <si>
    <t>EV038</t>
  </si>
  <si>
    <t>EV039</t>
  </si>
  <si>
    <t>EV040</t>
  </si>
  <si>
    <t>EV041</t>
  </si>
  <si>
    <t>EV042</t>
  </si>
  <si>
    <t>EV043</t>
  </si>
  <si>
    <t>EV044</t>
  </si>
  <si>
    <t>EV045</t>
  </si>
  <si>
    <t>EV046</t>
  </si>
  <si>
    <t>EV047</t>
  </si>
  <si>
    <t>EV048</t>
  </si>
  <si>
    <t>EV049</t>
  </si>
  <si>
    <t>EV050</t>
  </si>
  <si>
    <t>EV051</t>
  </si>
  <si>
    <t>EV052</t>
  </si>
  <si>
    <t>EV053</t>
  </si>
  <si>
    <t>EV054</t>
  </si>
  <si>
    <t>EV055</t>
  </si>
  <si>
    <t>EV056</t>
  </si>
  <si>
    <t>EV057</t>
  </si>
  <si>
    <t>EV058</t>
  </si>
  <si>
    <t>EV059</t>
  </si>
  <si>
    <t>EV060</t>
  </si>
  <si>
    <t>EV061</t>
  </si>
  <si>
    <t>EV062</t>
  </si>
  <si>
    <t>EV063</t>
  </si>
  <si>
    <t>EV064</t>
  </si>
  <si>
    <t>EV065</t>
  </si>
  <si>
    <t>EV066</t>
  </si>
  <si>
    <t>EV067</t>
  </si>
  <si>
    <t>EV068</t>
  </si>
  <si>
    <t>EV069</t>
  </si>
  <si>
    <t>EV070</t>
  </si>
  <si>
    <t>EV071</t>
  </si>
  <si>
    <t>EV072</t>
  </si>
  <si>
    <t>EV073</t>
  </si>
  <si>
    <t>EV074</t>
  </si>
  <si>
    <t>EV075</t>
  </si>
  <si>
    <t>EV076</t>
  </si>
  <si>
    <t>EV077</t>
  </si>
  <si>
    <t>EV078</t>
  </si>
  <si>
    <t>EV079</t>
  </si>
  <si>
    <t>EV080</t>
  </si>
  <si>
    <t>EV081</t>
  </si>
  <si>
    <t>EV082</t>
  </si>
  <si>
    <t>EV083</t>
  </si>
  <si>
    <t>EV084</t>
  </si>
  <si>
    <t>EV085</t>
  </si>
  <si>
    <t>EV086</t>
  </si>
  <si>
    <t>EV087</t>
  </si>
  <si>
    <t>EV088</t>
  </si>
  <si>
    <t>EV089</t>
  </si>
  <si>
    <t>EV090</t>
  </si>
  <si>
    <t>EV091</t>
  </si>
  <si>
    <t>EV092</t>
  </si>
  <si>
    <t>EV093</t>
  </si>
  <si>
    <t>EV094</t>
  </si>
  <si>
    <t>EV095</t>
  </si>
  <si>
    <t>EV096</t>
  </si>
  <si>
    <t>EV097</t>
  </si>
  <si>
    <t>EV098</t>
  </si>
  <si>
    <t>EV099</t>
  </si>
  <si>
    <t>EV100</t>
  </si>
  <si>
    <t>Governance / Regulatory Evidence</t>
  </si>
  <si>
    <t>Evidence required for red-added action: Sustained improvement programme required following CQC/Essex concerns that improvements were not embedded or sustained</t>
  </si>
  <si>
    <t>Evidence required for red-added action: Formal partnership working with commissioners, safeguarding, fire service, GP, district nurses and MDT must be evidenced</t>
  </si>
  <si>
    <t>Evidence required for red-added action: Financial sustainability and business continuity assurance required</t>
  </si>
  <si>
    <t>Evidence required for red-added action: Resident transition and transfer planning must be fully evidenced for any move between services</t>
  </si>
  <si>
    <t>EV101</t>
  </si>
  <si>
    <t>Evidence required for red-added action: Evidence file required for every completed action before status is changed to completed</t>
  </si>
  <si>
    <t>EV102</t>
  </si>
  <si>
    <t>Evidence required for red-added action: Independent verification of completed actions required</t>
  </si>
  <si>
    <t>EV103</t>
  </si>
  <si>
    <t>Evidence required for red-added action: Monthly provider assurance review required with clear minutes, decisions and follow-up</t>
  </si>
  <si>
    <t>EV104</t>
  </si>
  <si>
    <t>Evidence required for red-added action: Governance trend dashboard required to identify patterns and repeated risks</t>
  </si>
  <si>
    <t>EV105</t>
  </si>
  <si>
    <t>Evidence required for red-added action: Monthly lessons learned meeting required for safeguarding, incidents, complaints, accidents and near misses</t>
  </si>
  <si>
    <t>EV106</t>
  </si>
  <si>
    <t>Evidence required for red-added action: Quality Improvement Register required to track improvements from audits through to completion and verification</t>
  </si>
  <si>
    <t>EV107</t>
  </si>
  <si>
    <t>Evidence required for red-added action: Quarterly mock CQC inspection required across all key questions</t>
  </si>
  <si>
    <t>EV108</t>
  </si>
  <si>
    <t>Evidence required for red-added action: Version control and document review schedule required for all policies, care plans, audits and trackers</t>
  </si>
  <si>
    <t>EV109</t>
  </si>
  <si>
    <t>Evidence required for red-added action: Evidence mapping to every NoP allegation required</t>
  </si>
  <si>
    <t>EV110</t>
  </si>
  <si>
    <t>Evidence required for red-added action: Action verification sign-off required before actions are reported to CQC/commissioners as complete</t>
  </si>
  <si>
    <t>EV111</t>
  </si>
  <si>
    <t>Evidence required for red-added action: Sustainability reviews at 3, 6 and 12 months required for all major improvements</t>
  </si>
  <si>
    <t>Medium</t>
  </si>
  <si>
    <t>Low</t>
  </si>
  <si>
    <t>On Hold</t>
  </si>
  <si>
    <t>N/A</t>
  </si>
  <si>
    <t>Staff are ungoing training with JM consulting to ensure they are competent in the language that it is used throughout the home to protect dignity. Staff are also doing training with a training provider and E-learning to enhance their training. JM consulting will also be doing observation/competency assessments to ensure all staff are able to deliver the best Care plans and care notes with family involvement. We will be implementing key workers for each resident and it will be their responsibility to ensure that it is up to date. The registered manager will be doing checks to ensure that it it reviewed correctly and a compliance officer will verify this.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</si>
  <si>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See Row 1 Comments column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</si>
  <si>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The service has implemented a comprehensive person-centred activity programme. Every resident now has an individual Meaningful Activity Assessment based on their life history, culture, religion, interests, previous occupation, abilities and personal goals. Individual activity care plans have replaced generic activity schedules. Staff receive training in meaningful occupation and dementia-informed engagement, with daily records documenting resident outcomes, emotional wellbeing and participation. Monthly audits and management oversight ensure activities remain personalised and responsive to changing needs. This is created in the new resident tracker.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</si>
  <si>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See Row 4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</si>
  <si>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Triangulated checklist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</si>
  <si>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See Row 2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</si>
  <si>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Created a new handover/allocation sheet. All in one document for staff. 
Created an audit which takes all aspects into consideration. 
Importance in family involvement and recording this is key. Handover/Allocation 2026 Evidence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</si>
  <si>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Created a new handover/allocation sheet. All in one document for staff. See Row 2 
Created an audit which takes all aspects into consideration. 
Importance in family involvement and recording this is key.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</si>
  <si>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See Row 2 - Professional advise not embed in care plan.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</si>
  <si>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Row 2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</si>
  <si>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 xml:space="preserve">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</si>
  <si>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Row 2 - It is also included in the new resident tracker which ensures that Manager/Shift leader is able to do those.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</si>
  <si>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Row 2 - It is also included in the new resident tracker which ensures that Manager/Shift leader is able to do those.
A list of all decisions is included in the pack with tracker to reduce ommission.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</si>
  <si>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Row 23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</si>
  <si>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A new Fire Evacuation flowchart is now available for Staff and residents. It is an easy guide.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</si>
  <si>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Row 23 + 32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</si>
  <si>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Row 23+32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</si>
  <si>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A robust dependency tool has now been created for night, day, fire and risks.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</si>
  <si>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A robust training matrix has now been created - Row 2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</si>
  <si>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See Row 9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</si>
  <si>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 xml:space="preserve">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</si>
  <si>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 xml:space="preserve">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</si>
  <si>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Direct governance improvement for Reg 17.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</si>
  <si>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 xml:space="preserve"> Addresses learning culture and repeated risk concerns.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</si>
  <si>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Specifically addresses safeguarding and learning culture.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</si>
  <si>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 xml:space="preserve"> Strengthens audit-to-action governance.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</si>
  <si>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Demonstrates ongoing assurance against CQC standards.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</si>
  <si>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 xml:space="preserve"> template/policy and documentation control issues.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</si>
  <si>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Needed for representations and regulatory defence.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</si>
  <si>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 xml:space="preserve"> Prevents unsupported completion claims.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</si>
  <si>
    <t xml:space="preserve"> Directly addresses sustained improvement concern.
Improvements have been implemented and continue to be embedded across the service. The home currently has no residents, allowing governance systems, documentation, environmental improvements and workforce development to be fully established prior to future admissions. Mandatory e-learning is monitored through the Training Matrix. Face-to-face training (w/c 6 July 2026) covers Care Planning, Care Notes, Professional Observations, Oral Care, MCA, DoLS, Dementia, Safeguarding, Personal Care, Duty of Candour, Mental Health, Trauma-informed Care, Behaviour Support, Risk Assessment and professional terminology. Fire alarm upgrade to Category L1 and fire door replacement are in progress. Weekly/monthly fire compliance checks will recommence once works are completed and commissioned. PEEPs and dependency reviews will commence upon admission of residents. Compliance monitored via governance, audits and provider oversight.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</si>
</sst>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6"/>
      <color rgb="FFFFFFFF"/>
      <name val="Carlito"/>
    </font>
    <font>
      <b/>
      <sz val="11"/>
      <name val="Carlito"/>
    </font>
    <font>
      <sz val="11"/>
      <color rgb="FFFF0000"/>
      <name val="Carlito"/>
    </font>
    <font>
      <b/>
      <sz val="11"/>
      <color rgb="FF7F1D1D"/>
      <name val="Carlito"/>
    </font>
  </fonts>
  <fills count="6">
    <fill>
      <patternFill patternType="none"/>
    </fill>
    <fill>
      <patternFill patternType="gray125"/>
    </fill>
    <fill>
      <patternFill patternType="solid">
        <fgColor rgb="FF0F766E"/>
      </patternFill>
    </fill>
    <fill>
      <patternFill patternType="solid">
        <fgColor rgb="FFD9EAD3"/>
      </patternFill>
    </fill>
    <fill>
      <patternFill patternType="solid">
        <fgColor rgb="FFFF0000"/>
      </patternFill>
    </fill>
    <fill>
      <patternFill patternType="solid">
        <fgColor rgb="FFFCA5A5"/>
      </patternFill>
    </fill>
  </fills>
  <borders count="2">
    <border>
      <left/>
      <right/>
      <top/>
      <bottom/>
      <diagonal/>
    </border>
    <border>
      <left/>
      <right/>
      <top/>
      <bottom/>
      <diagonal/>
    </border>
  </borders>
  <cellStyleXfs count="1">
    <xf numFmtId="0" fontId="0" fillId="0" borderId="1"/>
  </cellStyleXfs>
  <cellXfs count="29">
    <xf numFmtId="0" fontId="0" fillId="0" borderId="0" xfId="0" applyBorder="1"/>
    <xf numFmtId="0" fontId="1" fillId="2" borderId="0" xfId="0" applyFont="1" applyFill="1" applyBorder="1" applyAlignment="1">
      <alignment horizontal="center" wrapText="1"/>
    </xf>
    <xf numFmtId="0" fontId="1" fillId="2" borderId="0" xfId="0" applyFont="1" applyFill="1" applyBorder="1" applyAlignment="1">
      <alignment horizontal="center" vertical="center" wrapText="1"/>
    </xf>
    <xf numFmtId="0" fontId="0" fillId="0" borderId="0" xfId="0" applyBorder="1" applyAlignment="1">
      <alignment wrapText="1"/>
    </xf>
    <xf numFmtId="14" fontId="0" fillId="0" borderId="0" xfId="0" applyNumberFormat="1" applyBorder="1" applyAlignment="1">
      <alignment wrapText="1"/>
    </xf>
    <xf numFmtId="9" fontId="0" fillId="0" borderId="0" xfId="0" applyNumberFormat="1" applyBorder="1"/>
    <xf numFmtId="14" fontId="0" fillId="0" borderId="0" xfId="0" applyNumberFormat="1" applyBorder="1"/>
    <xf numFmtId="0" fontId="3" fillId="0" borderId="0" xfId="0" applyFont="1" applyBorder="1" applyAlignment="1">
      <alignment wrapText="1"/>
    </xf>
    <xf numFmtId="9" fontId="3" fillId="0" borderId="0" xfId="0" applyNumberFormat="1" applyFont="1" applyBorder="1" applyAlignment="1">
      <alignment wrapText="1"/>
    </xf>
    <xf numFmtId="0" fontId="1" fillId="2" borderId="0" xfId="0" applyFont="1" applyFill="1" applyBorder="1" applyAlignment="1">
      <alignment horizontal="center"/>
    </xf>
    <xf numFmtId="9" fontId="0" fillId="0" borderId="0" xfId="0" applyNumberFormat="1" applyBorder="1" applyAlignment="1">
      <alignment wrapText="1"/>
    </xf>
    <xf numFmtId="0" fontId="4" fillId="0" borderId="0" xfId="0" applyFont="1" applyBorder="1" applyAlignment="1">
      <alignment wrapText="1"/>
    </xf>
    <xf numFmtId="0" fontId="0" fillId="4" borderId="0" xfId="0" applyFill="1" applyBorder="1" applyAlignment="1">
      <alignment wrapText="1"/>
    </xf>
    <xf numFmtId="14" fontId="0" fillId="4" borderId="0" xfId="0" applyNumberFormat="1" applyFill="1" applyBorder="1" applyAlignment="1">
      <alignment wrapText="1"/>
    </xf>
    <xf numFmtId="0" fontId="0" fillId="4" borderId="0" xfId="0" applyFill="1" applyBorder="1"/>
    <xf numFmtId="0" fontId="5" fillId="5" borderId="0" xfId="0" applyFont="1" applyFill="1" applyBorder="1" applyAlignment="1">
      <alignment wrapText="1"/>
    </xf>
    <xf numFmtId="0" fontId="0" fillId="0" borderId="0" xfId="0" applyBorder="1" applyAlignment="1">
      <alignment vertical="top" wrapText="1"/>
    </xf>
    <xf numFmtId="0" fontId="4" fillId="0" borderId="0" xfId="0" applyFont="1" applyBorder="1" applyAlignment="1">
      <alignment vertical="top" wrapText="1"/>
    </xf>
    <xf numFmtId="0" fontId="0" fillId="4" borderId="0" xfId="0" applyFill="1" applyBorder="1" applyAlignment="1">
      <alignment vertical="top" wrapText="1"/>
    </xf>
    <xf numFmtId="0" fontId="5" fillId="5" borderId="0" xfId="0" applyFont="1" applyFill="1" applyBorder="1" applyAlignment="1">
      <alignment vertical="top" wrapText="1"/>
    </xf>
    <xf numFmtId="0" fontId="0" fillId="0" borderId="1" xfId="0" applyAlignment="1">
      <alignment wrapText="1"/>
    </xf>
    <xf numFmtId="0" fontId="0" fillId="0" borderId="1" xfId="0"/>
    <xf numFmtId="0" fontId="0" fillId="0" borderId="0" xfId="0" applyBorder="1"/>
    <xf numFmtId="0" fontId="3" fillId="3" borderId="1" xfId="0" applyFont="1" applyFill="1" applyAlignment="1">
      <alignment wrapText="1"/>
    </xf>
    <xf numFmtId="0" fontId="2" fillId="2" borderId="1" xfId="0" applyFont="1" applyFill="1" applyAlignment="1">
      <alignment horizontal="left" wrapText="1"/>
    </xf>
    <xf numFmtId="0" fontId="0" fillId="0" borderId="1" xfId="0" applyAlignment="1">
      <alignment horizontal="left"/>
    </xf>
    <xf numFmtId="0" fontId="0" fillId="0" borderId="1" xfId="0" applyBorder="1" applyAlignment="1">
      <alignment wrapText="1"/>
    </xf>
    <xf numFmtId="0" fontId="0" fillId="0" borderId="1" xfId="0" applyBorder="1" applyAlignment="1">
      <alignment vertical="top" wrapText="1"/>
    </xf>
    <xf numFmtId="14" fontId="0" fillId="0" borderId="1" xfId="0" applyNumberFormat="1" applyBorder="1" applyAlignment="1">
      <alignment wrapText="1"/>
    </xf>
  </cellXfs>
  <cellStyles count="1">
    <cellStyle name="Normal" xfId="0" builtinId="0"/>
  </cellStyles>
  <dxfs count="11">
    <dxf>
      <fill>
        <patternFill>
          <bgColor rgb="FFD9EAD3"/>
        </patternFill>
      </fill>
    </dxf>
    <dxf>
      <fill>
        <patternFill>
          <bgColor rgb="FFFCE5CD"/>
        </patternFill>
      </fill>
    </dxf>
    <dxf>
      <fill>
        <patternFill>
          <bgColor rgb="FFF4CCCC"/>
        </patternFill>
      </fill>
    </dxf>
    <dxf>
      <fill>
        <patternFill>
          <bgColor rgb="FFD9EAD3"/>
        </patternFill>
      </fill>
    </dxf>
    <dxf>
      <fill>
        <patternFill>
          <bgColor rgb="FFFCE5CD"/>
        </patternFill>
      </fill>
    </dxf>
    <dxf>
      <fill>
        <patternFill>
          <bgColor rgb="FFF4CCCC"/>
        </patternFill>
      </fill>
    </dxf>
    <dxf>
      <fill>
        <patternFill>
          <bgColor rgb="FFFCE5CD"/>
        </patternFill>
      </fill>
    </dxf>
    <dxf>
      <font>
        <b/>
      </font>
      <fill>
        <patternFill>
          <bgColor rgb="FFF4CCCC"/>
        </patternFill>
      </fill>
    </dxf>
    <dxf>
      <fill>
        <patternFill>
          <bgColor rgb="FFD9EAD3"/>
        </patternFill>
      </fill>
    </dxf>
    <dxf>
      <fill>
        <patternFill>
          <bgColor rgb="FFFCE5CD"/>
        </patternFill>
      </fill>
    </dxf>
    <dxf>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GB"/>
              <a:t>Compliance by Regulation</a:t>
            </a:r>
          </a:p>
        </c:rich>
      </c:tx>
      <c:overlay val="0"/>
    </c:title>
    <c:autoTitleDeleted val="0"/>
    <c:plotArea>
      <c:layout/>
      <c:barChart>
        <c:barDir val="col"/>
        <c:grouping val="clustered"/>
        <c:varyColors val="0"/>
        <c:ser>
          <c:idx val="0"/>
          <c:order val="0"/>
          <c:tx>
            <c:v>Purpose / Area</c:v>
          </c:tx>
          <c:spPr>
            <a:ln>
              <a:prstDash val="solid"/>
            </a:ln>
          </c:spPr>
          <c:invertIfNegative val="1"/>
          <c:cat>
            <c:strRef>
              <c:f>'CQC Summary Report'!$A$13:$A$21</c:f>
              <c:strCache>
                <c:ptCount val="9"/>
                <c:pt idx="0">
                  <c:v>Reg 9</c:v>
                </c:pt>
                <c:pt idx="1">
                  <c:v>Reg 10</c:v>
                </c:pt>
                <c:pt idx="2">
                  <c:v>Reg 11</c:v>
                </c:pt>
                <c:pt idx="3">
                  <c:v>Reg 12</c:v>
                </c:pt>
                <c:pt idx="4">
                  <c:v>Reg 13</c:v>
                </c:pt>
                <c:pt idx="5">
                  <c:v>Reg 15</c:v>
                </c:pt>
                <c:pt idx="6">
                  <c:v>Reg 17</c:v>
                </c:pt>
                <c:pt idx="7">
                  <c:v>Reg 18</c:v>
                </c:pt>
                <c:pt idx="8">
                  <c:v>Reg 19</c:v>
                </c:pt>
              </c:strCache>
            </c:strRef>
          </c:cat>
          <c:val>
            <c:numRef>
              <c:f>'CQC Summary Report'!$B$13:$B$21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ABF9-4581-AED9-216384A2BF23}"/>
            </c:ext>
          </c:extLst>
        </c:ser>
        <c:ser>
          <c:idx val="1"/>
          <c:order val="1"/>
          <c:tx>
            <c:v>Total Actions</c:v>
          </c:tx>
          <c:spPr>
            <a:ln>
              <a:prstDash val="solid"/>
            </a:ln>
          </c:spPr>
          <c:invertIfNegative val="1"/>
          <c:cat>
            <c:strRef>
              <c:f>'CQC Summary Report'!$A$13:$A$21</c:f>
              <c:strCache>
                <c:ptCount val="9"/>
                <c:pt idx="0">
                  <c:v>Reg 9</c:v>
                </c:pt>
                <c:pt idx="1">
                  <c:v>Reg 10</c:v>
                </c:pt>
                <c:pt idx="2">
                  <c:v>Reg 11</c:v>
                </c:pt>
                <c:pt idx="3">
                  <c:v>Reg 12</c:v>
                </c:pt>
                <c:pt idx="4">
                  <c:v>Reg 13</c:v>
                </c:pt>
                <c:pt idx="5">
                  <c:v>Reg 15</c:v>
                </c:pt>
                <c:pt idx="6">
                  <c:v>Reg 17</c:v>
                </c:pt>
                <c:pt idx="7">
                  <c:v>Reg 18</c:v>
                </c:pt>
                <c:pt idx="8">
                  <c:v>Reg 19</c:v>
                </c:pt>
              </c:strCache>
            </c:strRef>
          </c:cat>
          <c:val>
            <c:numRef>
              <c:f>'CQC Summary Report'!$C$13:$C$21</c:f>
              <c:numCache>
                <c:formatCode>General</c:formatCode>
                <c:ptCount val="9"/>
                <c:pt idx="0">
                  <c:v>10</c:v>
                </c:pt>
                <c:pt idx="1">
                  <c:v>10</c:v>
                </c:pt>
                <c:pt idx="2">
                  <c:v>10</c:v>
                </c:pt>
                <c:pt idx="3">
                  <c:v>23</c:v>
                </c:pt>
                <c:pt idx="4">
                  <c:v>9</c:v>
                </c:pt>
                <c:pt idx="5">
                  <c:v>23</c:v>
                </c:pt>
                <c:pt idx="6">
                  <c:v>9</c:v>
                </c:pt>
                <c:pt idx="7">
                  <c:v>10</c:v>
                </c:pt>
                <c:pt idx="8">
                  <c:v>23</c:v>
                </c:pt>
              </c:numCache>
            </c:numRef>
          </c:val>
          <c:extLst>
            <c:ext xmlns:c16="http://schemas.microsoft.com/office/drawing/2014/chart" uri="{C3380CC4-5D6E-409C-BE32-E72D297353CC}">
              <c16:uniqueId val="{00000001-ABF9-4581-AED9-216384A2BF23}"/>
            </c:ext>
          </c:extLst>
        </c:ser>
        <c:ser>
          <c:idx val="2"/>
          <c:order val="2"/>
          <c:tx>
            <c:v>Completed</c:v>
          </c:tx>
          <c:spPr>
            <a:ln>
              <a:prstDash val="solid"/>
            </a:ln>
          </c:spPr>
          <c:invertIfNegative val="1"/>
          <c:cat>
            <c:strRef>
              <c:f>'CQC Summary Report'!$A$13:$A$21</c:f>
              <c:strCache>
                <c:ptCount val="9"/>
                <c:pt idx="0">
                  <c:v>Reg 9</c:v>
                </c:pt>
                <c:pt idx="1">
                  <c:v>Reg 10</c:v>
                </c:pt>
                <c:pt idx="2">
                  <c:v>Reg 11</c:v>
                </c:pt>
                <c:pt idx="3">
                  <c:v>Reg 12</c:v>
                </c:pt>
                <c:pt idx="4">
                  <c:v>Reg 13</c:v>
                </c:pt>
                <c:pt idx="5">
                  <c:v>Reg 15</c:v>
                </c:pt>
                <c:pt idx="6">
                  <c:v>Reg 17</c:v>
                </c:pt>
                <c:pt idx="7">
                  <c:v>Reg 18</c:v>
                </c:pt>
                <c:pt idx="8">
                  <c:v>Reg 19</c:v>
                </c:pt>
              </c:strCache>
            </c:strRef>
          </c:cat>
          <c:val>
            <c:numRef>
              <c:f>'CQC Summary Report'!$D$13:$D$21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ABF9-4581-AED9-216384A2BF23}"/>
            </c:ext>
          </c:extLst>
        </c:ser>
        <c:ser>
          <c:idx val="3"/>
          <c:order val="3"/>
          <c:tx>
            <c:v>Verified</c:v>
          </c:tx>
          <c:spPr>
            <a:ln>
              <a:prstDash val="solid"/>
            </a:ln>
          </c:spPr>
          <c:invertIfNegative val="1"/>
          <c:cat>
            <c:strRef>
              <c:f>'CQC Summary Report'!$A$13:$A$21</c:f>
              <c:strCache>
                <c:ptCount val="9"/>
                <c:pt idx="0">
                  <c:v>Reg 9</c:v>
                </c:pt>
                <c:pt idx="1">
                  <c:v>Reg 10</c:v>
                </c:pt>
                <c:pt idx="2">
                  <c:v>Reg 11</c:v>
                </c:pt>
                <c:pt idx="3">
                  <c:v>Reg 12</c:v>
                </c:pt>
                <c:pt idx="4">
                  <c:v>Reg 13</c:v>
                </c:pt>
                <c:pt idx="5">
                  <c:v>Reg 15</c:v>
                </c:pt>
                <c:pt idx="6">
                  <c:v>Reg 17</c:v>
                </c:pt>
                <c:pt idx="7">
                  <c:v>Reg 18</c:v>
                </c:pt>
                <c:pt idx="8">
                  <c:v>Reg 19</c:v>
                </c:pt>
              </c:strCache>
            </c:strRef>
          </c:cat>
          <c:val>
            <c:numRef>
              <c:f>'CQC Summary Report'!$E$13:$E$21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ABF9-4581-AED9-216384A2BF23}"/>
            </c:ext>
          </c:extLst>
        </c:ser>
        <c:ser>
          <c:idx val="4"/>
          <c:order val="4"/>
          <c:tx>
            <c:v>Outstanding</c:v>
          </c:tx>
          <c:spPr>
            <a:ln>
              <a:prstDash val="solid"/>
            </a:ln>
          </c:spPr>
          <c:invertIfNegative val="1"/>
          <c:cat>
            <c:strRef>
              <c:f>'CQC Summary Report'!$A$13:$A$21</c:f>
              <c:strCache>
                <c:ptCount val="9"/>
                <c:pt idx="0">
                  <c:v>Reg 9</c:v>
                </c:pt>
                <c:pt idx="1">
                  <c:v>Reg 10</c:v>
                </c:pt>
                <c:pt idx="2">
                  <c:v>Reg 11</c:v>
                </c:pt>
                <c:pt idx="3">
                  <c:v>Reg 12</c:v>
                </c:pt>
                <c:pt idx="4">
                  <c:v>Reg 13</c:v>
                </c:pt>
                <c:pt idx="5">
                  <c:v>Reg 15</c:v>
                </c:pt>
                <c:pt idx="6">
                  <c:v>Reg 17</c:v>
                </c:pt>
                <c:pt idx="7">
                  <c:v>Reg 18</c:v>
                </c:pt>
                <c:pt idx="8">
                  <c:v>Reg 19</c:v>
                </c:pt>
              </c:strCache>
            </c:strRef>
          </c:cat>
          <c:val>
            <c:numRef>
              <c:f>'CQC Summary Report'!$F$13:$F$21</c:f>
              <c:numCache>
                <c:formatCode>General</c:formatCode>
                <c:ptCount val="9"/>
                <c:pt idx="0">
                  <c:v>10</c:v>
                </c:pt>
                <c:pt idx="1">
                  <c:v>10</c:v>
                </c:pt>
                <c:pt idx="2">
                  <c:v>10</c:v>
                </c:pt>
                <c:pt idx="3">
                  <c:v>23</c:v>
                </c:pt>
                <c:pt idx="4">
                  <c:v>9</c:v>
                </c:pt>
                <c:pt idx="5">
                  <c:v>23</c:v>
                </c:pt>
                <c:pt idx="6">
                  <c:v>9</c:v>
                </c:pt>
                <c:pt idx="7">
                  <c:v>10</c:v>
                </c:pt>
                <c:pt idx="8">
                  <c:v>23</c:v>
                </c:pt>
              </c:numCache>
            </c:numRef>
          </c:val>
          <c:extLst>
            <c:ext xmlns:c16="http://schemas.microsoft.com/office/drawing/2014/chart" uri="{C3380CC4-5D6E-409C-BE32-E72D297353CC}">
              <c16:uniqueId val="{00000004-ABF9-4581-AED9-216384A2BF23}"/>
            </c:ext>
          </c:extLst>
        </c:ser>
        <c:ser>
          <c:idx val="5"/>
          <c:order val="5"/>
          <c:tx>
            <c:v>Overdue</c:v>
          </c:tx>
          <c:spPr>
            <a:ln>
              <a:prstDash val="solid"/>
            </a:ln>
          </c:spPr>
          <c:invertIfNegative val="1"/>
          <c:cat>
            <c:strRef>
              <c:f>'CQC Summary Report'!$A$13:$A$21</c:f>
              <c:strCache>
                <c:ptCount val="9"/>
                <c:pt idx="0">
                  <c:v>Reg 9</c:v>
                </c:pt>
                <c:pt idx="1">
                  <c:v>Reg 10</c:v>
                </c:pt>
                <c:pt idx="2">
                  <c:v>Reg 11</c:v>
                </c:pt>
                <c:pt idx="3">
                  <c:v>Reg 12</c:v>
                </c:pt>
                <c:pt idx="4">
                  <c:v>Reg 13</c:v>
                </c:pt>
                <c:pt idx="5">
                  <c:v>Reg 15</c:v>
                </c:pt>
                <c:pt idx="6">
                  <c:v>Reg 17</c:v>
                </c:pt>
                <c:pt idx="7">
                  <c:v>Reg 18</c:v>
                </c:pt>
                <c:pt idx="8">
                  <c:v>Reg 19</c:v>
                </c:pt>
              </c:strCache>
            </c:strRef>
          </c:cat>
          <c:val>
            <c:numRef>
              <c:f>'CQC Summary Report'!$G$13:$G$21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5-ABF9-4581-AED9-216384A2BF23}"/>
            </c:ext>
          </c:extLst>
        </c:ser>
        <c:ser>
          <c:idx val="6"/>
          <c:order val="6"/>
          <c:tx>
            <c:v>Compliance %</c:v>
          </c:tx>
          <c:spPr>
            <a:ln>
              <a:prstDash val="solid"/>
            </a:ln>
          </c:spPr>
          <c:invertIfNegative val="1"/>
          <c:cat>
            <c:strRef>
              <c:f>'CQC Summary Report'!$A$13:$A$21</c:f>
              <c:strCache>
                <c:ptCount val="9"/>
                <c:pt idx="0">
                  <c:v>Reg 9</c:v>
                </c:pt>
                <c:pt idx="1">
                  <c:v>Reg 10</c:v>
                </c:pt>
                <c:pt idx="2">
                  <c:v>Reg 11</c:v>
                </c:pt>
                <c:pt idx="3">
                  <c:v>Reg 12</c:v>
                </c:pt>
                <c:pt idx="4">
                  <c:v>Reg 13</c:v>
                </c:pt>
                <c:pt idx="5">
                  <c:v>Reg 15</c:v>
                </c:pt>
                <c:pt idx="6">
                  <c:v>Reg 17</c:v>
                </c:pt>
                <c:pt idx="7">
                  <c:v>Reg 18</c:v>
                </c:pt>
                <c:pt idx="8">
                  <c:v>Reg 19</c:v>
                </c:pt>
              </c:strCache>
            </c:strRef>
          </c:cat>
          <c:val>
            <c:numRef>
              <c:f>'CQC Summary Report'!$H$13:$H$21</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ABF9-4581-AED9-216384A2BF2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19</xdr:col>
      <xdr:colOff>0</xdr:colOff>
      <xdr:row>20</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ActionPlan" displayName="MasterActionPlan" ref="A1:U112">
  <tableColumns count="21">
    <tableColumn id="1" xr3:uid="{00000000-0010-0000-0000-000001000000}" name="Action ID"/>
    <tableColumn id="2" xr3:uid="{00000000-0010-0000-0000-000002000000}" name="Regulation"/>
    <tableColumn id="3" xr3:uid="{00000000-0010-0000-0000-000003000000}" name="Key Question"/>
    <tableColumn id="4" xr3:uid="{00000000-0010-0000-0000-000004000000}" name="CQC Concern / Finding"/>
    <tableColumn id="5" xr3:uid="{00000000-0010-0000-0000-000005000000}" name="Root Cause"/>
    <tableColumn id="6" xr3:uid="{00000000-0010-0000-0000-000006000000}" name="Immediate Corrective Action"/>
    <tableColumn id="7" xr3:uid="{00000000-0010-0000-0000-000007000000}" name="Sustainable Preventative Action"/>
    <tableColumn id="8" xr3:uid="{00000000-0010-0000-0000-000008000000}" name="Responsible Person"/>
    <tableColumn id="9" xr3:uid="{00000000-0010-0000-0000-000009000000}" name="Priority"/>
    <tableColumn id="10" xr3:uid="{00000000-0010-0000-0000-00000A000000}" name="Start Date"/>
    <tableColumn id="11" xr3:uid="{00000000-0010-0000-0000-00000B000000}" name="Target Date"/>
    <tableColumn id="12" xr3:uid="{00000000-0010-0000-0000-00000C000000}" name="Completion Date"/>
    <tableColumn id="13" xr3:uid="{00000000-0010-0000-0000-00000D000000}" name="Status"/>
    <tableColumn id="14" xr3:uid="{00000000-0010-0000-0000-00000E000000}" name="Auto RAG"/>
    <tableColumn id="15" xr3:uid="{00000000-0010-0000-0000-00000F000000}" name="Comments"/>
    <tableColumn id="16" xr3:uid="{00000000-0010-0000-0000-000010000000}" name="Evidence Required"/>
    <tableColumn id="17" xr3:uid="{00000000-0010-0000-0000-000011000000}" name="Evidence Ref"/>
    <tableColumn id="18" xr3:uid="{00000000-0010-0000-0000-000012000000}" name="Evidence Verified?"/>
    <tableColumn id="19" xr3:uid="{00000000-0010-0000-0000-000013000000}" name="Verified By"/>
    <tableColumn id="20" xr3:uid="{00000000-0010-0000-0000-000014000000}" name="Verification Date"/>
    <tableColumn id="21" xr3:uid="{00000000-0010-0000-0000-000015000000}" name="CQC / NOP Refer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gulationTracker" displayName="RegulationTracker" ref="A1:J10">
  <tableColumns count="10">
    <tableColumn id="1" xr3:uid="{00000000-0010-0000-0100-000001000000}" name="Regulation"/>
    <tableColumn id="2" xr3:uid="{00000000-0010-0000-0100-000002000000}" name="Purpose / Area"/>
    <tableColumn id="3" xr3:uid="{00000000-0010-0000-0100-000003000000}" name="Total Actions"/>
    <tableColumn id="4" xr3:uid="{00000000-0010-0000-0100-000004000000}" name="Completed"/>
    <tableColumn id="5" xr3:uid="{00000000-0010-0000-0100-000005000000}" name="Verified"/>
    <tableColumn id="6" xr3:uid="{00000000-0010-0000-0100-000006000000}" name="Outstanding"/>
    <tableColumn id="7" xr3:uid="{00000000-0010-0000-0100-000007000000}" name="Overdue"/>
    <tableColumn id="8" xr3:uid="{00000000-0010-0000-0100-000008000000}" name="Compliance %"/>
    <tableColumn id="9" xr3:uid="{00000000-0010-0000-0100-000009000000}" name="Overall RAG"/>
    <tableColumn id="10" xr3:uid="{00000000-0010-0000-0100-00000A000000}" name="Comme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idenceTracker" displayName="EvidenceTracker" ref="A1:J101">
  <tableColumns count="10">
    <tableColumn id="1" xr3:uid="{00000000-0010-0000-0200-000001000000}" name="Evidence ID"/>
    <tableColumn id="2" xr3:uid="{00000000-0010-0000-0200-000002000000}" name="Linked Action ID"/>
    <tableColumn id="3" xr3:uid="{00000000-0010-0000-0200-000003000000}" name="Regulation"/>
    <tableColumn id="4" xr3:uid="{00000000-0010-0000-0200-000004000000}" name="Evidence Type"/>
    <tableColumn id="5" xr3:uid="{00000000-0010-0000-0200-000005000000}" name="Document / File Name"/>
    <tableColumn id="6" xr3:uid="{00000000-0010-0000-0200-000006000000}" name="Folder Location / Link"/>
    <tableColumn id="7" xr3:uid="{00000000-0010-0000-0200-000007000000}" name="Date Added"/>
    <tableColumn id="8" xr3:uid="{00000000-0010-0000-0200-000008000000}" name="Verified?"/>
    <tableColumn id="9" xr3:uid="{00000000-0010-0000-0200-000009000000}" name="Verified By"/>
    <tableColumn id="10" xr3:uid="{00000000-0010-0000-0200-00000A000000}" name="Commen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zoomScale="90" zoomScaleNormal="90" workbookViewId="0">
      <selection sqref="A1:H1"/>
    </sheetView>
  </sheetViews>
  <sheetFormatPr defaultRowHeight="14"/>
  <cols>
    <col min="1" max="1" width="22.25" customWidth="1"/>
    <col min="2" max="2" width="25.6640625" customWidth="1"/>
    <col min="3" max="3" width="10.4140625" customWidth="1"/>
    <col min="4" max="4" width="8.9140625" customWidth="1"/>
    <col min="5" max="5" width="6.5" customWidth="1"/>
    <col min="6" max="6" width="9.9140625" customWidth="1"/>
    <col min="7" max="7" width="7.1640625" customWidth="1"/>
    <col min="8" max="8" width="10.1640625" customWidth="1"/>
    <col min="9" max="9" width="9.75" customWidth="1"/>
    <col min="10" max="10" width="8.75" customWidth="1"/>
  </cols>
  <sheetData>
    <row r="1" spans="1:10" ht="15" customHeight="1">
      <c r="A1" s="24" t="s">
        <v>0</v>
      </c>
      <c r="B1" s="25"/>
      <c r="C1" s="25"/>
      <c r="D1" s="25"/>
      <c r="E1" s="25"/>
      <c r="F1" s="25"/>
      <c r="G1" s="25"/>
      <c r="H1" s="25"/>
    </row>
    <row r="2" spans="1:10">
      <c r="A2" s="3"/>
      <c r="B2" s="3"/>
      <c r="C2" s="3"/>
      <c r="D2" s="3"/>
      <c r="E2" s="3"/>
      <c r="F2" s="3"/>
      <c r="G2" s="3"/>
      <c r="H2" s="3"/>
    </row>
    <row r="3" spans="1:10" ht="28" customHeight="1">
      <c r="A3" s="7" t="s">
        <v>1</v>
      </c>
      <c r="B3" s="8">
        <f>IF(B4=0,0,B5/B4)</f>
        <v>0</v>
      </c>
      <c r="C3" s="3"/>
      <c r="D3" s="3"/>
      <c r="E3" s="3"/>
      <c r="F3" s="3"/>
      <c r="G3" s="3"/>
      <c r="H3" s="3"/>
    </row>
    <row r="4" spans="1:10">
      <c r="A4" s="7" t="s">
        <v>2</v>
      </c>
      <c r="B4" s="7">
        <v>111</v>
      </c>
      <c r="C4" s="3"/>
      <c r="D4" s="3"/>
      <c r="E4" s="3"/>
      <c r="F4" s="3"/>
      <c r="G4" s="3"/>
      <c r="H4" s="3"/>
    </row>
    <row r="5" spans="1:10" ht="28" customHeight="1">
      <c r="A5" s="7" t="s">
        <v>3</v>
      </c>
      <c r="B5" s="7">
        <f>COUNTIF('Master Action Plan'!M:M,"Completed")+COUNTIF('Master Action Plan'!M:M,"Verified")</f>
        <v>0</v>
      </c>
      <c r="C5" s="3"/>
      <c r="D5" s="3"/>
      <c r="E5" s="3"/>
      <c r="F5" s="3"/>
      <c r="G5" s="3"/>
      <c r="H5" s="3"/>
    </row>
    <row r="6" spans="1:10">
      <c r="A6" s="7" t="s">
        <v>4</v>
      </c>
      <c r="B6" s="7">
        <v>109</v>
      </c>
      <c r="C6" s="3"/>
      <c r="D6" s="3"/>
      <c r="E6" s="3"/>
      <c r="F6" s="3"/>
      <c r="G6" s="3"/>
      <c r="H6" s="3"/>
    </row>
    <row r="7" spans="1:10">
      <c r="A7" s="7" t="s">
        <v>5</v>
      </c>
      <c r="B7" s="7">
        <f ca="1">COUNTIFS('Master Action Plan'!K:K,"&lt;"&amp;TODAY(),'Master Action Plan'!M:M,"&lt;&gt;Completed",'Master Action Plan'!M:M,"&lt;&gt;Verified")</f>
        <v>0</v>
      </c>
      <c r="C7" s="3"/>
      <c r="D7" s="3"/>
      <c r="E7" s="3"/>
      <c r="F7" s="3"/>
      <c r="G7" s="3"/>
      <c r="H7" s="3"/>
    </row>
    <row r="8" spans="1:10">
      <c r="A8" s="7" t="s">
        <v>6</v>
      </c>
      <c r="B8" s="7">
        <v>67</v>
      </c>
      <c r="C8" s="3"/>
      <c r="D8" s="3"/>
      <c r="E8" s="3"/>
      <c r="F8" s="3"/>
      <c r="G8" s="3"/>
      <c r="H8" s="3"/>
    </row>
    <row r="9" spans="1:10" ht="28" customHeight="1">
      <c r="A9" s="7" t="s">
        <v>7</v>
      </c>
      <c r="B9" s="7">
        <f>COUNTIF('Evidence Tracker'!H:H,"Yes")</f>
        <v>0</v>
      </c>
      <c r="C9" s="3"/>
      <c r="D9" s="3"/>
      <c r="E9" s="3"/>
      <c r="F9" s="3"/>
      <c r="G9" s="3"/>
      <c r="H9" s="3"/>
    </row>
    <row r="10" spans="1:10">
      <c r="A10" s="7" t="s">
        <v>8</v>
      </c>
      <c r="B10" s="7" t="str">
        <f>IF(B3&gt;=0.9,"Green",IF(B3&gt;=0.6,"Amber","Red"))</f>
        <v>Red</v>
      </c>
      <c r="C10" s="3"/>
      <c r="D10" s="3"/>
      <c r="E10" s="3"/>
      <c r="F10" s="3"/>
      <c r="G10" s="3"/>
      <c r="H10" s="3"/>
    </row>
    <row r="11" spans="1:10">
      <c r="A11" s="3"/>
      <c r="B11" s="3"/>
      <c r="C11" s="3"/>
      <c r="D11" s="3"/>
      <c r="E11" s="3"/>
      <c r="F11" s="3"/>
      <c r="G11" s="3"/>
      <c r="H11" s="3"/>
    </row>
    <row r="12" spans="1:10" ht="28">
      <c r="A12" s="1" t="s">
        <v>9</v>
      </c>
      <c r="B12" s="1" t="s">
        <v>10</v>
      </c>
      <c r="C12" s="1" t="s">
        <v>2</v>
      </c>
      <c r="D12" s="1" t="s">
        <v>11</v>
      </c>
      <c r="E12" s="1" t="s">
        <v>12</v>
      </c>
      <c r="F12" s="1" t="s">
        <v>4</v>
      </c>
      <c r="G12" s="1" t="s">
        <v>5</v>
      </c>
      <c r="H12" s="1" t="s">
        <v>13</v>
      </c>
      <c r="I12" s="9" t="s">
        <v>8</v>
      </c>
      <c r="J12" s="9" t="s">
        <v>14</v>
      </c>
    </row>
    <row r="13" spans="1:10">
      <c r="A13" s="3" t="str">
        <f>'Regulation Tracker'!A2</f>
        <v>Reg 9</v>
      </c>
      <c r="B13" s="3" t="str">
        <f>'Regulation Tracker'!B2</f>
        <v>Person-centred care</v>
      </c>
      <c r="C13" s="3">
        <f>'Regulation Tracker'!C2</f>
        <v>10</v>
      </c>
      <c r="D13" s="3">
        <f>'Regulation Tracker'!D2</f>
        <v>0</v>
      </c>
      <c r="E13" s="3">
        <f>'Regulation Tracker'!E2</f>
        <v>0</v>
      </c>
      <c r="F13" s="3">
        <f>'Regulation Tracker'!F2</f>
        <v>10</v>
      </c>
      <c r="G13" s="3">
        <f ca="1">'Regulation Tracker'!G2</f>
        <v>0</v>
      </c>
      <c r="H13" s="10">
        <f>'Regulation Tracker'!H2</f>
        <v>0</v>
      </c>
      <c r="I13" t="str">
        <f>'Regulation Tracker'!I2</f>
        <v>Red</v>
      </c>
      <c r="J13">
        <f>'Regulation Tracker'!J2</f>
        <v>0</v>
      </c>
    </row>
    <row r="14" spans="1:10">
      <c r="A14" s="3" t="str">
        <f>'Regulation Tracker'!A3</f>
        <v>Reg 10</v>
      </c>
      <c r="B14" s="3" t="str">
        <f>'Regulation Tracker'!B3</f>
        <v>Dignity and respect</v>
      </c>
      <c r="C14" s="3">
        <f>'Regulation Tracker'!C3</f>
        <v>10</v>
      </c>
      <c r="D14" s="3">
        <f>'Regulation Tracker'!D3</f>
        <v>0</v>
      </c>
      <c r="E14" s="3">
        <f>'Regulation Tracker'!E3</f>
        <v>0</v>
      </c>
      <c r="F14" s="3">
        <f>'Regulation Tracker'!F3</f>
        <v>10</v>
      </c>
      <c r="G14" s="3">
        <f ca="1">'Regulation Tracker'!G3</f>
        <v>0</v>
      </c>
      <c r="H14" s="10">
        <f>'Regulation Tracker'!H3</f>
        <v>0</v>
      </c>
      <c r="I14" t="str">
        <f>'Regulation Tracker'!I3</f>
        <v>Red</v>
      </c>
      <c r="J14">
        <f>'Regulation Tracker'!J3</f>
        <v>0</v>
      </c>
    </row>
    <row r="15" spans="1:10">
      <c r="A15" s="3" t="str">
        <f>'Regulation Tracker'!A4</f>
        <v>Reg 11</v>
      </c>
      <c r="B15" s="3" t="str">
        <f>'Regulation Tracker'!B4</f>
        <v>Need for consent / MCA</v>
      </c>
      <c r="C15" s="3">
        <f>'Regulation Tracker'!C4</f>
        <v>10</v>
      </c>
      <c r="D15" s="3">
        <f>'Regulation Tracker'!D4</f>
        <v>0</v>
      </c>
      <c r="E15" s="3">
        <f>'Regulation Tracker'!E4</f>
        <v>0</v>
      </c>
      <c r="F15" s="3">
        <f>'Regulation Tracker'!F4</f>
        <v>10</v>
      </c>
      <c r="G15" s="3">
        <f ca="1">'Regulation Tracker'!G4</f>
        <v>0</v>
      </c>
      <c r="H15" s="10">
        <f>'Regulation Tracker'!H4</f>
        <v>0</v>
      </c>
      <c r="I15" t="str">
        <f>'Regulation Tracker'!I4</f>
        <v>Red</v>
      </c>
      <c r="J15">
        <f>'Regulation Tracker'!J4</f>
        <v>0</v>
      </c>
    </row>
    <row r="16" spans="1:10">
      <c r="A16" s="3" t="str">
        <f>'Regulation Tracker'!A5</f>
        <v>Reg 12</v>
      </c>
      <c r="B16" s="3" t="str">
        <f>'Regulation Tracker'!B5</f>
        <v>Safe care and treatment</v>
      </c>
      <c r="C16" s="3">
        <f>'Regulation Tracker'!C5</f>
        <v>23</v>
      </c>
      <c r="D16" s="3">
        <f>'Regulation Tracker'!D5</f>
        <v>0</v>
      </c>
      <c r="E16" s="3">
        <f>'Regulation Tracker'!E5</f>
        <v>0</v>
      </c>
      <c r="F16" s="3">
        <f>'Regulation Tracker'!F5</f>
        <v>23</v>
      </c>
      <c r="G16" s="3">
        <f ca="1">'Regulation Tracker'!G5</f>
        <v>0</v>
      </c>
      <c r="H16" s="10">
        <f>'Regulation Tracker'!H5</f>
        <v>0</v>
      </c>
      <c r="I16" t="str">
        <f>'Regulation Tracker'!I5</f>
        <v>Red</v>
      </c>
      <c r="J16">
        <f>'Regulation Tracker'!J5</f>
        <v>0</v>
      </c>
    </row>
    <row r="17" spans="1:10">
      <c r="A17" s="3" t="str">
        <f>'Regulation Tracker'!A6</f>
        <v>Reg 13</v>
      </c>
      <c r="B17" s="3" t="str">
        <f>'Regulation Tracker'!B6</f>
        <v>Safeguarding</v>
      </c>
      <c r="C17" s="3">
        <f>'Regulation Tracker'!C6</f>
        <v>9</v>
      </c>
      <c r="D17" s="3">
        <f>'Regulation Tracker'!D6</f>
        <v>0</v>
      </c>
      <c r="E17" s="3">
        <f>'Regulation Tracker'!E6</f>
        <v>0</v>
      </c>
      <c r="F17" s="3">
        <f>'Regulation Tracker'!F6</f>
        <v>9</v>
      </c>
      <c r="G17" s="3">
        <f ca="1">'Regulation Tracker'!G6</f>
        <v>0</v>
      </c>
      <c r="H17" s="10">
        <f>'Regulation Tracker'!H6</f>
        <v>0</v>
      </c>
      <c r="I17" t="str">
        <f>'Regulation Tracker'!I6</f>
        <v>Red</v>
      </c>
      <c r="J17">
        <f>'Regulation Tracker'!J6</f>
        <v>0</v>
      </c>
    </row>
    <row r="18" spans="1:10">
      <c r="A18" s="3" t="str">
        <f>'Regulation Tracker'!A7</f>
        <v>Reg 15</v>
      </c>
      <c r="B18" s="3" t="str">
        <f>'Regulation Tracker'!B7</f>
        <v>Premises and equipment</v>
      </c>
      <c r="C18" s="3">
        <v>23</v>
      </c>
      <c r="D18" s="3">
        <v>0</v>
      </c>
      <c r="E18" s="3">
        <v>0</v>
      </c>
      <c r="F18" s="3">
        <v>23</v>
      </c>
      <c r="G18" s="3">
        <v>0</v>
      </c>
      <c r="H18" s="10">
        <v>0</v>
      </c>
      <c r="I18" t="s">
        <v>15</v>
      </c>
      <c r="J18">
        <f>'Regulation Tracker'!J7</f>
        <v>0</v>
      </c>
    </row>
    <row r="19" spans="1:10">
      <c r="A19" s="3" t="str">
        <f>'Regulation Tracker'!A8</f>
        <v>Reg 17</v>
      </c>
      <c r="B19" s="3" t="str">
        <f>'Regulation Tracker'!B8</f>
        <v>Good governance</v>
      </c>
      <c r="C19" s="3">
        <v>9</v>
      </c>
      <c r="D19" s="3">
        <v>0</v>
      </c>
      <c r="E19" s="3">
        <v>0</v>
      </c>
      <c r="F19" s="3">
        <v>9</v>
      </c>
      <c r="G19" s="3">
        <v>0</v>
      </c>
      <c r="H19" s="10">
        <v>0</v>
      </c>
      <c r="I19" t="s">
        <v>15</v>
      </c>
      <c r="J19">
        <f>'Regulation Tracker'!J8</f>
        <v>0</v>
      </c>
    </row>
    <row r="20" spans="1:10">
      <c r="A20" s="3" t="str">
        <f>'Regulation Tracker'!A9</f>
        <v>Reg 18</v>
      </c>
      <c r="B20" s="3" t="str">
        <f>'Regulation Tracker'!B9</f>
        <v>Staffing, training and competence</v>
      </c>
      <c r="C20" s="3">
        <f>'Regulation Tracker'!C9</f>
        <v>10</v>
      </c>
      <c r="D20" s="3">
        <f>'Regulation Tracker'!D9</f>
        <v>0</v>
      </c>
      <c r="E20" s="3">
        <f>'Regulation Tracker'!E9</f>
        <v>0</v>
      </c>
      <c r="F20" s="3">
        <f>'Regulation Tracker'!F9</f>
        <v>10</v>
      </c>
      <c r="G20" s="3">
        <f ca="1">'Regulation Tracker'!G9</f>
        <v>0</v>
      </c>
      <c r="H20" s="10">
        <f>'Regulation Tracker'!H9</f>
        <v>0</v>
      </c>
      <c r="I20" t="str">
        <f>'Regulation Tracker'!I9</f>
        <v>Red</v>
      </c>
      <c r="J20">
        <f>'Regulation Tracker'!J9</f>
        <v>0</v>
      </c>
    </row>
    <row r="21" spans="1:10">
      <c r="A21" s="3" t="str">
        <f>'Regulation Tracker'!A10</f>
        <v>Reg 19</v>
      </c>
      <c r="B21" s="3" t="str">
        <f>'Regulation Tracker'!B10</f>
        <v>Fit and proper persons employed</v>
      </c>
      <c r="C21" s="3">
        <v>23</v>
      </c>
      <c r="D21" s="3">
        <v>0</v>
      </c>
      <c r="E21" s="3">
        <v>0</v>
      </c>
      <c r="F21" s="3">
        <v>23</v>
      </c>
      <c r="G21" s="3">
        <v>0</v>
      </c>
      <c r="H21" s="10">
        <v>0</v>
      </c>
      <c r="I21" t="s">
        <v>15</v>
      </c>
      <c r="J21">
        <f>'Regulation Tracker'!J10</f>
        <v>0</v>
      </c>
    </row>
    <row r="22" spans="1:10">
      <c r="A22" s="3"/>
      <c r="B22" s="3"/>
      <c r="C22" s="3"/>
      <c r="D22" s="3"/>
      <c r="E22" s="3"/>
      <c r="F22" s="3"/>
      <c r="G22" s="3"/>
      <c r="H22" s="3"/>
    </row>
    <row r="23" spans="1:10">
      <c r="A23" s="3"/>
      <c r="B23" s="3"/>
      <c r="C23" s="3"/>
      <c r="D23" s="3"/>
      <c r="E23" s="3"/>
      <c r="F23" s="3"/>
      <c r="G23" s="3"/>
      <c r="H23" s="3"/>
    </row>
    <row r="24" spans="1:10">
      <c r="A24" s="23" t="s">
        <v>16</v>
      </c>
      <c r="B24" s="21"/>
      <c r="C24" s="21"/>
      <c r="D24" s="21"/>
      <c r="E24" s="21"/>
      <c r="F24" s="21"/>
      <c r="G24" s="21"/>
      <c r="H24" s="21"/>
    </row>
    <row r="25" spans="1:10">
      <c r="A25" s="20" t="s">
        <v>17</v>
      </c>
      <c r="B25" s="21"/>
      <c r="C25" s="21"/>
      <c r="D25" s="21"/>
      <c r="E25" s="21"/>
      <c r="F25" s="21"/>
      <c r="G25" s="21"/>
      <c r="H25" s="21"/>
    </row>
    <row r="26" spans="1:10">
      <c r="A26" s="21"/>
      <c r="B26" s="22"/>
      <c r="C26" s="22"/>
      <c r="D26" s="22"/>
      <c r="E26" s="22"/>
      <c r="F26" s="22"/>
      <c r="G26" s="22"/>
      <c r="H26" s="21"/>
    </row>
    <row r="27" spans="1:10">
      <c r="A27" s="21"/>
      <c r="B27" s="22"/>
      <c r="C27" s="22"/>
      <c r="D27" s="22"/>
      <c r="E27" s="22"/>
      <c r="F27" s="22"/>
      <c r="G27" s="22"/>
      <c r="H27" s="21"/>
    </row>
    <row r="28" spans="1:10">
      <c r="A28" s="21"/>
      <c r="B28" s="22"/>
      <c r="C28" s="22"/>
      <c r="D28" s="22"/>
      <c r="E28" s="22"/>
      <c r="F28" s="22"/>
      <c r="G28" s="22"/>
      <c r="H28" s="21"/>
    </row>
    <row r="29" spans="1:10">
      <c r="A29" s="21"/>
      <c r="B29" s="22"/>
      <c r="C29" s="22"/>
      <c r="D29" s="22"/>
      <c r="E29" s="22"/>
      <c r="F29" s="22"/>
      <c r="G29" s="22"/>
      <c r="H29" s="21"/>
    </row>
    <row r="30" spans="1:10">
      <c r="A30" s="21"/>
      <c r="B30" s="21"/>
      <c r="C30" s="21"/>
      <c r="D30" s="21"/>
      <c r="E30" s="21"/>
      <c r="F30" s="21"/>
      <c r="G30" s="21"/>
      <c r="H30" s="21"/>
    </row>
  </sheetData>
  <mergeCells count="3">
    <mergeCell ref="A25:H30"/>
    <mergeCell ref="A24:H24"/>
    <mergeCell ref="A1:H1"/>
  </mergeCells>
  <conditionalFormatting sqref="I13:I21">
    <cfRule type="expression" dxfId="10" priority="1">
      <formula>I13="Red"</formula>
    </cfRule>
    <cfRule type="expression" dxfId="9" priority="2">
      <formula>I13="Amber"</formula>
    </cfRule>
    <cfRule type="expression" dxfId="8" priority="3">
      <formula>I13="Green"</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27"/>
  <sheetViews>
    <sheetView topLeftCell="O1" zoomScale="80" zoomScaleNormal="80" workbookViewId="0">
      <selection activeCell="X1" sqref="X1"/>
    </sheetView>
  </sheetViews>
  <sheetFormatPr defaultRowHeight="14"/>
  <cols>
    <col min="1" max="1" width="10" customWidth="1"/>
    <col min="2" max="2" width="12" customWidth="1"/>
    <col min="3" max="3" width="13" customWidth="1"/>
    <col min="4" max="7" width="32" customWidth="1"/>
    <col min="8" max="8" width="20" customWidth="1"/>
    <col min="9" max="12" width="12" customWidth="1"/>
    <col min="13" max="13" width="14" customWidth="1"/>
    <col min="14" max="14" width="24" customWidth="1"/>
    <col min="15" max="16" width="32" customWidth="1"/>
    <col min="17" max="17" width="16" customWidth="1"/>
    <col min="18" max="18" width="14" customWidth="1"/>
    <col min="19" max="19" width="18" customWidth="1"/>
    <col min="20" max="20" width="14" customWidth="1"/>
    <col min="21" max="21" width="32" customWidth="1"/>
  </cols>
  <sheetData>
    <row r="1" spans="1:21" ht="28" customHeight="1">
      <c r="A1" s="2" t="s">
        <v>18</v>
      </c>
      <c r="B1" s="2" t="s">
        <v>9</v>
      </c>
      <c r="C1" s="2" t="s">
        <v>19</v>
      </c>
      <c r="D1" s="2" t="s">
        <v>20</v>
      </c>
      <c r="E1" s="2" t="s">
        <v>21</v>
      </c>
      <c r="F1" s="2" t="s">
        <v>22</v>
      </c>
      <c r="G1" s="2" t="s">
        <v>23</v>
      </c>
      <c r="H1" s="2" t="s">
        <v>24</v>
      </c>
      <c r="I1" s="2" t="s">
        <v>25</v>
      </c>
      <c r="J1" s="2" t="s">
        <v>26</v>
      </c>
      <c r="K1" s="2" t="s">
        <v>27</v>
      </c>
      <c r="L1" s="2" t="s">
        <v>28</v>
      </c>
      <c r="M1" s="2" t="s">
        <v>29</v>
      </c>
      <c r="N1" s="2" t="s">
        <v>30</v>
      </c>
      <c r="O1" s="2" t="s">
        <v>14</v>
      </c>
      <c r="P1" s="2" t="s">
        <v>31</v>
      </c>
      <c r="Q1" s="2" t="s">
        <v>32</v>
      </c>
      <c r="R1" s="2" t="s">
        <v>33</v>
      </c>
      <c r="S1" s="2" t="s">
        <v>34</v>
      </c>
      <c r="T1" s="2" t="s">
        <v>35</v>
      </c>
      <c r="U1" s="2" t="s">
        <v>36</v>
      </c>
    </row>
    <row r="2" spans="1:21" ht="41.5" customHeight="1">
      <c r="A2" s="3" t="s">
        <v>37</v>
      </c>
      <c r="B2" s="3" t="s">
        <v>38</v>
      </c>
      <c r="C2" s="3" t="s">
        <v>39</v>
      </c>
      <c r="D2" s="3" t="s">
        <v>40</v>
      </c>
      <c r="E2" s="3" t="s">
        <v>41</v>
      </c>
      <c r="F2" s="16" t="s">
        <v>42</v>
      </c>
      <c r="G2" s="16" t="s">
        <v>43</v>
      </c>
      <c r="H2" s="3" t="s">
        <v>44</v>
      </c>
      <c r="I2" s="3" t="s">
        <v>45</v>
      </c>
      <c r="J2" s="4">
        <v>46201</v>
      </c>
      <c r="K2" s="4">
        <v>46213</v>
      </c>
      <c r="L2" s="4"/>
      <c r="M2" s="3" t="s">
        <v>46</v>
      </c>
      <c r="N2" s="3" t="str">
        <f t="shared" ref="N2:N33" ca="1" si="0">IF(M2="Verified","Green",IF(M2="Completed","Amber - Awaiting Verification",IF(K2&lt;TODAY(),"Red - Overdue",IF(M2="In Progress","Amber","Red - Not Started"))))</f>
        <v>Amber</v>
      </c>
      <c r="O2" s="16" t="s">
        <v>565</v>
      </c>
      <c r="P2" s="16" t="s">
        <v>47</v>
      </c>
      <c r="Q2" s="16" t="s">
        <v>48</v>
      </c>
      <c r="R2" s="3" t="s">
        <v>49</v>
      </c>
      <c r="S2" s="3"/>
      <c r="T2" s="4"/>
      <c r="U2" s="3" t="s">
        <v>50</v>
      </c>
    </row>
    <row r="3" spans="1:21" ht="42" customHeight="1">
      <c r="A3" s="3" t="s">
        <v>51</v>
      </c>
      <c r="B3" s="3" t="s">
        <v>38</v>
      </c>
      <c r="C3" s="3" t="s">
        <v>39</v>
      </c>
      <c r="D3" s="3" t="s">
        <v>52</v>
      </c>
      <c r="E3" s="3" t="s">
        <v>41</v>
      </c>
      <c r="F3" s="16" t="s">
        <v>42</v>
      </c>
      <c r="G3" s="16" t="s">
        <v>43</v>
      </c>
      <c r="H3" s="3" t="s">
        <v>53</v>
      </c>
      <c r="I3" s="3" t="s">
        <v>45</v>
      </c>
      <c r="J3" s="4">
        <v>46201</v>
      </c>
      <c r="K3" s="4">
        <v>46215</v>
      </c>
      <c r="L3" s="4"/>
      <c r="M3" s="3" t="s">
        <v>46</v>
      </c>
      <c r="N3" s="3" t="str">
        <f t="shared" ca="1" si="0"/>
        <v>Amber</v>
      </c>
      <c r="O3" s="16" t="s">
        <v>566</v>
      </c>
      <c r="P3" s="16" t="s">
        <v>47</v>
      </c>
      <c r="Q3" s="16" t="s">
        <v>48</v>
      </c>
      <c r="R3" s="3" t="s">
        <v>49</v>
      </c>
      <c r="S3" s="3"/>
      <c r="T3" s="4"/>
      <c r="U3" s="3" t="s">
        <v>50</v>
      </c>
    </row>
    <row r="4" spans="1:21" ht="42" customHeight="1">
      <c r="A4" s="3" t="s">
        <v>54</v>
      </c>
      <c r="B4" s="3" t="s">
        <v>38</v>
      </c>
      <c r="C4" s="3" t="s">
        <v>39</v>
      </c>
      <c r="D4" s="3" t="s">
        <v>55</v>
      </c>
      <c r="E4" s="3" t="s">
        <v>41</v>
      </c>
      <c r="F4" s="16" t="s">
        <v>42</v>
      </c>
      <c r="G4" s="16" t="s">
        <v>43</v>
      </c>
      <c r="H4" s="3" t="s">
        <v>53</v>
      </c>
      <c r="I4" s="3" t="s">
        <v>45</v>
      </c>
      <c r="J4" s="4">
        <v>46201</v>
      </c>
      <c r="K4" s="4">
        <v>46215</v>
      </c>
      <c r="L4" s="4"/>
      <c r="M4" s="3" t="s">
        <v>46</v>
      </c>
      <c r="N4" s="3" t="str">
        <f ca="1">IF(M5="Verified","Green",IF(M5="Completed","Amber - Awaiting Verification",IF(K4&lt;TODAY(),"Red - Overdue",IF(M5="In Progress","Amber","Red - Not Started"))))</f>
        <v>Amber</v>
      </c>
      <c r="O4" s="16" t="s">
        <v>566</v>
      </c>
      <c r="P4" s="16" t="s">
        <v>47</v>
      </c>
      <c r="Q4" s="16" t="s">
        <v>48</v>
      </c>
      <c r="R4" s="3" t="s">
        <v>49</v>
      </c>
      <c r="S4" s="3"/>
      <c r="T4" s="4"/>
      <c r="U4" s="3" t="s">
        <v>50</v>
      </c>
    </row>
    <row r="5" spans="1:21" ht="42" customHeight="1">
      <c r="A5" s="3" t="s">
        <v>56</v>
      </c>
      <c r="B5" s="3" t="s">
        <v>38</v>
      </c>
      <c r="C5" s="3" t="s">
        <v>39</v>
      </c>
      <c r="D5" s="3" t="s">
        <v>57</v>
      </c>
      <c r="E5" s="3" t="s">
        <v>41</v>
      </c>
      <c r="F5" s="16" t="s">
        <v>42</v>
      </c>
      <c r="G5" s="16" t="s">
        <v>43</v>
      </c>
      <c r="H5" s="3" t="s">
        <v>53</v>
      </c>
      <c r="I5" s="3" t="s">
        <v>45</v>
      </c>
      <c r="J5" s="4">
        <v>46201</v>
      </c>
      <c r="K5" s="4">
        <v>46215</v>
      </c>
      <c r="L5" s="4"/>
      <c r="M5" s="3" t="s">
        <v>46</v>
      </c>
      <c r="N5" s="3" t="str">
        <f ca="1">IF(M6="Verified","Green",IF(M6="Completed","Amber - Awaiting Verification",IF(K5&lt;TODAY(),"Red - Overdue",IF(M6="In Progress","Amber","Red - Not Started"))))</f>
        <v>Amber</v>
      </c>
      <c r="O5" s="16" t="s">
        <v>567</v>
      </c>
      <c r="P5" s="16" t="s">
        <v>47</v>
      </c>
      <c r="Q5" s="16" t="s">
        <v>58</v>
      </c>
      <c r="R5" s="3" t="s">
        <v>49</v>
      </c>
      <c r="S5" s="3"/>
      <c r="T5" s="4"/>
      <c r="U5" s="3" t="s">
        <v>50</v>
      </c>
    </row>
    <row r="6" spans="1:21" ht="42" customHeight="1">
      <c r="A6" s="3" t="s">
        <v>59</v>
      </c>
      <c r="B6" s="3" t="s">
        <v>38</v>
      </c>
      <c r="C6" s="3" t="s">
        <v>39</v>
      </c>
      <c r="D6" s="3" t="s">
        <v>60</v>
      </c>
      <c r="E6" s="3" t="s">
        <v>41</v>
      </c>
      <c r="F6" s="16" t="s">
        <v>42</v>
      </c>
      <c r="G6" s="16" t="s">
        <v>43</v>
      </c>
      <c r="H6" s="3" t="s">
        <v>53</v>
      </c>
      <c r="I6" s="3" t="s">
        <v>45</v>
      </c>
      <c r="J6" s="4">
        <v>46201</v>
      </c>
      <c r="K6" s="4">
        <v>46215</v>
      </c>
      <c r="L6" s="4"/>
      <c r="M6" s="3" t="s">
        <v>46</v>
      </c>
      <c r="N6" s="3" t="str">
        <f t="shared" ca="1" si="0"/>
        <v>Amber</v>
      </c>
      <c r="O6" s="16" t="s">
        <v>568</v>
      </c>
      <c r="P6" s="16" t="s">
        <v>47</v>
      </c>
      <c r="Q6" s="16" t="s">
        <v>58</v>
      </c>
      <c r="R6" s="3" t="s">
        <v>49</v>
      </c>
      <c r="S6" s="3"/>
      <c r="T6" s="4"/>
      <c r="U6" s="3" t="s">
        <v>50</v>
      </c>
    </row>
    <row r="7" spans="1:21" ht="42" customHeight="1">
      <c r="A7" s="3" t="s">
        <v>62</v>
      </c>
      <c r="B7" s="3" t="s">
        <v>38</v>
      </c>
      <c r="C7" s="3" t="s">
        <v>39</v>
      </c>
      <c r="D7" s="3" t="s">
        <v>63</v>
      </c>
      <c r="E7" s="3" t="s">
        <v>41</v>
      </c>
      <c r="F7" s="16" t="s">
        <v>42</v>
      </c>
      <c r="G7" s="16" t="s">
        <v>43</v>
      </c>
      <c r="H7" s="3" t="s">
        <v>53</v>
      </c>
      <c r="I7" s="3" t="s">
        <v>45</v>
      </c>
      <c r="J7" s="4">
        <v>46201</v>
      </c>
      <c r="K7" s="4">
        <v>46215</v>
      </c>
      <c r="L7" s="4"/>
      <c r="M7" s="3" t="s">
        <v>46</v>
      </c>
      <c r="N7" s="3" t="str">
        <f t="shared" ca="1" si="0"/>
        <v>Amber</v>
      </c>
      <c r="O7" s="17" t="s">
        <v>569</v>
      </c>
      <c r="P7" s="16" t="s">
        <v>47</v>
      </c>
      <c r="Q7" s="16" t="s">
        <v>48</v>
      </c>
      <c r="R7" s="3" t="s">
        <v>49</v>
      </c>
      <c r="S7" s="3"/>
      <c r="T7" s="4"/>
      <c r="U7" s="3" t="s">
        <v>50</v>
      </c>
    </row>
    <row r="8" spans="1:21" ht="42" customHeight="1">
      <c r="A8" s="3" t="s">
        <v>64</v>
      </c>
      <c r="B8" s="3" t="s">
        <v>38</v>
      </c>
      <c r="C8" s="3" t="s">
        <v>39</v>
      </c>
      <c r="D8" s="3" t="s">
        <v>65</v>
      </c>
      <c r="E8" s="3" t="s">
        <v>41</v>
      </c>
      <c r="F8" s="16" t="s">
        <v>42</v>
      </c>
      <c r="G8" s="16" t="s">
        <v>43</v>
      </c>
      <c r="H8" s="3" t="s">
        <v>53</v>
      </c>
      <c r="I8" s="3" t="s">
        <v>45</v>
      </c>
      <c r="J8" s="4">
        <v>46201</v>
      </c>
      <c r="K8" s="4">
        <v>46215</v>
      </c>
      <c r="L8" s="4"/>
      <c r="M8" s="3" t="s">
        <v>46</v>
      </c>
      <c r="N8" s="3" t="str">
        <f t="shared" ca="1" si="0"/>
        <v>Amber</v>
      </c>
      <c r="O8" s="16" t="s">
        <v>570</v>
      </c>
      <c r="P8" s="16" t="s">
        <v>47</v>
      </c>
      <c r="Q8" s="16" t="s">
        <v>48</v>
      </c>
      <c r="R8" s="3" t="s">
        <v>49</v>
      </c>
      <c r="S8" s="3"/>
      <c r="T8" s="4"/>
      <c r="U8" s="3" t="s">
        <v>50</v>
      </c>
    </row>
    <row r="9" spans="1:21" ht="32" customHeight="1">
      <c r="A9" s="3" t="s">
        <v>66</v>
      </c>
      <c r="B9" s="3" t="s">
        <v>38</v>
      </c>
      <c r="C9" s="3" t="s">
        <v>39</v>
      </c>
      <c r="D9" s="3" t="s">
        <v>67</v>
      </c>
      <c r="E9" s="3" t="s">
        <v>41</v>
      </c>
      <c r="F9" s="16" t="s">
        <v>42</v>
      </c>
      <c r="G9" s="16" t="s">
        <v>43</v>
      </c>
      <c r="H9" s="3" t="s">
        <v>53</v>
      </c>
      <c r="I9" s="3" t="s">
        <v>45</v>
      </c>
      <c r="J9" s="4">
        <v>46201</v>
      </c>
      <c r="K9" s="4">
        <v>46215</v>
      </c>
      <c r="L9" s="4"/>
      <c r="M9" s="3" t="s">
        <v>46</v>
      </c>
      <c r="N9" s="3" t="str">
        <f t="shared" ca="1" si="0"/>
        <v>Amber</v>
      </c>
      <c r="O9" s="16" t="s">
        <v>571</v>
      </c>
      <c r="P9" s="16" t="s">
        <v>47</v>
      </c>
      <c r="Q9" s="16" t="s">
        <v>48</v>
      </c>
      <c r="R9" s="3" t="s">
        <v>49</v>
      </c>
      <c r="S9" s="3"/>
      <c r="T9" s="4"/>
      <c r="U9" s="3" t="s">
        <v>50</v>
      </c>
    </row>
    <row r="10" spans="1:21" ht="24.5" customHeight="1">
      <c r="A10" s="3" t="s">
        <v>68</v>
      </c>
      <c r="B10" s="3" t="s">
        <v>38</v>
      </c>
      <c r="C10" s="3" t="s">
        <v>39</v>
      </c>
      <c r="D10" s="3" t="s">
        <v>69</v>
      </c>
      <c r="E10" s="3" t="s">
        <v>41</v>
      </c>
      <c r="F10" s="16" t="s">
        <v>42</v>
      </c>
      <c r="G10" s="16" t="s">
        <v>43</v>
      </c>
      <c r="H10" s="3" t="s">
        <v>53</v>
      </c>
      <c r="I10" s="3" t="s">
        <v>45</v>
      </c>
      <c r="J10" s="4">
        <v>46201</v>
      </c>
      <c r="K10" s="4">
        <v>46215</v>
      </c>
      <c r="L10" s="4"/>
      <c r="M10" s="3" t="s">
        <v>46</v>
      </c>
      <c r="N10" s="3" t="str">
        <f t="shared" ca="1" si="0"/>
        <v>Amber</v>
      </c>
      <c r="O10" s="16" t="s">
        <v>572</v>
      </c>
      <c r="P10" s="16" t="s">
        <v>47</v>
      </c>
      <c r="Q10" s="16" t="s">
        <v>48</v>
      </c>
      <c r="R10" s="3" t="s">
        <v>49</v>
      </c>
      <c r="S10" s="3"/>
      <c r="T10" s="4"/>
      <c r="U10" s="3" t="s">
        <v>50</v>
      </c>
    </row>
    <row r="11" spans="1:21" ht="42" customHeight="1">
      <c r="A11" s="3" t="s">
        <v>70</v>
      </c>
      <c r="B11" s="3" t="s">
        <v>38</v>
      </c>
      <c r="C11" s="3" t="s">
        <v>39</v>
      </c>
      <c r="D11" s="3" t="s">
        <v>71</v>
      </c>
      <c r="E11" s="3" t="s">
        <v>41</v>
      </c>
      <c r="F11" s="16" t="s">
        <v>42</v>
      </c>
      <c r="G11" s="16" t="s">
        <v>43</v>
      </c>
      <c r="H11" s="3" t="s">
        <v>53</v>
      </c>
      <c r="I11" s="3" t="s">
        <v>45</v>
      </c>
      <c r="J11" s="4">
        <v>46201</v>
      </c>
      <c r="K11" s="4">
        <v>46215</v>
      </c>
      <c r="L11" s="4"/>
      <c r="M11" s="3" t="s">
        <v>46</v>
      </c>
      <c r="N11" s="3" t="str">
        <f t="shared" ca="1" si="0"/>
        <v>Amber</v>
      </c>
      <c r="O11" s="16" t="s">
        <v>573</v>
      </c>
      <c r="P11" s="16" t="s">
        <v>47</v>
      </c>
      <c r="Q11" s="16" t="s">
        <v>48</v>
      </c>
      <c r="R11" s="3" t="s">
        <v>49</v>
      </c>
      <c r="S11" s="3"/>
      <c r="T11" s="4"/>
      <c r="U11" s="3" t="s">
        <v>50</v>
      </c>
    </row>
    <row r="12" spans="1:21" ht="28" customHeight="1">
      <c r="A12" s="3" t="s">
        <v>72</v>
      </c>
      <c r="B12" s="3" t="s">
        <v>73</v>
      </c>
      <c r="C12" s="3" t="s">
        <v>74</v>
      </c>
      <c r="D12" s="3" t="s">
        <v>75</v>
      </c>
      <c r="E12" s="3" t="s">
        <v>76</v>
      </c>
      <c r="F12" s="16" t="s">
        <v>77</v>
      </c>
      <c r="G12" s="16" t="s">
        <v>78</v>
      </c>
      <c r="H12" s="3" t="s">
        <v>53</v>
      </c>
      <c r="I12" s="3" t="s">
        <v>45</v>
      </c>
      <c r="J12" s="4">
        <v>46201</v>
      </c>
      <c r="K12" s="4">
        <v>46215</v>
      </c>
      <c r="L12" s="4"/>
      <c r="M12" s="3" t="s">
        <v>46</v>
      </c>
      <c r="N12" s="3" t="str">
        <f t="shared" ca="1" si="0"/>
        <v>Amber</v>
      </c>
      <c r="O12" s="16" t="s">
        <v>574</v>
      </c>
      <c r="P12" s="16" t="s">
        <v>79</v>
      </c>
      <c r="Q12" s="16" t="s">
        <v>48</v>
      </c>
      <c r="R12" s="3" t="s">
        <v>49</v>
      </c>
      <c r="S12" s="3"/>
      <c r="T12" s="4"/>
      <c r="U12" s="3" t="s">
        <v>80</v>
      </c>
    </row>
    <row r="13" spans="1:21" ht="28" customHeight="1">
      <c r="A13" s="3" t="s">
        <v>81</v>
      </c>
      <c r="B13" s="3" t="s">
        <v>73</v>
      </c>
      <c r="C13" s="3" t="s">
        <v>74</v>
      </c>
      <c r="D13" s="3" t="s">
        <v>82</v>
      </c>
      <c r="E13" s="3" t="s">
        <v>76</v>
      </c>
      <c r="F13" s="16" t="s">
        <v>77</v>
      </c>
      <c r="G13" s="16" t="s">
        <v>78</v>
      </c>
      <c r="H13" s="3" t="s">
        <v>53</v>
      </c>
      <c r="I13" s="3" t="s">
        <v>45</v>
      </c>
      <c r="J13" s="4">
        <v>46201</v>
      </c>
      <c r="K13" s="4">
        <v>46215</v>
      </c>
      <c r="L13" s="4"/>
      <c r="M13" s="3" t="s">
        <v>46</v>
      </c>
      <c r="N13" s="3" t="str">
        <f t="shared" ca="1" si="0"/>
        <v>Amber</v>
      </c>
      <c r="O13" s="16" t="s">
        <v>574</v>
      </c>
      <c r="P13" s="16" t="s">
        <v>79</v>
      </c>
      <c r="Q13" s="16" t="s">
        <v>48</v>
      </c>
      <c r="R13" s="3" t="s">
        <v>49</v>
      </c>
      <c r="S13" s="3"/>
      <c r="T13" s="4"/>
      <c r="U13" s="3" t="s">
        <v>80</v>
      </c>
    </row>
    <row r="14" spans="1:21" ht="28" customHeight="1">
      <c r="A14" s="3" t="s">
        <v>83</v>
      </c>
      <c r="B14" s="3" t="s">
        <v>73</v>
      </c>
      <c r="C14" s="3" t="s">
        <v>74</v>
      </c>
      <c r="D14" s="3" t="s">
        <v>84</v>
      </c>
      <c r="E14" s="3" t="s">
        <v>76</v>
      </c>
      <c r="F14" s="16" t="s">
        <v>77</v>
      </c>
      <c r="G14" s="16" t="s">
        <v>78</v>
      </c>
      <c r="H14" s="3" t="s">
        <v>53</v>
      </c>
      <c r="I14" s="3" t="s">
        <v>45</v>
      </c>
      <c r="J14" s="4">
        <v>46201</v>
      </c>
      <c r="K14" s="4">
        <v>46215</v>
      </c>
      <c r="L14" s="4"/>
      <c r="M14" s="3" t="s">
        <v>46</v>
      </c>
      <c r="N14" s="3" t="str">
        <f t="shared" ca="1" si="0"/>
        <v>Amber</v>
      </c>
      <c r="O14" s="16" t="s">
        <v>574</v>
      </c>
      <c r="P14" s="16" t="s">
        <v>79</v>
      </c>
      <c r="Q14" s="16" t="s">
        <v>48</v>
      </c>
      <c r="R14" s="3" t="s">
        <v>49</v>
      </c>
      <c r="S14" s="3"/>
      <c r="T14" s="4"/>
      <c r="U14" s="3" t="s">
        <v>80</v>
      </c>
    </row>
    <row r="15" spans="1:21" ht="28" customHeight="1">
      <c r="A15" s="3" t="s">
        <v>85</v>
      </c>
      <c r="B15" s="3" t="s">
        <v>73</v>
      </c>
      <c r="C15" s="3" t="s">
        <v>74</v>
      </c>
      <c r="D15" s="3" t="s">
        <v>86</v>
      </c>
      <c r="E15" s="3" t="s">
        <v>76</v>
      </c>
      <c r="F15" s="16" t="s">
        <v>77</v>
      </c>
      <c r="G15" s="16" t="s">
        <v>78</v>
      </c>
      <c r="H15" s="3" t="s">
        <v>53</v>
      </c>
      <c r="I15" s="3" t="s">
        <v>45</v>
      </c>
      <c r="J15" s="4">
        <v>46201</v>
      </c>
      <c r="K15" s="4">
        <v>46215</v>
      </c>
      <c r="L15" s="4"/>
      <c r="M15" s="3" t="s">
        <v>46</v>
      </c>
      <c r="N15" s="3" t="str">
        <f t="shared" ca="1" si="0"/>
        <v>Amber</v>
      </c>
      <c r="O15" s="16" t="s">
        <v>574</v>
      </c>
      <c r="P15" s="16" t="s">
        <v>79</v>
      </c>
      <c r="Q15" s="16" t="s">
        <v>48</v>
      </c>
      <c r="R15" s="3" t="s">
        <v>49</v>
      </c>
      <c r="S15" s="3"/>
      <c r="T15" s="4"/>
      <c r="U15" s="3" t="s">
        <v>80</v>
      </c>
    </row>
    <row r="16" spans="1:21" ht="28" customHeight="1">
      <c r="A16" s="3" t="s">
        <v>87</v>
      </c>
      <c r="B16" s="3" t="s">
        <v>73</v>
      </c>
      <c r="C16" s="3" t="s">
        <v>74</v>
      </c>
      <c r="D16" s="3" t="s">
        <v>88</v>
      </c>
      <c r="E16" s="3" t="s">
        <v>76</v>
      </c>
      <c r="F16" s="16" t="s">
        <v>77</v>
      </c>
      <c r="G16" s="16" t="s">
        <v>78</v>
      </c>
      <c r="H16" s="3" t="s">
        <v>53</v>
      </c>
      <c r="I16" s="3" t="s">
        <v>45</v>
      </c>
      <c r="J16" s="4">
        <v>46201</v>
      </c>
      <c r="K16" s="4">
        <v>46215</v>
      </c>
      <c r="L16" s="4"/>
      <c r="M16" s="3" t="s">
        <v>46</v>
      </c>
      <c r="N16" s="3" t="str">
        <f t="shared" ca="1" si="0"/>
        <v>Amber</v>
      </c>
      <c r="O16" s="16" t="s">
        <v>574</v>
      </c>
      <c r="P16" s="16" t="s">
        <v>79</v>
      </c>
      <c r="Q16" s="16" t="s">
        <v>48</v>
      </c>
      <c r="R16" s="3" t="s">
        <v>49</v>
      </c>
      <c r="S16" s="3"/>
      <c r="T16" s="4"/>
      <c r="U16" s="3" t="s">
        <v>80</v>
      </c>
    </row>
    <row r="17" spans="1:21" ht="28" customHeight="1">
      <c r="A17" s="3" t="s">
        <v>89</v>
      </c>
      <c r="B17" s="3" t="s">
        <v>73</v>
      </c>
      <c r="C17" s="3" t="s">
        <v>74</v>
      </c>
      <c r="D17" s="3" t="s">
        <v>90</v>
      </c>
      <c r="E17" s="3" t="s">
        <v>76</v>
      </c>
      <c r="F17" s="16" t="s">
        <v>77</v>
      </c>
      <c r="G17" s="16" t="s">
        <v>78</v>
      </c>
      <c r="H17" s="3" t="s">
        <v>53</v>
      </c>
      <c r="I17" s="3" t="s">
        <v>45</v>
      </c>
      <c r="J17" s="4">
        <v>46201</v>
      </c>
      <c r="K17" s="4">
        <v>46215</v>
      </c>
      <c r="L17" s="4"/>
      <c r="M17" s="3" t="s">
        <v>46</v>
      </c>
      <c r="N17" s="3" t="str">
        <f t="shared" ca="1" si="0"/>
        <v>Amber</v>
      </c>
      <c r="O17" s="16" t="s">
        <v>574</v>
      </c>
      <c r="P17" s="16" t="s">
        <v>79</v>
      </c>
      <c r="Q17" s="16" t="s">
        <v>48</v>
      </c>
      <c r="R17" s="3" t="s">
        <v>49</v>
      </c>
      <c r="S17" s="3"/>
      <c r="T17" s="4"/>
      <c r="U17" s="3" t="s">
        <v>80</v>
      </c>
    </row>
    <row r="18" spans="1:21" ht="28" customHeight="1">
      <c r="A18" s="3" t="s">
        <v>91</v>
      </c>
      <c r="B18" s="3" t="s">
        <v>73</v>
      </c>
      <c r="C18" s="3" t="s">
        <v>74</v>
      </c>
      <c r="D18" s="3" t="s">
        <v>92</v>
      </c>
      <c r="E18" s="3" t="s">
        <v>76</v>
      </c>
      <c r="F18" s="16" t="s">
        <v>77</v>
      </c>
      <c r="G18" s="16" t="s">
        <v>78</v>
      </c>
      <c r="H18" s="3" t="s">
        <v>53</v>
      </c>
      <c r="I18" s="3" t="s">
        <v>45</v>
      </c>
      <c r="J18" s="4">
        <v>46201</v>
      </c>
      <c r="K18" s="4">
        <v>46215</v>
      </c>
      <c r="L18" s="4"/>
      <c r="M18" s="3" t="s">
        <v>46</v>
      </c>
      <c r="N18" s="3" t="str">
        <f t="shared" ca="1" si="0"/>
        <v>Amber</v>
      </c>
      <c r="O18" s="16" t="s">
        <v>574</v>
      </c>
      <c r="P18" s="16" t="s">
        <v>79</v>
      </c>
      <c r="Q18" s="16" t="s">
        <v>48</v>
      </c>
      <c r="R18" s="3" t="s">
        <v>49</v>
      </c>
      <c r="S18" s="3"/>
      <c r="T18" s="4"/>
      <c r="U18" s="3" t="s">
        <v>80</v>
      </c>
    </row>
    <row r="19" spans="1:21" ht="28" customHeight="1">
      <c r="A19" s="3" t="s">
        <v>93</v>
      </c>
      <c r="B19" s="3" t="s">
        <v>73</v>
      </c>
      <c r="C19" s="3" t="s">
        <v>74</v>
      </c>
      <c r="D19" s="3" t="s">
        <v>94</v>
      </c>
      <c r="E19" s="3" t="s">
        <v>76</v>
      </c>
      <c r="F19" s="16" t="s">
        <v>77</v>
      </c>
      <c r="G19" s="16" t="s">
        <v>78</v>
      </c>
      <c r="H19" s="3" t="s">
        <v>53</v>
      </c>
      <c r="I19" s="3" t="s">
        <v>45</v>
      </c>
      <c r="J19" s="4">
        <v>46201</v>
      </c>
      <c r="K19" s="4">
        <v>46215</v>
      </c>
      <c r="L19" s="4"/>
      <c r="M19" s="3" t="s">
        <v>46</v>
      </c>
      <c r="N19" s="3" t="str">
        <f t="shared" ca="1" si="0"/>
        <v>Amber</v>
      </c>
      <c r="O19" s="16" t="s">
        <v>574</v>
      </c>
      <c r="P19" s="16" t="s">
        <v>79</v>
      </c>
      <c r="Q19" s="16" t="s">
        <v>48</v>
      </c>
      <c r="R19" s="3" t="s">
        <v>49</v>
      </c>
      <c r="S19" s="3"/>
      <c r="T19" s="4"/>
      <c r="U19" s="3" t="s">
        <v>80</v>
      </c>
    </row>
    <row r="20" spans="1:21" ht="28" customHeight="1">
      <c r="A20" s="3" t="s">
        <v>95</v>
      </c>
      <c r="B20" s="3" t="s">
        <v>73</v>
      </c>
      <c r="C20" s="3" t="s">
        <v>74</v>
      </c>
      <c r="D20" s="3" t="s">
        <v>96</v>
      </c>
      <c r="E20" s="3" t="s">
        <v>76</v>
      </c>
      <c r="F20" s="16" t="s">
        <v>77</v>
      </c>
      <c r="G20" s="16" t="s">
        <v>78</v>
      </c>
      <c r="H20" s="3" t="s">
        <v>53</v>
      </c>
      <c r="I20" s="3" t="s">
        <v>45</v>
      </c>
      <c r="J20" s="4">
        <v>46201</v>
      </c>
      <c r="K20" s="4">
        <v>46215</v>
      </c>
      <c r="L20" s="4"/>
      <c r="M20" s="3" t="s">
        <v>46</v>
      </c>
      <c r="N20" s="3" t="str">
        <f t="shared" ca="1" si="0"/>
        <v>Amber</v>
      </c>
      <c r="O20" s="16" t="s">
        <v>574</v>
      </c>
      <c r="P20" s="16" t="s">
        <v>79</v>
      </c>
      <c r="Q20" s="16" t="s">
        <v>48</v>
      </c>
      <c r="R20" s="3" t="s">
        <v>49</v>
      </c>
      <c r="S20" s="3"/>
      <c r="T20" s="4"/>
      <c r="U20" s="3" t="s">
        <v>80</v>
      </c>
    </row>
    <row r="21" spans="1:21" ht="28" customHeight="1">
      <c r="A21" s="3" t="s">
        <v>97</v>
      </c>
      <c r="B21" s="3" t="s">
        <v>73</v>
      </c>
      <c r="C21" s="3" t="s">
        <v>74</v>
      </c>
      <c r="D21" s="11" t="s">
        <v>98</v>
      </c>
      <c r="E21" s="3" t="s">
        <v>76</v>
      </c>
      <c r="F21" s="16" t="s">
        <v>77</v>
      </c>
      <c r="G21" s="16" t="s">
        <v>78</v>
      </c>
      <c r="H21" s="3" t="s">
        <v>53</v>
      </c>
      <c r="I21" s="3" t="s">
        <v>45</v>
      </c>
      <c r="J21" s="4">
        <v>46201</v>
      </c>
      <c r="K21" s="4">
        <v>46215</v>
      </c>
      <c r="L21" s="4"/>
      <c r="M21" s="3" t="s">
        <v>46</v>
      </c>
      <c r="N21" s="3" t="str">
        <f t="shared" ca="1" si="0"/>
        <v>Amber</v>
      </c>
      <c r="O21" s="16" t="s">
        <v>575</v>
      </c>
      <c r="P21" s="16" t="s">
        <v>79</v>
      </c>
      <c r="Q21" s="16" t="s">
        <v>48</v>
      </c>
      <c r="R21" s="3" t="s">
        <v>49</v>
      </c>
      <c r="S21" s="3"/>
      <c r="T21" s="4"/>
      <c r="U21" s="3" t="s">
        <v>80</v>
      </c>
    </row>
    <row r="22" spans="1:21" ht="56" customHeight="1">
      <c r="A22" s="3" t="s">
        <v>100</v>
      </c>
      <c r="B22" s="3" t="s">
        <v>101</v>
      </c>
      <c r="C22" s="3" t="s">
        <v>102</v>
      </c>
      <c r="D22" s="3" t="s">
        <v>103</v>
      </c>
      <c r="E22" s="3" t="s">
        <v>104</v>
      </c>
      <c r="F22" s="16" t="s">
        <v>105</v>
      </c>
      <c r="G22" s="16" t="s">
        <v>106</v>
      </c>
      <c r="H22" s="3" t="s">
        <v>53</v>
      </c>
      <c r="I22" s="3" t="s">
        <v>107</v>
      </c>
      <c r="J22" s="4">
        <v>46201</v>
      </c>
      <c r="K22" s="4">
        <v>46208</v>
      </c>
      <c r="L22" s="4"/>
      <c r="M22" s="3" t="s">
        <v>46</v>
      </c>
      <c r="N22" s="3" t="str">
        <f t="shared" ca="1" si="0"/>
        <v>Amber</v>
      </c>
      <c r="O22" s="16" t="s">
        <v>576</v>
      </c>
      <c r="P22" s="16" t="s">
        <v>108</v>
      </c>
      <c r="Q22" s="16" t="s">
        <v>48</v>
      </c>
      <c r="R22" s="3" t="s">
        <v>49</v>
      </c>
      <c r="S22" s="3"/>
      <c r="T22" s="4"/>
      <c r="U22" s="3" t="s">
        <v>109</v>
      </c>
    </row>
    <row r="23" spans="1:21" ht="98" customHeight="1">
      <c r="A23" s="3" t="s">
        <v>110</v>
      </c>
      <c r="B23" s="3" t="s">
        <v>101</v>
      </c>
      <c r="C23" s="3" t="s">
        <v>102</v>
      </c>
      <c r="D23" s="3" t="s">
        <v>111</v>
      </c>
      <c r="E23" s="3" t="s">
        <v>104</v>
      </c>
      <c r="F23" s="16" t="s">
        <v>105</v>
      </c>
      <c r="G23" s="16" t="s">
        <v>106</v>
      </c>
      <c r="H23" s="3" t="s">
        <v>53</v>
      </c>
      <c r="I23" s="3" t="s">
        <v>107</v>
      </c>
      <c r="J23" s="4">
        <v>46201</v>
      </c>
      <c r="K23" s="4">
        <v>46208</v>
      </c>
      <c r="L23" s="4"/>
      <c r="M23" s="3" t="s">
        <v>46</v>
      </c>
      <c r="N23" s="3" t="str">
        <f t="shared" ca="1" si="0"/>
        <v>Amber</v>
      </c>
      <c r="O23" s="16" t="s">
        <v>577</v>
      </c>
      <c r="P23" s="16" t="s">
        <v>108</v>
      </c>
      <c r="Q23" s="16" t="s">
        <v>48</v>
      </c>
      <c r="R23" s="3" t="s">
        <v>49</v>
      </c>
      <c r="S23" s="3"/>
      <c r="T23" s="4"/>
      <c r="U23" s="3" t="s">
        <v>109</v>
      </c>
    </row>
    <row r="24" spans="1:21" ht="42" customHeight="1">
      <c r="A24" s="3" t="s">
        <v>112</v>
      </c>
      <c r="B24" s="3" t="s">
        <v>101</v>
      </c>
      <c r="C24" s="3" t="s">
        <v>102</v>
      </c>
      <c r="D24" s="3" t="s">
        <v>113</v>
      </c>
      <c r="E24" s="3" t="s">
        <v>104</v>
      </c>
      <c r="F24" s="16" t="s">
        <v>105</v>
      </c>
      <c r="G24" s="16" t="s">
        <v>106</v>
      </c>
      <c r="H24" s="3" t="s">
        <v>53</v>
      </c>
      <c r="I24" s="3" t="s">
        <v>107</v>
      </c>
      <c r="J24" s="4">
        <v>46201</v>
      </c>
      <c r="K24" s="4">
        <v>46208</v>
      </c>
      <c r="L24" s="4"/>
      <c r="M24" s="3" t="s">
        <v>46</v>
      </c>
      <c r="N24" s="3" t="str">
        <f t="shared" ca="1" si="0"/>
        <v>Amber</v>
      </c>
      <c r="O24" s="16" t="s">
        <v>578</v>
      </c>
      <c r="P24" s="16" t="s">
        <v>108</v>
      </c>
      <c r="Q24" s="16" t="s">
        <v>48</v>
      </c>
      <c r="R24" s="3" t="s">
        <v>49</v>
      </c>
      <c r="S24" s="3"/>
      <c r="T24" s="4"/>
      <c r="U24" s="3" t="s">
        <v>109</v>
      </c>
    </row>
    <row r="25" spans="1:21" ht="42" customHeight="1">
      <c r="A25" s="3" t="s">
        <v>114</v>
      </c>
      <c r="B25" s="3" t="s">
        <v>101</v>
      </c>
      <c r="C25" s="3" t="s">
        <v>102</v>
      </c>
      <c r="D25" s="11" t="s">
        <v>115</v>
      </c>
      <c r="E25" s="3" t="s">
        <v>104</v>
      </c>
      <c r="F25" s="16" t="s">
        <v>105</v>
      </c>
      <c r="G25" s="16" t="s">
        <v>106</v>
      </c>
      <c r="H25" s="3" t="s">
        <v>53</v>
      </c>
      <c r="I25" s="3" t="s">
        <v>107</v>
      </c>
      <c r="J25" s="4">
        <v>46201</v>
      </c>
      <c r="K25" s="4">
        <v>46208</v>
      </c>
      <c r="L25" s="4"/>
      <c r="M25" s="3" t="s">
        <v>46</v>
      </c>
      <c r="N25" s="3" t="str">
        <f t="shared" ca="1" si="0"/>
        <v>Amber</v>
      </c>
      <c r="O25" s="16" t="s">
        <v>578</v>
      </c>
      <c r="P25" s="16" t="s">
        <v>108</v>
      </c>
      <c r="Q25" s="16" t="s">
        <v>48</v>
      </c>
      <c r="R25" s="3" t="s">
        <v>49</v>
      </c>
      <c r="S25" s="3"/>
      <c r="T25" s="4"/>
      <c r="U25" s="3" t="s">
        <v>109</v>
      </c>
    </row>
    <row r="26" spans="1:21" ht="42" customHeight="1">
      <c r="A26" s="3" t="s">
        <v>116</v>
      </c>
      <c r="B26" s="3" t="s">
        <v>101</v>
      </c>
      <c r="C26" s="3" t="s">
        <v>102</v>
      </c>
      <c r="D26" s="11" t="s">
        <v>117</v>
      </c>
      <c r="E26" s="3" t="s">
        <v>104</v>
      </c>
      <c r="F26" s="16" t="s">
        <v>105</v>
      </c>
      <c r="G26" s="16" t="s">
        <v>106</v>
      </c>
      <c r="H26" s="3" t="s">
        <v>53</v>
      </c>
      <c r="I26" s="3" t="s">
        <v>107</v>
      </c>
      <c r="J26" s="4">
        <v>46201</v>
      </c>
      <c r="K26" s="4">
        <v>46208</v>
      </c>
      <c r="L26" s="4"/>
      <c r="M26" s="3" t="s">
        <v>46</v>
      </c>
      <c r="N26" s="3" t="str">
        <f t="shared" ca="1" si="0"/>
        <v>Amber</v>
      </c>
      <c r="O26" s="16" t="s">
        <v>578</v>
      </c>
      <c r="P26" s="16" t="s">
        <v>108</v>
      </c>
      <c r="Q26" s="16" t="s">
        <v>48</v>
      </c>
      <c r="R26" s="3" t="s">
        <v>49</v>
      </c>
      <c r="S26" s="3"/>
      <c r="T26" s="4"/>
      <c r="U26" s="3" t="s">
        <v>109</v>
      </c>
    </row>
    <row r="27" spans="1:21" ht="42" customHeight="1">
      <c r="A27" s="3" t="s">
        <v>118</v>
      </c>
      <c r="B27" s="3" t="s">
        <v>101</v>
      </c>
      <c r="C27" s="3" t="s">
        <v>102</v>
      </c>
      <c r="D27" s="11" t="s">
        <v>119</v>
      </c>
      <c r="E27" s="3" t="s">
        <v>104</v>
      </c>
      <c r="F27" s="16" t="s">
        <v>105</v>
      </c>
      <c r="G27" s="16" t="s">
        <v>106</v>
      </c>
      <c r="H27" s="3" t="s">
        <v>53</v>
      </c>
      <c r="I27" s="3" t="s">
        <v>107</v>
      </c>
      <c r="J27" s="4">
        <v>46201</v>
      </c>
      <c r="K27" s="4">
        <v>46208</v>
      </c>
      <c r="L27" s="4"/>
      <c r="M27" s="3" t="s">
        <v>46</v>
      </c>
      <c r="N27" s="3" t="str">
        <f t="shared" ca="1" si="0"/>
        <v>Amber</v>
      </c>
      <c r="O27" s="16" t="s">
        <v>578</v>
      </c>
      <c r="P27" s="16" t="s">
        <v>108</v>
      </c>
      <c r="Q27" s="16" t="s">
        <v>48</v>
      </c>
      <c r="R27" s="3" t="s">
        <v>49</v>
      </c>
      <c r="S27" s="3"/>
      <c r="T27" s="4"/>
      <c r="U27" s="3" t="s">
        <v>109</v>
      </c>
    </row>
    <row r="28" spans="1:21" ht="42" customHeight="1">
      <c r="A28" s="3" t="s">
        <v>120</v>
      </c>
      <c r="B28" s="3" t="s">
        <v>101</v>
      </c>
      <c r="C28" s="3" t="s">
        <v>102</v>
      </c>
      <c r="D28" s="11" t="s">
        <v>121</v>
      </c>
      <c r="E28" s="3" t="s">
        <v>104</v>
      </c>
      <c r="F28" s="16" t="s">
        <v>105</v>
      </c>
      <c r="G28" s="16" t="s">
        <v>106</v>
      </c>
      <c r="H28" s="3" t="s">
        <v>53</v>
      </c>
      <c r="I28" s="3" t="s">
        <v>107</v>
      </c>
      <c r="J28" s="4">
        <v>46201</v>
      </c>
      <c r="K28" s="4">
        <v>46208</v>
      </c>
      <c r="L28" s="4"/>
      <c r="M28" s="3" t="s">
        <v>46</v>
      </c>
      <c r="N28" s="3" t="str">
        <f t="shared" ca="1" si="0"/>
        <v>Amber</v>
      </c>
      <c r="O28" s="16" t="s">
        <v>578</v>
      </c>
      <c r="P28" s="16" t="s">
        <v>108</v>
      </c>
      <c r="Q28" s="16" t="s">
        <v>48</v>
      </c>
      <c r="R28" s="3" t="s">
        <v>49</v>
      </c>
      <c r="S28" s="3"/>
      <c r="T28" s="4"/>
      <c r="U28" s="3" t="s">
        <v>109</v>
      </c>
    </row>
    <row r="29" spans="1:21" ht="42" customHeight="1">
      <c r="A29" s="3" t="s">
        <v>122</v>
      </c>
      <c r="B29" s="3" t="s">
        <v>101</v>
      </c>
      <c r="C29" s="3" t="s">
        <v>102</v>
      </c>
      <c r="D29" s="11" t="s">
        <v>123</v>
      </c>
      <c r="E29" s="3" t="s">
        <v>104</v>
      </c>
      <c r="F29" s="16" t="s">
        <v>105</v>
      </c>
      <c r="G29" s="16" t="s">
        <v>106</v>
      </c>
      <c r="H29" s="3" t="s">
        <v>53</v>
      </c>
      <c r="I29" s="3" t="s">
        <v>107</v>
      </c>
      <c r="J29" s="4">
        <v>46201</v>
      </c>
      <c r="K29" s="4">
        <v>46208</v>
      </c>
      <c r="L29" s="4"/>
      <c r="M29" s="3" t="s">
        <v>46</v>
      </c>
      <c r="N29" s="3" t="str">
        <f t="shared" ca="1" si="0"/>
        <v>Amber</v>
      </c>
      <c r="O29" s="16" t="s">
        <v>578</v>
      </c>
      <c r="P29" s="16" t="s">
        <v>108</v>
      </c>
      <c r="Q29" s="16" t="s">
        <v>48</v>
      </c>
      <c r="R29" s="3" t="s">
        <v>49</v>
      </c>
      <c r="S29" s="3"/>
      <c r="T29" s="4"/>
      <c r="U29" s="3" t="s">
        <v>109</v>
      </c>
    </row>
    <row r="30" spans="1:21" ht="42" customHeight="1">
      <c r="A30" s="3" t="s">
        <v>124</v>
      </c>
      <c r="B30" s="3" t="s">
        <v>101</v>
      </c>
      <c r="C30" s="3" t="s">
        <v>102</v>
      </c>
      <c r="D30" s="11" t="s">
        <v>125</v>
      </c>
      <c r="E30" s="3" t="s">
        <v>104</v>
      </c>
      <c r="F30" s="16" t="s">
        <v>105</v>
      </c>
      <c r="G30" s="16" t="s">
        <v>106</v>
      </c>
      <c r="H30" s="3" t="s">
        <v>53</v>
      </c>
      <c r="I30" s="3" t="s">
        <v>107</v>
      </c>
      <c r="J30" s="4">
        <v>46201</v>
      </c>
      <c r="K30" s="4">
        <v>46208</v>
      </c>
      <c r="L30" s="4"/>
      <c r="M30" s="3" t="s">
        <v>46</v>
      </c>
      <c r="N30" s="3" t="str">
        <f t="shared" ca="1" si="0"/>
        <v>Amber</v>
      </c>
      <c r="O30" s="16" t="s">
        <v>578</v>
      </c>
      <c r="P30" s="16" t="s">
        <v>108</v>
      </c>
      <c r="Q30" s="16" t="s">
        <v>48</v>
      </c>
      <c r="R30" s="3" t="s">
        <v>49</v>
      </c>
      <c r="S30" s="3"/>
      <c r="T30" s="4"/>
      <c r="U30" s="3" t="s">
        <v>109</v>
      </c>
    </row>
    <row r="31" spans="1:21" ht="42" customHeight="1">
      <c r="A31" s="3" t="s">
        <v>126</v>
      </c>
      <c r="B31" s="3" t="s">
        <v>101</v>
      </c>
      <c r="C31" s="3" t="s">
        <v>102</v>
      </c>
      <c r="D31" s="3" t="s">
        <v>127</v>
      </c>
      <c r="E31" s="3" t="s">
        <v>104</v>
      </c>
      <c r="F31" s="16" t="s">
        <v>105</v>
      </c>
      <c r="G31" s="16" t="s">
        <v>106</v>
      </c>
      <c r="H31" s="3" t="s">
        <v>53</v>
      </c>
      <c r="I31" s="3" t="s">
        <v>107</v>
      </c>
      <c r="J31" s="4">
        <v>46201</v>
      </c>
      <c r="K31" s="4">
        <v>46208</v>
      </c>
      <c r="L31" s="4"/>
      <c r="M31" s="3" t="s">
        <v>46</v>
      </c>
      <c r="N31" s="3" t="str">
        <f t="shared" ca="1" si="0"/>
        <v>Amber</v>
      </c>
      <c r="O31" s="16" t="s">
        <v>578</v>
      </c>
      <c r="P31" s="16" t="s">
        <v>108</v>
      </c>
      <c r="Q31" s="16" t="s">
        <v>48</v>
      </c>
      <c r="R31" s="3" t="s">
        <v>49</v>
      </c>
      <c r="S31" s="3"/>
      <c r="T31" s="4"/>
      <c r="U31" s="3" t="s">
        <v>109</v>
      </c>
    </row>
    <row r="32" spans="1:21" ht="42" customHeight="1">
      <c r="A32" s="3" t="s">
        <v>128</v>
      </c>
      <c r="B32" s="3" t="s">
        <v>129</v>
      </c>
      <c r="C32" s="3" t="s">
        <v>130</v>
      </c>
      <c r="D32" s="11" t="s">
        <v>131</v>
      </c>
      <c r="E32" s="3" t="s">
        <v>132</v>
      </c>
      <c r="F32" s="16" t="s">
        <v>133</v>
      </c>
      <c r="G32" s="16" t="s">
        <v>134</v>
      </c>
      <c r="H32" s="3" t="s">
        <v>53</v>
      </c>
      <c r="I32" s="3" t="s">
        <v>107</v>
      </c>
      <c r="J32" s="4">
        <v>46201</v>
      </c>
      <c r="K32" s="4">
        <v>46208</v>
      </c>
      <c r="L32" s="4"/>
      <c r="M32" s="3" t="s">
        <v>46</v>
      </c>
      <c r="N32" s="3" t="str">
        <f t="shared" ca="1" si="0"/>
        <v>Amber</v>
      </c>
      <c r="O32" s="16" t="s">
        <v>579</v>
      </c>
      <c r="P32" s="16" t="s">
        <v>135</v>
      </c>
      <c r="Q32" s="16" t="s">
        <v>48</v>
      </c>
      <c r="R32" s="3" t="s">
        <v>49</v>
      </c>
      <c r="S32" s="3"/>
      <c r="T32" s="4"/>
      <c r="U32" s="3" t="s">
        <v>136</v>
      </c>
    </row>
    <row r="33" spans="1:21" ht="42" customHeight="1">
      <c r="A33" s="3" t="s">
        <v>137</v>
      </c>
      <c r="B33" s="3" t="s">
        <v>129</v>
      </c>
      <c r="C33" s="3" t="s">
        <v>130</v>
      </c>
      <c r="D33" s="3" t="s">
        <v>138</v>
      </c>
      <c r="E33" s="3" t="s">
        <v>132</v>
      </c>
      <c r="F33" s="16" t="s">
        <v>133</v>
      </c>
      <c r="G33" s="16" t="s">
        <v>134</v>
      </c>
      <c r="H33" s="3" t="s">
        <v>53</v>
      </c>
      <c r="I33" s="3" t="s">
        <v>107</v>
      </c>
      <c r="J33" s="4">
        <v>46201</v>
      </c>
      <c r="K33" s="4">
        <v>46208</v>
      </c>
      <c r="L33" s="4"/>
      <c r="M33" s="3" t="s">
        <v>46</v>
      </c>
      <c r="N33" s="3" t="str">
        <f t="shared" ca="1" si="0"/>
        <v>Amber</v>
      </c>
      <c r="O33" s="16" t="s">
        <v>580</v>
      </c>
      <c r="P33" s="16" t="s">
        <v>135</v>
      </c>
      <c r="Q33" s="16" t="s">
        <v>48</v>
      </c>
      <c r="R33" s="3" t="s">
        <v>49</v>
      </c>
      <c r="S33" s="3"/>
      <c r="T33" s="4"/>
      <c r="U33" s="3" t="s">
        <v>136</v>
      </c>
    </row>
    <row r="34" spans="1:21" ht="42" customHeight="1">
      <c r="A34" s="3" t="s">
        <v>139</v>
      </c>
      <c r="B34" s="3" t="s">
        <v>129</v>
      </c>
      <c r="C34" s="3" t="s">
        <v>130</v>
      </c>
      <c r="D34" s="11" t="s">
        <v>140</v>
      </c>
      <c r="E34" s="3" t="s">
        <v>132</v>
      </c>
      <c r="F34" s="16" t="s">
        <v>133</v>
      </c>
      <c r="G34" s="16" t="s">
        <v>134</v>
      </c>
      <c r="H34" s="3" t="s">
        <v>53</v>
      </c>
      <c r="I34" s="3" t="s">
        <v>107</v>
      </c>
      <c r="J34" s="4">
        <v>46201</v>
      </c>
      <c r="K34" s="4">
        <v>46208</v>
      </c>
      <c r="L34" s="4"/>
      <c r="M34" s="3" t="s">
        <v>46</v>
      </c>
      <c r="N34" s="3" t="str">
        <f t="shared" ref="N34:N65" ca="1" si="1">IF(M34="Verified","Green",IF(M34="Completed","Amber - Awaiting Verification",IF(K34&lt;TODAY(),"Red - Overdue",IF(M34="In Progress","Amber","Red - Not Started"))))</f>
        <v>Amber</v>
      </c>
      <c r="O34" s="16" t="s">
        <v>575</v>
      </c>
      <c r="P34" s="16" t="s">
        <v>135</v>
      </c>
      <c r="Q34" s="16" t="s">
        <v>48</v>
      </c>
      <c r="R34" s="3" t="s">
        <v>49</v>
      </c>
      <c r="S34" s="3"/>
      <c r="T34" s="4"/>
      <c r="U34" s="3" t="s">
        <v>136</v>
      </c>
    </row>
    <row r="35" spans="1:21" ht="42" customHeight="1">
      <c r="A35" s="3" t="s">
        <v>141</v>
      </c>
      <c r="B35" s="3" t="s">
        <v>129</v>
      </c>
      <c r="C35" s="3" t="s">
        <v>130</v>
      </c>
      <c r="D35" s="11" t="s">
        <v>142</v>
      </c>
      <c r="E35" s="3" t="s">
        <v>132</v>
      </c>
      <c r="F35" s="16" t="s">
        <v>133</v>
      </c>
      <c r="G35" s="16" t="s">
        <v>134</v>
      </c>
      <c r="H35" s="3" t="s">
        <v>53</v>
      </c>
      <c r="I35" s="3" t="s">
        <v>107</v>
      </c>
      <c r="J35" s="4">
        <v>46201</v>
      </c>
      <c r="K35" s="4">
        <v>46208</v>
      </c>
      <c r="L35" s="4"/>
      <c r="M35" s="3" t="s">
        <v>46</v>
      </c>
      <c r="N35" s="3" t="str">
        <f t="shared" ca="1" si="1"/>
        <v>Amber</v>
      </c>
      <c r="O35" s="16" t="s">
        <v>581</v>
      </c>
      <c r="P35" s="16" t="s">
        <v>135</v>
      </c>
      <c r="Q35" s="16" t="s">
        <v>48</v>
      </c>
      <c r="R35" s="3" t="s">
        <v>49</v>
      </c>
      <c r="S35" s="3"/>
      <c r="T35" s="4"/>
      <c r="U35" s="3" t="s">
        <v>136</v>
      </c>
    </row>
    <row r="36" spans="1:21" ht="42" customHeight="1">
      <c r="A36" s="3" t="s">
        <v>143</v>
      </c>
      <c r="B36" s="3" t="s">
        <v>129</v>
      </c>
      <c r="C36" s="3" t="s">
        <v>130</v>
      </c>
      <c r="D36" s="3" t="s">
        <v>144</v>
      </c>
      <c r="E36" s="3" t="s">
        <v>132</v>
      </c>
      <c r="F36" s="16" t="s">
        <v>133</v>
      </c>
      <c r="G36" s="16" t="s">
        <v>134</v>
      </c>
      <c r="H36" s="3" t="s">
        <v>53</v>
      </c>
      <c r="I36" s="3" t="s">
        <v>107</v>
      </c>
      <c r="J36" s="4">
        <v>46201</v>
      </c>
      <c r="K36" s="4">
        <v>46208</v>
      </c>
      <c r="L36" s="4"/>
      <c r="M36" s="3" t="s">
        <v>46</v>
      </c>
      <c r="N36" s="3" t="str">
        <f t="shared" ca="1" si="1"/>
        <v>Amber</v>
      </c>
      <c r="O36" s="16" t="s">
        <v>580</v>
      </c>
      <c r="P36" s="16" t="s">
        <v>135</v>
      </c>
      <c r="Q36" s="16" t="s">
        <v>48</v>
      </c>
      <c r="R36" s="3" t="s">
        <v>49</v>
      </c>
      <c r="S36" s="3"/>
      <c r="T36" s="4"/>
      <c r="U36" s="3" t="s">
        <v>136</v>
      </c>
    </row>
    <row r="37" spans="1:21" ht="42" customHeight="1">
      <c r="A37" s="3" t="s">
        <v>145</v>
      </c>
      <c r="B37" s="3" t="s">
        <v>129</v>
      </c>
      <c r="C37" s="3" t="s">
        <v>130</v>
      </c>
      <c r="D37" s="11" t="s">
        <v>146</v>
      </c>
      <c r="E37" s="3" t="s">
        <v>132</v>
      </c>
      <c r="F37" s="16" t="s">
        <v>133</v>
      </c>
      <c r="G37" s="16" t="s">
        <v>134</v>
      </c>
      <c r="H37" s="3" t="s">
        <v>53</v>
      </c>
      <c r="I37" s="3" t="s">
        <v>107</v>
      </c>
      <c r="J37" s="4">
        <v>46201</v>
      </c>
      <c r="K37" s="4">
        <v>46208</v>
      </c>
      <c r="L37" s="4"/>
      <c r="M37" s="3" t="s">
        <v>46</v>
      </c>
      <c r="N37" s="3" t="str">
        <f t="shared" ca="1" si="1"/>
        <v>Amber</v>
      </c>
      <c r="O37" s="16" t="s">
        <v>580</v>
      </c>
      <c r="P37" s="16" t="s">
        <v>135</v>
      </c>
      <c r="Q37" s="16" t="s">
        <v>48</v>
      </c>
      <c r="R37" s="3" t="s">
        <v>49</v>
      </c>
      <c r="S37" s="3"/>
      <c r="T37" s="4"/>
      <c r="U37" s="3" t="s">
        <v>136</v>
      </c>
    </row>
    <row r="38" spans="1:21" ht="42" customHeight="1">
      <c r="A38" s="3" t="s">
        <v>147</v>
      </c>
      <c r="B38" s="3" t="s">
        <v>129</v>
      </c>
      <c r="C38" s="3" t="s">
        <v>130</v>
      </c>
      <c r="D38" s="11" t="s">
        <v>148</v>
      </c>
      <c r="E38" s="3" t="s">
        <v>132</v>
      </c>
      <c r="F38" s="16" t="s">
        <v>133</v>
      </c>
      <c r="G38" s="16" t="s">
        <v>134</v>
      </c>
      <c r="H38" s="3" t="s">
        <v>53</v>
      </c>
      <c r="I38" s="3" t="s">
        <v>107</v>
      </c>
      <c r="J38" s="4">
        <v>46201</v>
      </c>
      <c r="K38" s="4">
        <v>46208</v>
      </c>
      <c r="L38" s="4"/>
      <c r="M38" s="3" t="s">
        <v>46</v>
      </c>
      <c r="N38" s="3" t="str">
        <f t="shared" ca="1" si="1"/>
        <v>Amber</v>
      </c>
      <c r="O38" s="16" t="s">
        <v>575</v>
      </c>
      <c r="P38" s="16" t="s">
        <v>135</v>
      </c>
      <c r="Q38" s="16" t="s">
        <v>48</v>
      </c>
      <c r="R38" s="3" t="s">
        <v>49</v>
      </c>
      <c r="S38" s="3"/>
      <c r="T38" s="4"/>
      <c r="U38" s="3" t="s">
        <v>136</v>
      </c>
    </row>
    <row r="39" spans="1:21" ht="42" customHeight="1">
      <c r="A39" s="3" t="s">
        <v>149</v>
      </c>
      <c r="B39" s="3" t="s">
        <v>129</v>
      </c>
      <c r="C39" s="3" t="s">
        <v>130</v>
      </c>
      <c r="D39" s="11" t="s">
        <v>150</v>
      </c>
      <c r="E39" s="3" t="s">
        <v>132</v>
      </c>
      <c r="F39" s="16" t="s">
        <v>133</v>
      </c>
      <c r="G39" s="16" t="s">
        <v>134</v>
      </c>
      <c r="H39" s="3" t="s">
        <v>53</v>
      </c>
      <c r="I39" s="3" t="s">
        <v>107</v>
      </c>
      <c r="J39" s="4">
        <v>46201</v>
      </c>
      <c r="K39" s="4">
        <v>46208</v>
      </c>
      <c r="L39" s="4"/>
      <c r="M39" s="3" t="s">
        <v>46</v>
      </c>
      <c r="N39" s="3" t="str">
        <f t="shared" ca="1" si="1"/>
        <v>Amber</v>
      </c>
      <c r="O39" s="16" t="s">
        <v>575</v>
      </c>
      <c r="P39" s="16" t="s">
        <v>135</v>
      </c>
      <c r="Q39" s="16" t="s">
        <v>48</v>
      </c>
      <c r="R39" s="3" t="s">
        <v>49</v>
      </c>
      <c r="S39" s="3"/>
      <c r="T39" s="4"/>
      <c r="U39" s="3" t="s">
        <v>136</v>
      </c>
    </row>
    <row r="40" spans="1:21" ht="42" customHeight="1">
      <c r="A40" s="3" t="s">
        <v>151</v>
      </c>
      <c r="B40" s="3" t="s">
        <v>129</v>
      </c>
      <c r="C40" s="3" t="s">
        <v>130</v>
      </c>
      <c r="D40" s="11" t="s">
        <v>152</v>
      </c>
      <c r="E40" s="3" t="s">
        <v>132</v>
      </c>
      <c r="F40" s="16" t="s">
        <v>133</v>
      </c>
      <c r="G40" s="16" t="s">
        <v>134</v>
      </c>
      <c r="H40" s="3" t="s">
        <v>53</v>
      </c>
      <c r="I40" s="3" t="s">
        <v>107</v>
      </c>
      <c r="J40" s="4">
        <v>46201</v>
      </c>
      <c r="K40" s="4">
        <v>46208</v>
      </c>
      <c r="L40" s="4"/>
      <c r="M40" s="3" t="s">
        <v>46</v>
      </c>
      <c r="N40" s="3" t="str">
        <f t="shared" ca="1" si="1"/>
        <v>Amber</v>
      </c>
      <c r="O40" s="16" t="s">
        <v>575</v>
      </c>
      <c r="P40" s="16" t="s">
        <v>135</v>
      </c>
      <c r="Q40" s="16" t="s">
        <v>48</v>
      </c>
      <c r="R40" s="3" t="s">
        <v>49</v>
      </c>
      <c r="S40" s="3"/>
      <c r="T40" s="4"/>
      <c r="U40" s="3" t="s">
        <v>136</v>
      </c>
    </row>
    <row r="41" spans="1:21" ht="42" customHeight="1">
      <c r="A41" s="3" t="s">
        <v>153</v>
      </c>
      <c r="B41" s="3" t="s">
        <v>129</v>
      </c>
      <c r="C41" s="3" t="s">
        <v>130</v>
      </c>
      <c r="D41" s="11" t="s">
        <v>154</v>
      </c>
      <c r="E41" s="3" t="s">
        <v>132</v>
      </c>
      <c r="F41" s="16" t="s">
        <v>133</v>
      </c>
      <c r="G41" s="16" t="s">
        <v>134</v>
      </c>
      <c r="H41" s="3" t="s">
        <v>53</v>
      </c>
      <c r="I41" s="3" t="s">
        <v>107</v>
      </c>
      <c r="J41" s="4">
        <v>46201</v>
      </c>
      <c r="K41" s="4">
        <v>46208</v>
      </c>
      <c r="L41" s="4"/>
      <c r="M41" s="3" t="s">
        <v>46</v>
      </c>
      <c r="N41" s="3" t="str">
        <f t="shared" ca="1" si="1"/>
        <v>Amber</v>
      </c>
      <c r="O41" s="16" t="s">
        <v>575</v>
      </c>
      <c r="P41" s="16" t="s">
        <v>135</v>
      </c>
      <c r="Q41" s="16" t="s">
        <v>48</v>
      </c>
      <c r="R41" s="3" t="s">
        <v>49</v>
      </c>
      <c r="S41" s="3"/>
      <c r="T41" s="4"/>
      <c r="U41" s="3" t="s">
        <v>136</v>
      </c>
    </row>
    <row r="42" spans="1:21" ht="42" customHeight="1">
      <c r="A42" s="3" t="s">
        <v>155</v>
      </c>
      <c r="B42" s="3" t="s">
        <v>129</v>
      </c>
      <c r="C42" s="3" t="s">
        <v>130</v>
      </c>
      <c r="D42" s="3" t="s">
        <v>156</v>
      </c>
      <c r="E42" s="3" t="s">
        <v>132</v>
      </c>
      <c r="F42" s="16" t="s">
        <v>133</v>
      </c>
      <c r="G42" s="16" t="s">
        <v>134</v>
      </c>
      <c r="H42" s="3" t="s">
        <v>53</v>
      </c>
      <c r="I42" s="3" t="s">
        <v>107</v>
      </c>
      <c r="J42" s="4">
        <v>46201</v>
      </c>
      <c r="K42" s="4">
        <v>46208</v>
      </c>
      <c r="L42" s="4"/>
      <c r="M42" s="3" t="s">
        <v>46</v>
      </c>
      <c r="N42" s="3" t="str">
        <f t="shared" ca="1" si="1"/>
        <v>Amber</v>
      </c>
      <c r="O42" s="16" t="s">
        <v>575</v>
      </c>
      <c r="P42" s="16" t="s">
        <v>135</v>
      </c>
      <c r="Q42" s="16" t="s">
        <v>48</v>
      </c>
      <c r="R42" s="3" t="s">
        <v>49</v>
      </c>
      <c r="S42" s="3"/>
      <c r="T42" s="4"/>
      <c r="U42" s="3" t="s">
        <v>136</v>
      </c>
    </row>
    <row r="43" spans="1:21" ht="42" customHeight="1">
      <c r="A43" s="3" t="s">
        <v>157</v>
      </c>
      <c r="B43" s="3" t="s">
        <v>129</v>
      </c>
      <c r="C43" s="3" t="s">
        <v>130</v>
      </c>
      <c r="D43" s="3" t="s">
        <v>158</v>
      </c>
      <c r="E43" s="3" t="s">
        <v>132</v>
      </c>
      <c r="F43" s="16" t="s">
        <v>133</v>
      </c>
      <c r="G43" s="16" t="s">
        <v>134</v>
      </c>
      <c r="H43" s="3" t="s">
        <v>53</v>
      </c>
      <c r="I43" s="3" t="s">
        <v>107</v>
      </c>
      <c r="J43" s="4">
        <v>46201</v>
      </c>
      <c r="K43" s="4">
        <v>46208</v>
      </c>
      <c r="L43" s="4"/>
      <c r="M43" s="3" t="s">
        <v>46</v>
      </c>
      <c r="N43" s="3" t="str">
        <f t="shared" ca="1" si="1"/>
        <v>Amber</v>
      </c>
      <c r="O43" s="16" t="s">
        <v>574</v>
      </c>
      <c r="P43" s="16" t="s">
        <v>135</v>
      </c>
      <c r="Q43" s="16" t="s">
        <v>48</v>
      </c>
      <c r="R43" s="3" t="s">
        <v>49</v>
      </c>
      <c r="S43" s="3"/>
      <c r="T43" s="4"/>
      <c r="U43" s="3" t="s">
        <v>136</v>
      </c>
    </row>
    <row r="44" spans="1:21" ht="42" customHeight="1">
      <c r="A44" s="3" t="s">
        <v>159</v>
      </c>
      <c r="B44" s="3" t="s">
        <v>129</v>
      </c>
      <c r="C44" s="3" t="s">
        <v>130</v>
      </c>
      <c r="D44" s="11" t="s">
        <v>160</v>
      </c>
      <c r="E44" s="3" t="s">
        <v>132</v>
      </c>
      <c r="F44" s="16" t="s">
        <v>133</v>
      </c>
      <c r="G44" s="16" t="s">
        <v>134</v>
      </c>
      <c r="H44" s="3" t="s">
        <v>53</v>
      </c>
      <c r="I44" s="3" t="s">
        <v>107</v>
      </c>
      <c r="J44" s="4">
        <v>46201</v>
      </c>
      <c r="K44" s="4">
        <v>46208</v>
      </c>
      <c r="L44" s="4"/>
      <c r="M44" s="3" t="s">
        <v>46</v>
      </c>
      <c r="N44" s="3" t="str">
        <f t="shared" ca="1" si="1"/>
        <v>Amber</v>
      </c>
      <c r="O44" s="16" t="s">
        <v>575</v>
      </c>
      <c r="P44" s="16" t="s">
        <v>135</v>
      </c>
      <c r="Q44" s="16" t="s">
        <v>48</v>
      </c>
      <c r="R44" s="3" t="s">
        <v>49</v>
      </c>
      <c r="S44" s="3"/>
      <c r="T44" s="4"/>
      <c r="U44" s="3" t="s">
        <v>136</v>
      </c>
    </row>
    <row r="45" spans="1:21" ht="42" customHeight="1">
      <c r="A45" s="3" t="s">
        <v>161</v>
      </c>
      <c r="B45" s="3" t="s">
        <v>129</v>
      </c>
      <c r="C45" s="3" t="s">
        <v>130</v>
      </c>
      <c r="D45" s="11" t="s">
        <v>162</v>
      </c>
      <c r="E45" s="3" t="s">
        <v>132</v>
      </c>
      <c r="F45" s="16" t="s">
        <v>133</v>
      </c>
      <c r="G45" s="16" t="s">
        <v>134</v>
      </c>
      <c r="H45" s="3" t="s">
        <v>53</v>
      </c>
      <c r="I45" s="3" t="s">
        <v>107</v>
      </c>
      <c r="J45" s="4">
        <v>46201</v>
      </c>
      <c r="K45" s="4">
        <v>46208</v>
      </c>
      <c r="L45" s="4"/>
      <c r="M45" s="3" t="s">
        <v>46</v>
      </c>
      <c r="N45" s="3" t="str">
        <f t="shared" ca="1" si="1"/>
        <v>Amber</v>
      </c>
      <c r="O45" s="16" t="s">
        <v>575</v>
      </c>
      <c r="P45" s="16" t="s">
        <v>135</v>
      </c>
      <c r="Q45" s="16" t="s">
        <v>48</v>
      </c>
      <c r="R45" s="3" t="s">
        <v>49</v>
      </c>
      <c r="S45" s="3"/>
      <c r="T45" s="4"/>
      <c r="U45" s="3" t="s">
        <v>136</v>
      </c>
    </row>
    <row r="46" spans="1:21" ht="42" customHeight="1">
      <c r="A46" s="3" t="s">
        <v>163</v>
      </c>
      <c r="B46" s="3" t="s">
        <v>129</v>
      </c>
      <c r="C46" s="3" t="s">
        <v>130</v>
      </c>
      <c r="D46" s="11" t="s">
        <v>164</v>
      </c>
      <c r="E46" s="3" t="s">
        <v>132</v>
      </c>
      <c r="F46" s="16" t="s">
        <v>133</v>
      </c>
      <c r="G46" s="16" t="s">
        <v>134</v>
      </c>
      <c r="H46" s="3" t="s">
        <v>53</v>
      </c>
      <c r="I46" s="3" t="s">
        <v>107</v>
      </c>
      <c r="J46" s="4">
        <v>46201</v>
      </c>
      <c r="K46" s="4">
        <v>46208</v>
      </c>
      <c r="L46" s="4"/>
      <c r="M46" s="3" t="s">
        <v>46</v>
      </c>
      <c r="N46" s="3" t="str">
        <f t="shared" ca="1" si="1"/>
        <v>Amber</v>
      </c>
      <c r="O46" s="16" t="s">
        <v>575</v>
      </c>
      <c r="P46" s="16" t="s">
        <v>135</v>
      </c>
      <c r="Q46" s="16" t="s">
        <v>48</v>
      </c>
      <c r="R46" s="3" t="s">
        <v>49</v>
      </c>
      <c r="S46" s="3"/>
      <c r="T46" s="4"/>
      <c r="U46" s="3" t="s">
        <v>136</v>
      </c>
    </row>
    <row r="47" spans="1:21" ht="42" customHeight="1">
      <c r="A47" s="3" t="s">
        <v>165</v>
      </c>
      <c r="B47" s="3" t="s">
        <v>129</v>
      </c>
      <c r="C47" s="3" t="s">
        <v>130</v>
      </c>
      <c r="D47" s="11" t="s">
        <v>166</v>
      </c>
      <c r="E47" s="3" t="s">
        <v>132</v>
      </c>
      <c r="F47" s="16" t="s">
        <v>133</v>
      </c>
      <c r="G47" s="16" t="s">
        <v>134</v>
      </c>
      <c r="H47" s="3" t="s">
        <v>53</v>
      </c>
      <c r="I47" s="3" t="s">
        <v>107</v>
      </c>
      <c r="J47" s="4">
        <v>46201</v>
      </c>
      <c r="K47" s="4">
        <v>46208</v>
      </c>
      <c r="L47" s="4"/>
      <c r="M47" s="3" t="s">
        <v>46</v>
      </c>
      <c r="N47" s="3" t="str">
        <f t="shared" ca="1" si="1"/>
        <v>Amber</v>
      </c>
      <c r="O47" s="16" t="s">
        <v>575</v>
      </c>
      <c r="P47" s="16" t="s">
        <v>135</v>
      </c>
      <c r="Q47" s="16" t="s">
        <v>48</v>
      </c>
      <c r="R47" s="3" t="s">
        <v>49</v>
      </c>
      <c r="S47" s="3"/>
      <c r="T47" s="4"/>
      <c r="U47" s="3" t="s">
        <v>136</v>
      </c>
    </row>
    <row r="48" spans="1:21" ht="42" customHeight="1">
      <c r="A48" s="3" t="s">
        <v>167</v>
      </c>
      <c r="B48" s="3" t="s">
        <v>129</v>
      </c>
      <c r="C48" s="3" t="s">
        <v>130</v>
      </c>
      <c r="D48" s="11" t="s">
        <v>168</v>
      </c>
      <c r="E48" s="3" t="s">
        <v>132</v>
      </c>
      <c r="F48" s="16" t="s">
        <v>133</v>
      </c>
      <c r="G48" s="16" t="s">
        <v>134</v>
      </c>
      <c r="H48" s="3" t="s">
        <v>53</v>
      </c>
      <c r="I48" s="3" t="s">
        <v>107</v>
      </c>
      <c r="J48" s="4">
        <v>46201</v>
      </c>
      <c r="K48" s="4">
        <v>46208</v>
      </c>
      <c r="L48" s="4"/>
      <c r="M48" s="3" t="s">
        <v>46</v>
      </c>
      <c r="N48" s="3" t="str">
        <f t="shared" ca="1" si="1"/>
        <v>Amber</v>
      </c>
      <c r="O48" s="16" t="s">
        <v>574</v>
      </c>
      <c r="P48" s="16" t="s">
        <v>135</v>
      </c>
      <c r="Q48" s="16" t="s">
        <v>48</v>
      </c>
      <c r="R48" s="3" t="s">
        <v>49</v>
      </c>
      <c r="S48" s="3"/>
      <c r="T48" s="4"/>
      <c r="U48" s="3" t="s">
        <v>136</v>
      </c>
    </row>
    <row r="49" spans="1:21" s="14" customFormat="1" ht="42" customHeight="1">
      <c r="A49" s="12" t="s">
        <v>169</v>
      </c>
      <c r="B49" s="12" t="s">
        <v>129</v>
      </c>
      <c r="C49" s="12" t="s">
        <v>130</v>
      </c>
      <c r="D49" s="12" t="s">
        <v>170</v>
      </c>
      <c r="E49" s="12" t="s">
        <v>132</v>
      </c>
      <c r="F49" s="18" t="s">
        <v>133</v>
      </c>
      <c r="G49" s="18" t="s">
        <v>134</v>
      </c>
      <c r="H49" s="12" t="s">
        <v>53</v>
      </c>
      <c r="I49" s="12" t="s">
        <v>107</v>
      </c>
      <c r="J49" s="13">
        <v>46201</v>
      </c>
      <c r="K49" s="13">
        <v>46208</v>
      </c>
      <c r="L49" s="13"/>
      <c r="M49" s="3" t="s">
        <v>46</v>
      </c>
      <c r="N49" s="12" t="str">
        <f t="shared" ca="1" si="1"/>
        <v>Amber</v>
      </c>
      <c r="O49" s="18" t="s">
        <v>575</v>
      </c>
      <c r="P49" s="18" t="s">
        <v>135</v>
      </c>
      <c r="Q49" s="18" t="s">
        <v>48</v>
      </c>
      <c r="R49" s="12" t="s">
        <v>49</v>
      </c>
      <c r="S49" s="12"/>
      <c r="T49" s="13"/>
      <c r="U49" s="12" t="s">
        <v>136</v>
      </c>
    </row>
    <row r="50" spans="1:21" s="14" customFormat="1" ht="42" customHeight="1">
      <c r="A50" s="12" t="s">
        <v>171</v>
      </c>
      <c r="B50" s="12" t="s">
        <v>129</v>
      </c>
      <c r="C50" s="12" t="s">
        <v>130</v>
      </c>
      <c r="D50" s="12" t="s">
        <v>172</v>
      </c>
      <c r="E50" s="12" t="s">
        <v>132</v>
      </c>
      <c r="F50" s="18" t="s">
        <v>133</v>
      </c>
      <c r="G50" s="18" t="s">
        <v>134</v>
      </c>
      <c r="H50" s="12" t="s">
        <v>53</v>
      </c>
      <c r="I50" s="12" t="s">
        <v>107</v>
      </c>
      <c r="J50" s="13">
        <v>46201</v>
      </c>
      <c r="K50" s="13">
        <v>46208</v>
      </c>
      <c r="L50" s="13"/>
      <c r="M50" s="3" t="s">
        <v>46</v>
      </c>
      <c r="N50" s="12" t="str">
        <f t="shared" ca="1" si="1"/>
        <v>Amber</v>
      </c>
      <c r="O50" s="18" t="s">
        <v>575</v>
      </c>
      <c r="P50" s="18" t="s">
        <v>135</v>
      </c>
      <c r="Q50" s="18" t="s">
        <v>48</v>
      </c>
      <c r="R50" s="12" t="s">
        <v>49</v>
      </c>
      <c r="S50" s="12"/>
      <c r="T50" s="13"/>
      <c r="U50" s="12" t="s">
        <v>136</v>
      </c>
    </row>
    <row r="51" spans="1:21" ht="42" customHeight="1">
      <c r="A51" s="3" t="s">
        <v>173</v>
      </c>
      <c r="B51" s="3" t="s">
        <v>129</v>
      </c>
      <c r="C51" s="3" t="s">
        <v>130</v>
      </c>
      <c r="D51" s="11" t="s">
        <v>174</v>
      </c>
      <c r="E51" s="3" t="s">
        <v>132</v>
      </c>
      <c r="F51" s="16" t="s">
        <v>133</v>
      </c>
      <c r="G51" s="16" t="s">
        <v>134</v>
      </c>
      <c r="H51" s="3" t="s">
        <v>53</v>
      </c>
      <c r="I51" s="3" t="s">
        <v>107</v>
      </c>
      <c r="J51" s="4">
        <v>46201</v>
      </c>
      <c r="K51" s="4">
        <v>46208</v>
      </c>
      <c r="L51" s="4"/>
      <c r="M51" s="3" t="s">
        <v>46</v>
      </c>
      <c r="N51" s="3" t="str">
        <f t="shared" ca="1" si="1"/>
        <v>Amber</v>
      </c>
      <c r="O51" s="16" t="s">
        <v>575</v>
      </c>
      <c r="P51" s="16" t="s">
        <v>135</v>
      </c>
      <c r="Q51" s="16" t="s">
        <v>48</v>
      </c>
      <c r="R51" s="3" t="s">
        <v>49</v>
      </c>
      <c r="S51" s="3"/>
      <c r="T51" s="4"/>
      <c r="U51" s="3" t="s">
        <v>136</v>
      </c>
    </row>
    <row r="52" spans="1:21" ht="42" customHeight="1">
      <c r="A52" s="3" t="s">
        <v>175</v>
      </c>
      <c r="B52" s="3" t="s">
        <v>129</v>
      </c>
      <c r="C52" s="3" t="s">
        <v>130</v>
      </c>
      <c r="D52" s="11" t="s">
        <v>176</v>
      </c>
      <c r="E52" s="3" t="s">
        <v>132</v>
      </c>
      <c r="F52" s="16" t="s">
        <v>133</v>
      </c>
      <c r="G52" s="16" t="s">
        <v>134</v>
      </c>
      <c r="H52" s="3" t="s">
        <v>53</v>
      </c>
      <c r="I52" s="3" t="s">
        <v>107</v>
      </c>
      <c r="J52" s="4">
        <v>46201</v>
      </c>
      <c r="K52" s="4">
        <v>46208</v>
      </c>
      <c r="L52" s="4"/>
      <c r="M52" s="3" t="s">
        <v>46</v>
      </c>
      <c r="N52" s="3" t="str">
        <f t="shared" ca="1" si="1"/>
        <v>Amber</v>
      </c>
      <c r="O52" s="16" t="s">
        <v>575</v>
      </c>
      <c r="P52" s="16" t="s">
        <v>135</v>
      </c>
      <c r="Q52" s="16" t="s">
        <v>48</v>
      </c>
      <c r="R52" s="3" t="s">
        <v>49</v>
      </c>
      <c r="S52" s="3"/>
      <c r="T52" s="4"/>
      <c r="U52" s="3" t="s">
        <v>136</v>
      </c>
    </row>
    <row r="53" spans="1:21" ht="42" customHeight="1">
      <c r="A53" s="3" t="s">
        <v>177</v>
      </c>
      <c r="B53" s="3" t="s">
        <v>129</v>
      </c>
      <c r="C53" s="3" t="s">
        <v>130</v>
      </c>
      <c r="D53" s="11" t="s">
        <v>178</v>
      </c>
      <c r="E53" s="3" t="s">
        <v>132</v>
      </c>
      <c r="F53" s="16" t="s">
        <v>133</v>
      </c>
      <c r="G53" s="16" t="s">
        <v>134</v>
      </c>
      <c r="H53" s="3" t="s">
        <v>53</v>
      </c>
      <c r="I53" s="3" t="s">
        <v>107</v>
      </c>
      <c r="J53" s="4">
        <v>46201</v>
      </c>
      <c r="K53" s="4">
        <v>46208</v>
      </c>
      <c r="L53" s="4"/>
      <c r="M53" s="3" t="s">
        <v>46</v>
      </c>
      <c r="N53" s="3" t="str">
        <f t="shared" ca="1" si="1"/>
        <v>Amber</v>
      </c>
      <c r="O53" s="16" t="s">
        <v>575</v>
      </c>
      <c r="P53" s="16" t="s">
        <v>135</v>
      </c>
      <c r="Q53" s="16" t="s">
        <v>48</v>
      </c>
      <c r="R53" s="3" t="s">
        <v>49</v>
      </c>
      <c r="S53" s="3"/>
      <c r="T53" s="4"/>
      <c r="U53" s="3" t="s">
        <v>136</v>
      </c>
    </row>
    <row r="54" spans="1:21" ht="42" customHeight="1">
      <c r="A54" s="3" t="s">
        <v>179</v>
      </c>
      <c r="B54" s="3" t="s">
        <v>180</v>
      </c>
      <c r="C54" s="3" t="s">
        <v>130</v>
      </c>
      <c r="D54" s="3" t="s">
        <v>181</v>
      </c>
      <c r="E54" s="3" t="s">
        <v>182</v>
      </c>
      <c r="F54" s="16" t="s">
        <v>183</v>
      </c>
      <c r="G54" s="16" t="s">
        <v>184</v>
      </c>
      <c r="H54" s="3" t="s">
        <v>185</v>
      </c>
      <c r="I54" s="3" t="s">
        <v>107</v>
      </c>
      <c r="J54" s="4">
        <v>46201</v>
      </c>
      <c r="K54" s="4">
        <v>46208</v>
      </c>
      <c r="L54" s="4"/>
      <c r="M54" s="3" t="s">
        <v>46</v>
      </c>
      <c r="N54" s="3" t="str">
        <f t="shared" ca="1" si="1"/>
        <v>Amber</v>
      </c>
      <c r="O54" s="16" t="s">
        <v>575</v>
      </c>
      <c r="P54" s="16" t="s">
        <v>186</v>
      </c>
      <c r="Q54" s="16" t="s">
        <v>48</v>
      </c>
      <c r="R54" s="3" t="s">
        <v>49</v>
      </c>
      <c r="S54" s="3"/>
      <c r="T54" s="4"/>
      <c r="U54" s="3" t="s">
        <v>187</v>
      </c>
    </row>
    <row r="55" spans="1:21" ht="42" customHeight="1">
      <c r="A55" s="3" t="s">
        <v>188</v>
      </c>
      <c r="B55" s="3" t="s">
        <v>180</v>
      </c>
      <c r="C55" s="3" t="s">
        <v>130</v>
      </c>
      <c r="D55" s="3" t="s">
        <v>189</v>
      </c>
      <c r="E55" s="3" t="s">
        <v>182</v>
      </c>
      <c r="F55" s="16" t="s">
        <v>183</v>
      </c>
      <c r="G55" s="16" t="s">
        <v>184</v>
      </c>
      <c r="H55" s="3" t="s">
        <v>185</v>
      </c>
      <c r="I55" s="3" t="s">
        <v>107</v>
      </c>
      <c r="J55" s="4">
        <v>46201</v>
      </c>
      <c r="K55" s="4">
        <v>46208</v>
      </c>
      <c r="L55" s="4"/>
      <c r="M55" s="3" t="s">
        <v>46</v>
      </c>
      <c r="N55" s="3" t="str">
        <f t="shared" ca="1" si="1"/>
        <v>Amber</v>
      </c>
      <c r="O55" s="16" t="s">
        <v>575</v>
      </c>
      <c r="P55" s="16" t="s">
        <v>186</v>
      </c>
      <c r="Q55" s="16" t="s">
        <v>48</v>
      </c>
      <c r="R55" s="3" t="s">
        <v>49</v>
      </c>
      <c r="S55" s="3"/>
      <c r="T55" s="4"/>
      <c r="U55" s="3" t="s">
        <v>187</v>
      </c>
    </row>
    <row r="56" spans="1:21" ht="42" customHeight="1">
      <c r="A56" s="3" t="s">
        <v>190</v>
      </c>
      <c r="B56" s="3" t="s">
        <v>180</v>
      </c>
      <c r="C56" s="3" t="s">
        <v>130</v>
      </c>
      <c r="D56" s="3" t="s">
        <v>191</v>
      </c>
      <c r="E56" s="3" t="s">
        <v>182</v>
      </c>
      <c r="F56" s="16" t="s">
        <v>183</v>
      </c>
      <c r="G56" s="16" t="s">
        <v>184</v>
      </c>
      <c r="H56" s="3" t="s">
        <v>185</v>
      </c>
      <c r="I56" s="3" t="s">
        <v>107</v>
      </c>
      <c r="J56" s="4">
        <v>46201</v>
      </c>
      <c r="K56" s="4">
        <v>46208</v>
      </c>
      <c r="L56" s="4"/>
      <c r="M56" s="3" t="s">
        <v>46</v>
      </c>
      <c r="N56" s="3" t="str">
        <f t="shared" ca="1" si="1"/>
        <v>Amber</v>
      </c>
      <c r="O56" s="16" t="s">
        <v>575</v>
      </c>
      <c r="P56" s="16" t="s">
        <v>186</v>
      </c>
      <c r="Q56" s="16" t="s">
        <v>48</v>
      </c>
      <c r="R56" s="3" t="s">
        <v>49</v>
      </c>
      <c r="S56" s="3"/>
      <c r="T56" s="4"/>
      <c r="U56" s="3" t="s">
        <v>187</v>
      </c>
    </row>
    <row r="57" spans="1:21" ht="42" customHeight="1">
      <c r="A57" s="3" t="s">
        <v>192</v>
      </c>
      <c r="B57" s="3" t="s">
        <v>180</v>
      </c>
      <c r="C57" s="3" t="s">
        <v>130</v>
      </c>
      <c r="D57" s="3" t="s">
        <v>193</v>
      </c>
      <c r="E57" s="3" t="s">
        <v>182</v>
      </c>
      <c r="F57" s="16" t="s">
        <v>183</v>
      </c>
      <c r="G57" s="16" t="s">
        <v>184</v>
      </c>
      <c r="H57" s="3" t="s">
        <v>185</v>
      </c>
      <c r="I57" s="3" t="s">
        <v>107</v>
      </c>
      <c r="J57" s="4">
        <v>46201</v>
      </c>
      <c r="K57" s="4">
        <v>46208</v>
      </c>
      <c r="L57" s="4"/>
      <c r="M57" s="3" t="s">
        <v>46</v>
      </c>
      <c r="N57" s="3" t="str">
        <f t="shared" ca="1" si="1"/>
        <v>Amber</v>
      </c>
      <c r="O57" s="16" t="s">
        <v>575</v>
      </c>
      <c r="P57" s="16" t="s">
        <v>186</v>
      </c>
      <c r="Q57" s="16" t="s">
        <v>48</v>
      </c>
      <c r="R57" s="3" t="s">
        <v>49</v>
      </c>
      <c r="S57" s="3"/>
      <c r="T57" s="4"/>
      <c r="U57" s="3" t="s">
        <v>187</v>
      </c>
    </row>
    <row r="58" spans="1:21" s="14" customFormat="1" ht="42" customHeight="1">
      <c r="A58" s="12" t="s">
        <v>194</v>
      </c>
      <c r="B58" s="12" t="s">
        <v>180</v>
      </c>
      <c r="C58" s="12" t="s">
        <v>130</v>
      </c>
      <c r="D58" s="12" t="s">
        <v>195</v>
      </c>
      <c r="E58" s="12" t="s">
        <v>182</v>
      </c>
      <c r="F58" s="18" t="s">
        <v>183</v>
      </c>
      <c r="G58" s="18" t="s">
        <v>184</v>
      </c>
      <c r="H58" s="12" t="s">
        <v>185</v>
      </c>
      <c r="I58" s="12" t="s">
        <v>107</v>
      </c>
      <c r="J58" s="13">
        <v>46201</v>
      </c>
      <c r="K58" s="13">
        <v>46208</v>
      </c>
      <c r="L58" s="13"/>
      <c r="M58" s="3" t="s">
        <v>46</v>
      </c>
      <c r="N58" s="12" t="str">
        <f t="shared" ca="1" si="1"/>
        <v>Amber</v>
      </c>
      <c r="O58" s="18" t="s">
        <v>575</v>
      </c>
      <c r="P58" s="18" t="s">
        <v>186</v>
      </c>
      <c r="Q58" s="18" t="s">
        <v>48</v>
      </c>
      <c r="R58" s="12" t="s">
        <v>49</v>
      </c>
      <c r="S58" s="12"/>
      <c r="T58" s="13"/>
      <c r="U58" s="12" t="s">
        <v>187</v>
      </c>
    </row>
    <row r="59" spans="1:21" s="14" customFormat="1" ht="42" customHeight="1">
      <c r="A59" s="12" t="s">
        <v>196</v>
      </c>
      <c r="B59" s="12" t="s">
        <v>180</v>
      </c>
      <c r="C59" s="12" t="s">
        <v>130</v>
      </c>
      <c r="D59" s="12" t="s">
        <v>197</v>
      </c>
      <c r="E59" s="12" t="s">
        <v>182</v>
      </c>
      <c r="F59" s="18" t="s">
        <v>183</v>
      </c>
      <c r="G59" s="18" t="s">
        <v>184</v>
      </c>
      <c r="H59" s="12" t="s">
        <v>185</v>
      </c>
      <c r="I59" s="12" t="s">
        <v>107</v>
      </c>
      <c r="J59" s="13">
        <v>46201</v>
      </c>
      <c r="K59" s="13">
        <v>46208</v>
      </c>
      <c r="L59" s="13"/>
      <c r="M59" s="3" t="s">
        <v>46</v>
      </c>
      <c r="N59" s="12" t="str">
        <f t="shared" ca="1" si="1"/>
        <v>Amber</v>
      </c>
      <c r="O59" s="18" t="s">
        <v>575</v>
      </c>
      <c r="P59" s="18" t="s">
        <v>186</v>
      </c>
      <c r="Q59" s="18" t="s">
        <v>48</v>
      </c>
      <c r="R59" s="12" t="s">
        <v>49</v>
      </c>
      <c r="S59" s="12"/>
      <c r="T59" s="13"/>
      <c r="U59" s="12" t="s">
        <v>187</v>
      </c>
    </row>
    <row r="60" spans="1:21" ht="42" customHeight="1">
      <c r="A60" s="3" t="s">
        <v>198</v>
      </c>
      <c r="B60" s="3" t="s">
        <v>180</v>
      </c>
      <c r="C60" s="3" t="s">
        <v>130</v>
      </c>
      <c r="D60" s="3" t="s">
        <v>199</v>
      </c>
      <c r="E60" s="3" t="s">
        <v>182</v>
      </c>
      <c r="F60" s="16" t="s">
        <v>183</v>
      </c>
      <c r="G60" s="16" t="s">
        <v>184</v>
      </c>
      <c r="H60" s="3" t="s">
        <v>185</v>
      </c>
      <c r="I60" s="3" t="s">
        <v>107</v>
      </c>
      <c r="J60" s="4">
        <v>46201</v>
      </c>
      <c r="K60" s="4">
        <v>46208</v>
      </c>
      <c r="L60" s="4"/>
      <c r="M60" s="3" t="s">
        <v>46</v>
      </c>
      <c r="N60" s="3" t="str">
        <f t="shared" ca="1" si="1"/>
        <v>Amber</v>
      </c>
      <c r="O60" s="16" t="s">
        <v>574</v>
      </c>
      <c r="P60" s="16" t="s">
        <v>186</v>
      </c>
      <c r="Q60" s="16" t="s">
        <v>48</v>
      </c>
      <c r="R60" s="3" t="s">
        <v>49</v>
      </c>
      <c r="S60" s="3"/>
      <c r="T60" s="4"/>
      <c r="U60" s="3" t="s">
        <v>187</v>
      </c>
    </row>
    <row r="61" spans="1:21" s="14" customFormat="1" ht="42" customHeight="1">
      <c r="A61" s="12" t="s">
        <v>200</v>
      </c>
      <c r="B61" s="12" t="s">
        <v>180</v>
      </c>
      <c r="C61" s="12" t="s">
        <v>130</v>
      </c>
      <c r="D61" s="12" t="s">
        <v>201</v>
      </c>
      <c r="E61" s="12" t="s">
        <v>182</v>
      </c>
      <c r="F61" s="18" t="s">
        <v>183</v>
      </c>
      <c r="G61" s="18" t="s">
        <v>184</v>
      </c>
      <c r="H61" s="12" t="s">
        <v>185</v>
      </c>
      <c r="I61" s="12" t="s">
        <v>107</v>
      </c>
      <c r="J61" s="13">
        <v>46201</v>
      </c>
      <c r="K61" s="13">
        <v>46208</v>
      </c>
      <c r="L61" s="13"/>
      <c r="M61" s="3" t="s">
        <v>46</v>
      </c>
      <c r="N61" s="12" t="str">
        <f t="shared" ca="1" si="1"/>
        <v>Amber</v>
      </c>
      <c r="O61" s="18" t="s">
        <v>575</v>
      </c>
      <c r="P61" s="18" t="s">
        <v>186</v>
      </c>
      <c r="Q61" s="18" t="s">
        <v>48</v>
      </c>
      <c r="R61" s="12" t="s">
        <v>49</v>
      </c>
      <c r="S61" s="12"/>
      <c r="T61" s="13"/>
      <c r="U61" s="12" t="s">
        <v>187</v>
      </c>
    </row>
    <row r="62" spans="1:21" s="14" customFormat="1" ht="42" customHeight="1">
      <c r="A62" s="12" t="s">
        <v>202</v>
      </c>
      <c r="B62" s="12" t="s">
        <v>203</v>
      </c>
      <c r="C62" s="12" t="s">
        <v>130</v>
      </c>
      <c r="D62" s="12" t="s">
        <v>204</v>
      </c>
      <c r="E62" s="12" t="s">
        <v>205</v>
      </c>
      <c r="F62" s="18" t="s">
        <v>206</v>
      </c>
      <c r="G62" s="18" t="s">
        <v>207</v>
      </c>
      <c r="H62" s="12" t="s">
        <v>208</v>
      </c>
      <c r="I62" s="12" t="s">
        <v>45</v>
      </c>
      <c r="J62" s="13">
        <v>46201</v>
      </c>
      <c r="K62" s="13">
        <v>46215</v>
      </c>
      <c r="L62" s="13"/>
      <c r="M62" s="3" t="s">
        <v>46</v>
      </c>
      <c r="N62" s="12" t="str">
        <f t="shared" ca="1" si="1"/>
        <v>Amber</v>
      </c>
      <c r="O62" s="18" t="s">
        <v>575</v>
      </c>
      <c r="P62" s="18" t="s">
        <v>209</v>
      </c>
      <c r="Q62" s="18" t="s">
        <v>48</v>
      </c>
      <c r="R62" s="12" t="s">
        <v>49</v>
      </c>
      <c r="S62" s="12"/>
      <c r="T62" s="13"/>
      <c r="U62" s="12" t="s">
        <v>210</v>
      </c>
    </row>
    <row r="63" spans="1:21" ht="42" customHeight="1">
      <c r="A63" s="3" t="s">
        <v>211</v>
      </c>
      <c r="B63" s="3" t="s">
        <v>203</v>
      </c>
      <c r="C63" s="3" t="s">
        <v>130</v>
      </c>
      <c r="D63" s="11" t="s">
        <v>212</v>
      </c>
      <c r="E63" s="3" t="s">
        <v>205</v>
      </c>
      <c r="F63" s="16" t="s">
        <v>206</v>
      </c>
      <c r="G63" s="16" t="s">
        <v>207</v>
      </c>
      <c r="H63" s="3" t="s">
        <v>208</v>
      </c>
      <c r="I63" s="3" t="s">
        <v>45</v>
      </c>
      <c r="J63" s="4">
        <v>46201</v>
      </c>
      <c r="K63" s="4">
        <v>46215</v>
      </c>
      <c r="L63" s="4"/>
      <c r="M63" s="3" t="s">
        <v>46</v>
      </c>
      <c r="N63" s="3" t="str">
        <f t="shared" ca="1" si="1"/>
        <v>Amber</v>
      </c>
      <c r="O63" s="16" t="s">
        <v>575</v>
      </c>
      <c r="P63" s="16" t="s">
        <v>209</v>
      </c>
      <c r="Q63" s="16" t="s">
        <v>48</v>
      </c>
      <c r="R63" s="3" t="s">
        <v>49</v>
      </c>
      <c r="S63" s="3"/>
      <c r="T63" s="4"/>
      <c r="U63" s="3" t="s">
        <v>210</v>
      </c>
    </row>
    <row r="64" spans="1:21" s="14" customFormat="1" ht="42" customHeight="1">
      <c r="A64" s="12" t="s">
        <v>213</v>
      </c>
      <c r="B64" s="12" t="s">
        <v>203</v>
      </c>
      <c r="C64" s="12" t="s">
        <v>130</v>
      </c>
      <c r="D64" s="12" t="s">
        <v>214</v>
      </c>
      <c r="E64" s="12" t="s">
        <v>205</v>
      </c>
      <c r="F64" s="18" t="s">
        <v>206</v>
      </c>
      <c r="G64" s="18" t="s">
        <v>207</v>
      </c>
      <c r="H64" s="12" t="s">
        <v>208</v>
      </c>
      <c r="I64" s="12" t="s">
        <v>45</v>
      </c>
      <c r="J64" s="13">
        <v>46201</v>
      </c>
      <c r="K64" s="13">
        <v>46215</v>
      </c>
      <c r="L64" s="13"/>
      <c r="M64" s="3" t="s">
        <v>46</v>
      </c>
      <c r="N64" s="12" t="str">
        <f t="shared" ca="1" si="1"/>
        <v>Amber</v>
      </c>
      <c r="O64" s="18" t="s">
        <v>575</v>
      </c>
      <c r="P64" s="18" t="s">
        <v>209</v>
      </c>
      <c r="Q64" s="18" t="s">
        <v>48</v>
      </c>
      <c r="R64" s="12" t="s">
        <v>49</v>
      </c>
      <c r="S64" s="12"/>
      <c r="T64" s="13"/>
      <c r="U64" s="12" t="s">
        <v>210</v>
      </c>
    </row>
    <row r="65" spans="1:21" s="14" customFormat="1" ht="42" customHeight="1">
      <c r="A65" s="12" t="s">
        <v>215</v>
      </c>
      <c r="B65" s="12" t="s">
        <v>203</v>
      </c>
      <c r="C65" s="12" t="s">
        <v>130</v>
      </c>
      <c r="D65" s="12" t="s">
        <v>216</v>
      </c>
      <c r="E65" s="12" t="s">
        <v>205</v>
      </c>
      <c r="F65" s="18" t="s">
        <v>206</v>
      </c>
      <c r="G65" s="18" t="s">
        <v>207</v>
      </c>
      <c r="H65" s="12" t="s">
        <v>208</v>
      </c>
      <c r="I65" s="12" t="s">
        <v>45</v>
      </c>
      <c r="J65" s="13">
        <v>46201</v>
      </c>
      <c r="K65" s="13">
        <v>46215</v>
      </c>
      <c r="L65" s="13"/>
      <c r="M65" s="3" t="s">
        <v>46</v>
      </c>
      <c r="N65" s="12" t="str">
        <f t="shared" ca="1" si="1"/>
        <v>Amber</v>
      </c>
      <c r="O65" s="18" t="s">
        <v>575</v>
      </c>
      <c r="P65" s="18" t="s">
        <v>209</v>
      </c>
      <c r="Q65" s="18" t="s">
        <v>48</v>
      </c>
      <c r="R65" s="12" t="s">
        <v>49</v>
      </c>
      <c r="S65" s="12"/>
      <c r="T65" s="13"/>
      <c r="U65" s="12" t="s">
        <v>210</v>
      </c>
    </row>
    <row r="66" spans="1:21" ht="42" customHeight="1">
      <c r="A66" s="3" t="s">
        <v>217</v>
      </c>
      <c r="B66" s="3" t="s">
        <v>203</v>
      </c>
      <c r="C66" s="3" t="s">
        <v>130</v>
      </c>
      <c r="D66" s="11" t="s">
        <v>218</v>
      </c>
      <c r="E66" s="3" t="s">
        <v>205</v>
      </c>
      <c r="F66" s="16" t="s">
        <v>206</v>
      </c>
      <c r="G66" s="16" t="s">
        <v>207</v>
      </c>
      <c r="H66" s="3" t="s">
        <v>208</v>
      </c>
      <c r="I66" s="3" t="s">
        <v>45</v>
      </c>
      <c r="J66" s="4">
        <v>46201</v>
      </c>
      <c r="K66" s="4">
        <v>46215</v>
      </c>
      <c r="L66" s="4"/>
      <c r="M66" s="3" t="s">
        <v>46</v>
      </c>
      <c r="N66" s="3" t="str">
        <f t="shared" ref="N66:N97" ca="1" si="2">IF(M66="Verified","Green",IF(M66="Completed","Amber - Awaiting Verification",IF(K66&lt;TODAY(),"Red - Overdue",IF(M66="In Progress","Amber","Red - Not Started"))))</f>
        <v>Amber</v>
      </c>
      <c r="O66" s="16" t="s">
        <v>575</v>
      </c>
      <c r="P66" s="16" t="s">
        <v>209</v>
      </c>
      <c r="Q66" s="16" t="s">
        <v>48</v>
      </c>
      <c r="R66" s="3" t="s">
        <v>49</v>
      </c>
      <c r="S66" s="3"/>
      <c r="T66" s="4"/>
      <c r="U66" s="3" t="s">
        <v>210</v>
      </c>
    </row>
    <row r="67" spans="1:21" s="14" customFormat="1" ht="42" customHeight="1">
      <c r="A67" s="12" t="s">
        <v>219</v>
      </c>
      <c r="B67" s="12" t="s">
        <v>203</v>
      </c>
      <c r="C67" s="12" t="s">
        <v>130</v>
      </c>
      <c r="D67" s="12" t="s">
        <v>220</v>
      </c>
      <c r="E67" s="12" t="s">
        <v>205</v>
      </c>
      <c r="F67" s="18" t="s">
        <v>206</v>
      </c>
      <c r="G67" s="18" t="s">
        <v>207</v>
      </c>
      <c r="H67" s="12" t="s">
        <v>208</v>
      </c>
      <c r="I67" s="12" t="s">
        <v>45</v>
      </c>
      <c r="J67" s="13">
        <v>46201</v>
      </c>
      <c r="K67" s="13">
        <v>46215</v>
      </c>
      <c r="L67" s="13"/>
      <c r="M67" s="3" t="s">
        <v>46</v>
      </c>
      <c r="N67" s="12" t="str">
        <f t="shared" ca="1" si="2"/>
        <v>Amber</v>
      </c>
      <c r="O67" s="18" t="s">
        <v>575</v>
      </c>
      <c r="P67" s="18" t="s">
        <v>209</v>
      </c>
      <c r="Q67" s="18" t="s">
        <v>48</v>
      </c>
      <c r="R67" s="12" t="s">
        <v>49</v>
      </c>
      <c r="S67" s="12"/>
      <c r="T67" s="13"/>
      <c r="U67" s="12" t="s">
        <v>210</v>
      </c>
    </row>
    <row r="68" spans="1:21" s="14" customFormat="1" ht="42" customHeight="1">
      <c r="A68" s="12" t="s">
        <v>221</v>
      </c>
      <c r="B68" s="12" t="s">
        <v>203</v>
      </c>
      <c r="C68" s="12" t="s">
        <v>130</v>
      </c>
      <c r="D68" s="12" t="s">
        <v>222</v>
      </c>
      <c r="E68" s="12" t="s">
        <v>205</v>
      </c>
      <c r="F68" s="18" t="s">
        <v>206</v>
      </c>
      <c r="G68" s="18" t="s">
        <v>207</v>
      </c>
      <c r="H68" s="12" t="s">
        <v>208</v>
      </c>
      <c r="I68" s="12" t="s">
        <v>45</v>
      </c>
      <c r="J68" s="13">
        <v>46201</v>
      </c>
      <c r="K68" s="13">
        <v>46215</v>
      </c>
      <c r="L68" s="13"/>
      <c r="M68" s="3" t="s">
        <v>46</v>
      </c>
      <c r="N68" s="12" t="str">
        <f t="shared" ca="1" si="2"/>
        <v>Amber</v>
      </c>
      <c r="O68" s="18" t="s">
        <v>575</v>
      </c>
      <c r="P68" s="18" t="s">
        <v>209</v>
      </c>
      <c r="Q68" s="18" t="s">
        <v>48</v>
      </c>
      <c r="R68" s="12" t="s">
        <v>49</v>
      </c>
      <c r="S68" s="12"/>
      <c r="T68" s="13"/>
      <c r="U68" s="12" t="s">
        <v>210</v>
      </c>
    </row>
    <row r="69" spans="1:21" s="14" customFormat="1" ht="42" customHeight="1">
      <c r="A69" s="12" t="s">
        <v>223</v>
      </c>
      <c r="B69" s="12" t="s">
        <v>203</v>
      </c>
      <c r="C69" s="12" t="s">
        <v>130</v>
      </c>
      <c r="D69" s="12" t="s">
        <v>224</v>
      </c>
      <c r="E69" s="12" t="s">
        <v>205</v>
      </c>
      <c r="F69" s="18" t="s">
        <v>206</v>
      </c>
      <c r="G69" s="18" t="s">
        <v>207</v>
      </c>
      <c r="H69" s="12" t="s">
        <v>208</v>
      </c>
      <c r="I69" s="12" t="s">
        <v>45</v>
      </c>
      <c r="J69" s="13">
        <v>46201</v>
      </c>
      <c r="K69" s="13">
        <v>46215</v>
      </c>
      <c r="L69" s="13"/>
      <c r="M69" s="3" t="s">
        <v>46</v>
      </c>
      <c r="N69" s="12" t="str">
        <f t="shared" ca="1" si="2"/>
        <v>Amber</v>
      </c>
      <c r="O69" s="18" t="s">
        <v>575</v>
      </c>
      <c r="P69" s="18" t="s">
        <v>209</v>
      </c>
      <c r="Q69" s="18" t="s">
        <v>48</v>
      </c>
      <c r="R69" s="12" t="s">
        <v>49</v>
      </c>
      <c r="S69" s="12"/>
      <c r="T69" s="13"/>
      <c r="U69" s="12" t="s">
        <v>210</v>
      </c>
    </row>
    <row r="70" spans="1:21" s="14" customFormat="1" ht="42" customHeight="1">
      <c r="A70" s="12" t="s">
        <v>225</v>
      </c>
      <c r="B70" s="12" t="s">
        <v>226</v>
      </c>
      <c r="C70" s="12" t="s">
        <v>227</v>
      </c>
      <c r="D70" s="12" t="s">
        <v>228</v>
      </c>
      <c r="E70" s="12" t="s">
        <v>229</v>
      </c>
      <c r="F70" s="18" t="s">
        <v>230</v>
      </c>
      <c r="G70" s="18" t="s">
        <v>231</v>
      </c>
      <c r="H70" s="12" t="s">
        <v>232</v>
      </c>
      <c r="I70" s="12" t="s">
        <v>107</v>
      </c>
      <c r="J70" s="13">
        <v>46201</v>
      </c>
      <c r="K70" s="13">
        <v>46208</v>
      </c>
      <c r="L70" s="13"/>
      <c r="M70" s="3" t="s">
        <v>46</v>
      </c>
      <c r="N70" s="12" t="str">
        <f t="shared" ca="1" si="2"/>
        <v>Amber</v>
      </c>
      <c r="O70" s="18" t="s">
        <v>575</v>
      </c>
      <c r="P70" s="18" t="s">
        <v>233</v>
      </c>
      <c r="Q70" s="18" t="s">
        <v>48</v>
      </c>
      <c r="R70" s="12" t="s">
        <v>49</v>
      </c>
      <c r="S70" s="12"/>
      <c r="T70" s="13"/>
      <c r="U70" s="12" t="s">
        <v>234</v>
      </c>
    </row>
    <row r="71" spans="1:21" ht="42" customHeight="1">
      <c r="A71" s="3" t="s">
        <v>235</v>
      </c>
      <c r="B71" s="3" t="s">
        <v>226</v>
      </c>
      <c r="C71" s="3" t="s">
        <v>227</v>
      </c>
      <c r="D71" s="12" t="s">
        <v>236</v>
      </c>
      <c r="E71" s="3" t="s">
        <v>229</v>
      </c>
      <c r="F71" s="16" t="s">
        <v>230</v>
      </c>
      <c r="G71" s="16" t="s">
        <v>231</v>
      </c>
      <c r="H71" s="3" t="s">
        <v>232</v>
      </c>
      <c r="I71" s="3" t="s">
        <v>107</v>
      </c>
      <c r="J71" s="4">
        <v>46201</v>
      </c>
      <c r="K71" s="4">
        <v>46208</v>
      </c>
      <c r="L71" s="4"/>
      <c r="M71" s="3" t="s">
        <v>46</v>
      </c>
      <c r="N71" s="3" t="str">
        <f t="shared" ca="1" si="2"/>
        <v>Amber</v>
      </c>
      <c r="O71" s="16" t="s">
        <v>575</v>
      </c>
      <c r="P71" s="16" t="s">
        <v>233</v>
      </c>
      <c r="Q71" s="16" t="s">
        <v>48</v>
      </c>
      <c r="R71" s="3" t="s">
        <v>49</v>
      </c>
      <c r="S71" s="3"/>
      <c r="T71" s="4"/>
      <c r="U71" s="3" t="s">
        <v>234</v>
      </c>
    </row>
    <row r="72" spans="1:21" s="14" customFormat="1" ht="42" customHeight="1">
      <c r="A72" s="12" t="s">
        <v>237</v>
      </c>
      <c r="B72" s="12" t="s">
        <v>226</v>
      </c>
      <c r="C72" s="12" t="s">
        <v>227</v>
      </c>
      <c r="D72" s="12" t="s">
        <v>238</v>
      </c>
      <c r="E72" s="12" t="s">
        <v>229</v>
      </c>
      <c r="F72" s="18" t="s">
        <v>230</v>
      </c>
      <c r="G72" s="18" t="s">
        <v>231</v>
      </c>
      <c r="H72" s="12" t="s">
        <v>232</v>
      </c>
      <c r="I72" s="12" t="s">
        <v>107</v>
      </c>
      <c r="J72" s="13">
        <v>46201</v>
      </c>
      <c r="K72" s="13">
        <v>46208</v>
      </c>
      <c r="L72" s="13"/>
      <c r="M72" s="3" t="s">
        <v>46</v>
      </c>
      <c r="N72" s="12" t="str">
        <f t="shared" ca="1" si="2"/>
        <v>Amber</v>
      </c>
      <c r="O72" s="18" t="s">
        <v>575</v>
      </c>
      <c r="P72" s="18" t="s">
        <v>233</v>
      </c>
      <c r="Q72" s="18" t="s">
        <v>48</v>
      </c>
      <c r="R72" s="12" t="s">
        <v>49</v>
      </c>
      <c r="S72" s="12"/>
      <c r="T72" s="13"/>
      <c r="U72" s="12" t="s">
        <v>234</v>
      </c>
    </row>
    <row r="73" spans="1:21" ht="42" customHeight="1">
      <c r="A73" s="3" t="s">
        <v>239</v>
      </c>
      <c r="B73" s="3" t="s">
        <v>226</v>
      </c>
      <c r="C73" s="3" t="s">
        <v>227</v>
      </c>
      <c r="D73" s="11" t="s">
        <v>240</v>
      </c>
      <c r="E73" s="3" t="s">
        <v>229</v>
      </c>
      <c r="F73" s="16" t="s">
        <v>230</v>
      </c>
      <c r="G73" s="16" t="s">
        <v>231</v>
      </c>
      <c r="H73" s="3" t="s">
        <v>232</v>
      </c>
      <c r="I73" s="3" t="s">
        <v>107</v>
      </c>
      <c r="J73" s="4">
        <v>46201</v>
      </c>
      <c r="K73" s="4">
        <v>46208</v>
      </c>
      <c r="L73" s="4"/>
      <c r="M73" s="3" t="s">
        <v>46</v>
      </c>
      <c r="N73" s="3" t="str">
        <f t="shared" ca="1" si="2"/>
        <v>Amber</v>
      </c>
      <c r="O73" s="16" t="s">
        <v>575</v>
      </c>
      <c r="P73" s="16" t="s">
        <v>233</v>
      </c>
      <c r="Q73" s="16" t="s">
        <v>48</v>
      </c>
      <c r="R73" s="3" t="s">
        <v>49</v>
      </c>
      <c r="S73" s="3"/>
      <c r="T73" s="4"/>
      <c r="U73" s="3" t="s">
        <v>234</v>
      </c>
    </row>
    <row r="74" spans="1:21" ht="42" customHeight="1">
      <c r="A74" s="3" t="s">
        <v>241</v>
      </c>
      <c r="B74" s="3" t="s">
        <v>226</v>
      </c>
      <c r="C74" s="3" t="s">
        <v>227</v>
      </c>
      <c r="D74" s="11" t="s">
        <v>242</v>
      </c>
      <c r="E74" s="3" t="s">
        <v>229</v>
      </c>
      <c r="F74" s="16" t="s">
        <v>230</v>
      </c>
      <c r="G74" s="16" t="s">
        <v>231</v>
      </c>
      <c r="H74" s="3" t="s">
        <v>232</v>
      </c>
      <c r="I74" s="3" t="s">
        <v>107</v>
      </c>
      <c r="J74" s="4">
        <v>46201</v>
      </c>
      <c r="K74" s="4">
        <v>46208</v>
      </c>
      <c r="L74" s="4"/>
      <c r="M74" s="3" t="s">
        <v>46</v>
      </c>
      <c r="N74" s="3" t="str">
        <f t="shared" ca="1" si="2"/>
        <v>Amber</v>
      </c>
      <c r="O74" s="16" t="s">
        <v>575</v>
      </c>
      <c r="P74" s="16" t="s">
        <v>233</v>
      </c>
      <c r="Q74" s="16" t="s">
        <v>48</v>
      </c>
      <c r="R74" s="3" t="s">
        <v>49</v>
      </c>
      <c r="S74" s="3"/>
      <c r="T74" s="4"/>
      <c r="U74" s="3" t="s">
        <v>234</v>
      </c>
    </row>
    <row r="75" spans="1:21" ht="42" customHeight="1">
      <c r="A75" s="3" t="s">
        <v>243</v>
      </c>
      <c r="B75" s="3" t="s">
        <v>226</v>
      </c>
      <c r="C75" s="3" t="s">
        <v>227</v>
      </c>
      <c r="D75" s="11" t="s">
        <v>244</v>
      </c>
      <c r="E75" s="3" t="s">
        <v>229</v>
      </c>
      <c r="F75" s="16" t="s">
        <v>230</v>
      </c>
      <c r="G75" s="16" t="s">
        <v>231</v>
      </c>
      <c r="H75" s="3" t="s">
        <v>232</v>
      </c>
      <c r="I75" s="3" t="s">
        <v>107</v>
      </c>
      <c r="J75" s="4">
        <v>46201</v>
      </c>
      <c r="K75" s="4">
        <v>46208</v>
      </c>
      <c r="L75" s="4"/>
      <c r="M75" s="3" t="s">
        <v>46</v>
      </c>
      <c r="N75" s="3" t="str">
        <f t="shared" ca="1" si="2"/>
        <v>Amber</v>
      </c>
      <c r="O75" s="16" t="s">
        <v>575</v>
      </c>
      <c r="P75" s="16" t="s">
        <v>233</v>
      </c>
      <c r="Q75" s="16" t="s">
        <v>48</v>
      </c>
      <c r="R75" s="3" t="s">
        <v>49</v>
      </c>
      <c r="S75" s="3"/>
      <c r="T75" s="4"/>
      <c r="U75" s="3" t="s">
        <v>234</v>
      </c>
    </row>
    <row r="76" spans="1:21" s="14" customFormat="1" ht="42" customHeight="1">
      <c r="A76" s="12" t="s">
        <v>245</v>
      </c>
      <c r="B76" s="12" t="s">
        <v>226</v>
      </c>
      <c r="C76" s="12" t="s">
        <v>227</v>
      </c>
      <c r="D76" s="12" t="s">
        <v>246</v>
      </c>
      <c r="E76" s="12" t="s">
        <v>229</v>
      </c>
      <c r="F76" s="18" t="s">
        <v>230</v>
      </c>
      <c r="G76" s="18" t="s">
        <v>231</v>
      </c>
      <c r="H76" s="12" t="s">
        <v>232</v>
      </c>
      <c r="I76" s="12" t="s">
        <v>107</v>
      </c>
      <c r="J76" s="13">
        <v>46201</v>
      </c>
      <c r="K76" s="13">
        <v>46208</v>
      </c>
      <c r="L76" s="13"/>
      <c r="M76" s="3" t="s">
        <v>46</v>
      </c>
      <c r="N76" s="12" t="str">
        <f t="shared" ca="1" si="2"/>
        <v>Amber</v>
      </c>
      <c r="O76" s="18" t="s">
        <v>575</v>
      </c>
      <c r="P76" s="18" t="s">
        <v>233</v>
      </c>
      <c r="Q76" s="18" t="s">
        <v>48</v>
      </c>
      <c r="R76" s="12" t="s">
        <v>49</v>
      </c>
      <c r="S76" s="12"/>
      <c r="T76" s="13"/>
      <c r="U76" s="12" t="s">
        <v>234</v>
      </c>
    </row>
    <row r="77" spans="1:21" ht="42" customHeight="1">
      <c r="A77" s="3" t="s">
        <v>247</v>
      </c>
      <c r="B77" s="3" t="s">
        <v>226</v>
      </c>
      <c r="C77" s="3" t="s">
        <v>227</v>
      </c>
      <c r="D77" s="11" t="s">
        <v>248</v>
      </c>
      <c r="E77" s="3" t="s">
        <v>229</v>
      </c>
      <c r="F77" s="16" t="s">
        <v>230</v>
      </c>
      <c r="G77" s="16" t="s">
        <v>231</v>
      </c>
      <c r="H77" s="3" t="s">
        <v>232</v>
      </c>
      <c r="I77" s="3" t="s">
        <v>107</v>
      </c>
      <c r="J77" s="4">
        <v>46201</v>
      </c>
      <c r="K77" s="4">
        <v>46208</v>
      </c>
      <c r="L77" s="4"/>
      <c r="M77" s="3" t="s">
        <v>46</v>
      </c>
      <c r="N77" s="3" t="str">
        <f t="shared" ca="1" si="2"/>
        <v>Amber</v>
      </c>
      <c r="O77" s="16" t="s">
        <v>575</v>
      </c>
      <c r="P77" s="16" t="s">
        <v>233</v>
      </c>
      <c r="Q77" s="16" t="s">
        <v>48</v>
      </c>
      <c r="R77" s="3" t="s">
        <v>49</v>
      </c>
      <c r="S77" s="3"/>
      <c r="T77" s="4"/>
      <c r="U77" s="3" t="s">
        <v>234</v>
      </c>
    </row>
    <row r="78" spans="1:21" ht="42" customHeight="1">
      <c r="A78" s="3" t="s">
        <v>249</v>
      </c>
      <c r="B78" s="3" t="s">
        <v>226</v>
      </c>
      <c r="C78" s="3" t="s">
        <v>227</v>
      </c>
      <c r="D78" s="11" t="s">
        <v>250</v>
      </c>
      <c r="E78" s="3" t="s">
        <v>229</v>
      </c>
      <c r="F78" s="16" t="s">
        <v>230</v>
      </c>
      <c r="G78" s="16" t="s">
        <v>231</v>
      </c>
      <c r="H78" s="3" t="s">
        <v>232</v>
      </c>
      <c r="I78" s="3" t="s">
        <v>107</v>
      </c>
      <c r="J78" s="4">
        <v>46201</v>
      </c>
      <c r="K78" s="4">
        <v>46208</v>
      </c>
      <c r="L78" s="4"/>
      <c r="M78" s="3" t="s">
        <v>46</v>
      </c>
      <c r="N78" s="3" t="str">
        <f t="shared" ca="1" si="2"/>
        <v>Amber</v>
      </c>
      <c r="O78" s="16" t="s">
        <v>575</v>
      </c>
      <c r="P78" s="16" t="s">
        <v>233</v>
      </c>
      <c r="Q78" s="16" t="s">
        <v>48</v>
      </c>
      <c r="R78" s="3" t="s">
        <v>49</v>
      </c>
      <c r="S78" s="3"/>
      <c r="T78" s="4"/>
      <c r="U78" s="3" t="s">
        <v>234</v>
      </c>
    </row>
    <row r="79" spans="1:21" ht="42" customHeight="1">
      <c r="A79" s="3" t="s">
        <v>251</v>
      </c>
      <c r="B79" s="3" t="s">
        <v>226</v>
      </c>
      <c r="C79" s="3" t="s">
        <v>227</v>
      </c>
      <c r="D79" s="3" t="s">
        <v>252</v>
      </c>
      <c r="E79" s="3" t="s">
        <v>229</v>
      </c>
      <c r="F79" s="16" t="s">
        <v>230</v>
      </c>
      <c r="G79" s="16" t="s">
        <v>231</v>
      </c>
      <c r="H79" s="3" t="s">
        <v>232</v>
      </c>
      <c r="I79" s="3" t="s">
        <v>107</v>
      </c>
      <c r="J79" s="4">
        <v>46201</v>
      </c>
      <c r="K79" s="4">
        <v>46208</v>
      </c>
      <c r="L79" s="4"/>
      <c r="M79" s="3" t="s">
        <v>46</v>
      </c>
      <c r="N79" s="3" t="str">
        <f t="shared" ca="1" si="2"/>
        <v>Amber</v>
      </c>
      <c r="O79" s="16" t="s">
        <v>575</v>
      </c>
      <c r="P79" s="16" t="s">
        <v>233</v>
      </c>
      <c r="Q79" s="16" t="s">
        <v>48</v>
      </c>
      <c r="R79" s="3" t="s">
        <v>49</v>
      </c>
      <c r="S79" s="3"/>
      <c r="T79" s="4"/>
      <c r="U79" s="3" t="s">
        <v>234</v>
      </c>
    </row>
    <row r="80" spans="1:21" ht="42" customHeight="1">
      <c r="A80" s="3" t="s">
        <v>253</v>
      </c>
      <c r="B80" s="3" t="s">
        <v>254</v>
      </c>
      <c r="C80" s="3" t="s">
        <v>130</v>
      </c>
      <c r="D80" s="3" t="s">
        <v>255</v>
      </c>
      <c r="E80" s="3" t="s">
        <v>256</v>
      </c>
      <c r="F80" s="16" t="s">
        <v>257</v>
      </c>
      <c r="G80" s="16" t="s">
        <v>258</v>
      </c>
      <c r="H80" s="3" t="s">
        <v>53</v>
      </c>
      <c r="I80" s="3" t="s">
        <v>107</v>
      </c>
      <c r="J80" s="4">
        <v>46201</v>
      </c>
      <c r="K80" s="4">
        <v>46208</v>
      </c>
      <c r="L80" s="4"/>
      <c r="M80" s="3" t="s">
        <v>46</v>
      </c>
      <c r="N80" s="3" t="str">
        <f t="shared" ca="1" si="2"/>
        <v>Amber</v>
      </c>
      <c r="O80" s="16" t="s">
        <v>582</v>
      </c>
      <c r="P80" s="16" t="s">
        <v>259</v>
      </c>
      <c r="Q80" s="16" t="s">
        <v>48</v>
      </c>
      <c r="R80" s="3" t="s">
        <v>49</v>
      </c>
      <c r="S80" s="3"/>
      <c r="T80" s="4"/>
      <c r="U80" s="3" t="s">
        <v>260</v>
      </c>
    </row>
    <row r="81" spans="1:21" ht="42" customHeight="1">
      <c r="A81" s="3" t="s">
        <v>261</v>
      </c>
      <c r="B81" s="3" t="s">
        <v>254</v>
      </c>
      <c r="C81" s="3" t="s">
        <v>130</v>
      </c>
      <c r="D81" s="3" t="s">
        <v>262</v>
      </c>
      <c r="E81" s="3" t="s">
        <v>256</v>
      </c>
      <c r="F81" s="16" t="s">
        <v>257</v>
      </c>
      <c r="G81" s="16" t="s">
        <v>258</v>
      </c>
      <c r="H81" s="3" t="s">
        <v>53</v>
      </c>
      <c r="I81" s="3" t="s">
        <v>107</v>
      </c>
      <c r="J81" s="4">
        <v>46201</v>
      </c>
      <c r="K81" s="4">
        <v>46208</v>
      </c>
      <c r="L81" s="4"/>
      <c r="M81" s="3" t="s">
        <v>46</v>
      </c>
      <c r="N81" s="3" t="str">
        <f t="shared" ca="1" si="2"/>
        <v>Amber</v>
      </c>
      <c r="O81" s="16" t="s">
        <v>582</v>
      </c>
      <c r="P81" s="16" t="s">
        <v>259</v>
      </c>
      <c r="Q81" s="16" t="s">
        <v>48</v>
      </c>
      <c r="R81" s="3" t="s">
        <v>49</v>
      </c>
      <c r="S81" s="3"/>
      <c r="T81" s="4"/>
      <c r="U81" s="3" t="s">
        <v>260</v>
      </c>
    </row>
    <row r="82" spans="1:21" ht="42" customHeight="1">
      <c r="A82" s="3" t="s">
        <v>263</v>
      </c>
      <c r="B82" s="3" t="s">
        <v>254</v>
      </c>
      <c r="C82" s="3" t="s">
        <v>130</v>
      </c>
      <c r="D82" s="3" t="s">
        <v>264</v>
      </c>
      <c r="E82" s="3" t="s">
        <v>256</v>
      </c>
      <c r="F82" s="16" t="s">
        <v>257</v>
      </c>
      <c r="G82" s="16" t="s">
        <v>258</v>
      </c>
      <c r="H82" s="3" t="s">
        <v>53</v>
      </c>
      <c r="I82" s="3" t="s">
        <v>107</v>
      </c>
      <c r="J82" s="4">
        <v>46201</v>
      </c>
      <c r="K82" s="4">
        <v>46208</v>
      </c>
      <c r="L82" s="4"/>
      <c r="M82" s="3" t="s">
        <v>46</v>
      </c>
      <c r="N82" s="3" t="str">
        <f t="shared" ca="1" si="2"/>
        <v>Amber</v>
      </c>
      <c r="O82" s="16" t="s">
        <v>583</v>
      </c>
      <c r="P82" s="16" t="s">
        <v>259</v>
      </c>
      <c r="Q82" s="16" t="s">
        <v>48</v>
      </c>
      <c r="R82" s="3" t="s">
        <v>49</v>
      </c>
      <c r="S82" s="3"/>
      <c r="T82" s="4"/>
      <c r="U82" s="3" t="s">
        <v>260</v>
      </c>
    </row>
    <row r="83" spans="1:21" ht="42" customHeight="1">
      <c r="A83" s="3" t="s">
        <v>265</v>
      </c>
      <c r="B83" s="3" t="s">
        <v>254</v>
      </c>
      <c r="C83" s="3" t="s">
        <v>130</v>
      </c>
      <c r="D83" s="11" t="s">
        <v>266</v>
      </c>
      <c r="E83" s="3" t="s">
        <v>256</v>
      </c>
      <c r="F83" s="16" t="s">
        <v>257</v>
      </c>
      <c r="G83" s="16" t="s">
        <v>258</v>
      </c>
      <c r="H83" s="3" t="s">
        <v>53</v>
      </c>
      <c r="I83" s="3" t="s">
        <v>107</v>
      </c>
      <c r="J83" s="4">
        <v>46201</v>
      </c>
      <c r="K83" s="4">
        <v>46208</v>
      </c>
      <c r="L83" s="4"/>
      <c r="M83" s="3" t="s">
        <v>46</v>
      </c>
      <c r="N83" s="3" t="str">
        <f t="shared" ca="1" si="2"/>
        <v>Amber</v>
      </c>
      <c r="O83" s="16" t="s">
        <v>575</v>
      </c>
      <c r="P83" s="16" t="s">
        <v>259</v>
      </c>
      <c r="Q83" s="16" t="s">
        <v>48</v>
      </c>
      <c r="R83" s="3" t="s">
        <v>49</v>
      </c>
      <c r="S83" s="3"/>
      <c r="T83" s="4"/>
      <c r="U83" s="3" t="s">
        <v>260</v>
      </c>
    </row>
    <row r="84" spans="1:21" ht="42" customHeight="1">
      <c r="A84" s="3" t="s">
        <v>267</v>
      </c>
      <c r="B84" s="3" t="s">
        <v>254</v>
      </c>
      <c r="C84" s="3" t="s">
        <v>130</v>
      </c>
      <c r="D84" s="11" t="s">
        <v>268</v>
      </c>
      <c r="E84" s="3" t="s">
        <v>256</v>
      </c>
      <c r="F84" s="16" t="s">
        <v>257</v>
      </c>
      <c r="G84" s="16" t="s">
        <v>258</v>
      </c>
      <c r="H84" s="3" t="s">
        <v>53</v>
      </c>
      <c r="I84" s="3" t="s">
        <v>107</v>
      </c>
      <c r="J84" s="4">
        <v>46201</v>
      </c>
      <c r="K84" s="4">
        <v>46208</v>
      </c>
      <c r="L84" s="4"/>
      <c r="M84" s="3" t="s">
        <v>46</v>
      </c>
      <c r="N84" s="3" t="str">
        <f t="shared" ca="1" si="2"/>
        <v>Amber</v>
      </c>
      <c r="O84" s="16" t="s">
        <v>575</v>
      </c>
      <c r="P84" s="16" t="s">
        <v>259</v>
      </c>
      <c r="Q84" s="16" t="s">
        <v>48</v>
      </c>
      <c r="R84" s="3" t="s">
        <v>49</v>
      </c>
      <c r="S84" s="3"/>
      <c r="T84" s="4"/>
      <c r="U84" s="3" t="s">
        <v>260</v>
      </c>
    </row>
    <row r="85" spans="1:21" ht="42" customHeight="1">
      <c r="A85" s="3" t="s">
        <v>269</v>
      </c>
      <c r="B85" s="3" t="s">
        <v>254</v>
      </c>
      <c r="C85" s="3" t="s">
        <v>130</v>
      </c>
      <c r="D85" s="3" t="s">
        <v>270</v>
      </c>
      <c r="E85" s="3" t="s">
        <v>256</v>
      </c>
      <c r="F85" s="16" t="s">
        <v>257</v>
      </c>
      <c r="G85" s="16" t="s">
        <v>258</v>
      </c>
      <c r="H85" s="3" t="s">
        <v>53</v>
      </c>
      <c r="I85" s="3" t="s">
        <v>107</v>
      </c>
      <c r="J85" s="4">
        <v>46201</v>
      </c>
      <c r="K85" s="4">
        <v>46208</v>
      </c>
      <c r="L85" s="4"/>
      <c r="M85" s="3" t="s">
        <v>46</v>
      </c>
      <c r="N85" s="3" t="str">
        <f t="shared" ca="1" si="2"/>
        <v>Amber</v>
      </c>
      <c r="O85" s="16" t="s">
        <v>584</v>
      </c>
      <c r="P85" s="16" t="s">
        <v>259</v>
      </c>
      <c r="Q85" s="16" t="s">
        <v>48</v>
      </c>
      <c r="R85" s="3" t="s">
        <v>49</v>
      </c>
      <c r="S85" s="3"/>
      <c r="T85" s="4"/>
      <c r="U85" s="3" t="s">
        <v>260</v>
      </c>
    </row>
    <row r="86" spans="1:21" ht="42" customHeight="1">
      <c r="A86" s="3" t="s">
        <v>271</v>
      </c>
      <c r="B86" s="3" t="s">
        <v>254</v>
      </c>
      <c r="C86" s="3" t="s">
        <v>130</v>
      </c>
      <c r="D86" s="3" t="s">
        <v>272</v>
      </c>
      <c r="E86" s="3" t="s">
        <v>256</v>
      </c>
      <c r="F86" s="16" t="s">
        <v>257</v>
      </c>
      <c r="G86" s="16" t="s">
        <v>258</v>
      </c>
      <c r="H86" s="3" t="s">
        <v>53</v>
      </c>
      <c r="I86" s="3" t="s">
        <v>107</v>
      </c>
      <c r="J86" s="4">
        <v>46201</v>
      </c>
      <c r="K86" s="4">
        <v>46208</v>
      </c>
      <c r="L86" s="4"/>
      <c r="M86" s="3" t="s">
        <v>46</v>
      </c>
      <c r="N86" s="3" t="str">
        <f t="shared" ca="1" si="2"/>
        <v>Amber</v>
      </c>
      <c r="O86" s="16" t="s">
        <v>584</v>
      </c>
      <c r="P86" s="16" t="s">
        <v>259</v>
      </c>
      <c r="Q86" s="16" t="s">
        <v>48</v>
      </c>
      <c r="R86" s="3" t="s">
        <v>49</v>
      </c>
      <c r="S86" s="3"/>
      <c r="T86" s="4"/>
      <c r="U86" s="3" t="s">
        <v>260</v>
      </c>
    </row>
    <row r="87" spans="1:21" ht="42" customHeight="1">
      <c r="A87" s="3" t="s">
        <v>273</v>
      </c>
      <c r="B87" s="3" t="s">
        <v>254</v>
      </c>
      <c r="C87" s="3" t="s">
        <v>130</v>
      </c>
      <c r="D87" s="3" t="s">
        <v>274</v>
      </c>
      <c r="E87" s="3" t="s">
        <v>256</v>
      </c>
      <c r="F87" s="16" t="s">
        <v>257</v>
      </c>
      <c r="G87" s="16" t="s">
        <v>258</v>
      </c>
      <c r="H87" s="3" t="s">
        <v>53</v>
      </c>
      <c r="I87" s="3" t="s">
        <v>107</v>
      </c>
      <c r="J87" s="4">
        <v>46201</v>
      </c>
      <c r="K87" s="4">
        <v>46208</v>
      </c>
      <c r="L87" s="4"/>
      <c r="M87" s="3" t="s">
        <v>46</v>
      </c>
      <c r="N87" s="3" t="str">
        <f t="shared" ca="1" si="2"/>
        <v>Amber</v>
      </c>
      <c r="O87" s="16" t="s">
        <v>570</v>
      </c>
      <c r="P87" s="16" t="s">
        <v>259</v>
      </c>
      <c r="Q87" s="16" t="s">
        <v>48</v>
      </c>
      <c r="R87" s="3" t="s">
        <v>49</v>
      </c>
      <c r="S87" s="3"/>
      <c r="T87" s="4"/>
      <c r="U87" s="3" t="s">
        <v>260</v>
      </c>
    </row>
    <row r="88" spans="1:21" ht="42" customHeight="1">
      <c r="A88" s="3" t="s">
        <v>275</v>
      </c>
      <c r="B88" s="3" t="s">
        <v>254</v>
      </c>
      <c r="C88" s="3" t="s">
        <v>130</v>
      </c>
      <c r="D88" s="11" t="s">
        <v>276</v>
      </c>
      <c r="E88" s="3" t="s">
        <v>256</v>
      </c>
      <c r="F88" s="16" t="s">
        <v>257</v>
      </c>
      <c r="G88" s="16" t="s">
        <v>258</v>
      </c>
      <c r="H88" s="3" t="s">
        <v>53</v>
      </c>
      <c r="I88" s="3" t="s">
        <v>107</v>
      </c>
      <c r="J88" s="4">
        <v>46201</v>
      </c>
      <c r="K88" s="4">
        <v>46208</v>
      </c>
      <c r="L88" s="4"/>
      <c r="M88" s="3" t="s">
        <v>46</v>
      </c>
      <c r="N88" s="3" t="str">
        <f t="shared" ca="1" si="2"/>
        <v>Amber</v>
      </c>
      <c r="O88" s="16" t="s">
        <v>575</v>
      </c>
      <c r="P88" s="16" t="s">
        <v>259</v>
      </c>
      <c r="Q88" s="16" t="s">
        <v>48</v>
      </c>
      <c r="R88" s="3" t="s">
        <v>49</v>
      </c>
      <c r="S88" s="3"/>
      <c r="T88" s="4"/>
      <c r="U88" s="3" t="s">
        <v>260</v>
      </c>
    </row>
    <row r="89" spans="1:21" ht="42" customHeight="1">
      <c r="A89" s="3" t="s">
        <v>277</v>
      </c>
      <c r="B89" s="3" t="s">
        <v>254</v>
      </c>
      <c r="C89" s="3" t="s">
        <v>130</v>
      </c>
      <c r="D89" s="11" t="s">
        <v>278</v>
      </c>
      <c r="E89" s="3" t="s">
        <v>256</v>
      </c>
      <c r="F89" s="16" t="s">
        <v>257</v>
      </c>
      <c r="G89" s="16" t="s">
        <v>258</v>
      </c>
      <c r="H89" s="3" t="s">
        <v>53</v>
      </c>
      <c r="I89" s="3" t="s">
        <v>107</v>
      </c>
      <c r="J89" s="4">
        <v>46201</v>
      </c>
      <c r="K89" s="4">
        <v>46208</v>
      </c>
      <c r="L89" s="4"/>
      <c r="M89" s="3" t="s">
        <v>46</v>
      </c>
      <c r="N89" s="3" t="str">
        <f t="shared" ca="1" si="2"/>
        <v>Amber</v>
      </c>
      <c r="O89" s="16" t="s">
        <v>575</v>
      </c>
      <c r="P89" s="16" t="s">
        <v>259</v>
      </c>
      <c r="Q89" s="16" t="s">
        <v>48</v>
      </c>
      <c r="R89" s="3" t="s">
        <v>49</v>
      </c>
      <c r="S89" s="3"/>
      <c r="T89" s="4"/>
      <c r="U89" s="3" t="s">
        <v>260</v>
      </c>
    </row>
    <row r="90" spans="1:21" ht="42" customHeight="1">
      <c r="A90" s="3" t="s">
        <v>279</v>
      </c>
      <c r="B90" s="3" t="s">
        <v>280</v>
      </c>
      <c r="C90" s="3" t="s">
        <v>227</v>
      </c>
      <c r="D90" s="3" t="s">
        <v>281</v>
      </c>
      <c r="E90" s="3" t="s">
        <v>282</v>
      </c>
      <c r="F90" s="16" t="s">
        <v>283</v>
      </c>
      <c r="G90" s="16" t="s">
        <v>284</v>
      </c>
      <c r="H90" s="3" t="s">
        <v>285</v>
      </c>
      <c r="I90" s="3" t="s">
        <v>45</v>
      </c>
      <c r="J90" s="4">
        <v>46201</v>
      </c>
      <c r="K90" s="4">
        <v>46215</v>
      </c>
      <c r="L90" s="4"/>
      <c r="M90" s="3" t="s">
        <v>46</v>
      </c>
      <c r="N90" s="3" t="str">
        <f t="shared" ca="1" si="2"/>
        <v>Amber</v>
      </c>
      <c r="O90" s="16" t="s">
        <v>575</v>
      </c>
      <c r="P90" s="16" t="s">
        <v>286</v>
      </c>
      <c r="Q90" s="16" t="s">
        <v>48</v>
      </c>
      <c r="R90" s="3" t="s">
        <v>49</v>
      </c>
      <c r="S90" s="3"/>
      <c r="T90" s="4"/>
      <c r="U90" s="3" t="s">
        <v>287</v>
      </c>
    </row>
    <row r="91" spans="1:21" ht="42" customHeight="1">
      <c r="A91" s="3" t="s">
        <v>288</v>
      </c>
      <c r="B91" s="3" t="s">
        <v>280</v>
      </c>
      <c r="C91" s="3" t="s">
        <v>227</v>
      </c>
      <c r="D91" s="3" t="s">
        <v>289</v>
      </c>
      <c r="E91" s="3" t="s">
        <v>282</v>
      </c>
      <c r="F91" s="16" t="s">
        <v>283</v>
      </c>
      <c r="G91" s="16" t="s">
        <v>284</v>
      </c>
      <c r="H91" s="3" t="s">
        <v>285</v>
      </c>
      <c r="I91" s="3" t="s">
        <v>45</v>
      </c>
      <c r="J91" s="4">
        <v>46201</v>
      </c>
      <c r="K91" s="4">
        <v>46215</v>
      </c>
      <c r="L91" s="4"/>
      <c r="M91" s="3" t="s">
        <v>46</v>
      </c>
      <c r="N91" s="3" t="str">
        <f t="shared" ca="1" si="2"/>
        <v>Amber</v>
      </c>
      <c r="O91" s="16" t="s">
        <v>575</v>
      </c>
      <c r="P91" s="16" t="s">
        <v>286</v>
      </c>
      <c r="Q91" s="16" t="s">
        <v>48</v>
      </c>
      <c r="R91" s="3" t="s">
        <v>49</v>
      </c>
      <c r="S91" s="3"/>
      <c r="T91" s="4"/>
      <c r="U91" s="3" t="s">
        <v>287</v>
      </c>
    </row>
    <row r="92" spans="1:21" ht="42" customHeight="1">
      <c r="A92" s="3" t="s">
        <v>290</v>
      </c>
      <c r="B92" s="3" t="s">
        <v>280</v>
      </c>
      <c r="C92" s="3" t="s">
        <v>227</v>
      </c>
      <c r="D92" s="3" t="s">
        <v>291</v>
      </c>
      <c r="E92" s="3" t="s">
        <v>282</v>
      </c>
      <c r="F92" s="16" t="s">
        <v>283</v>
      </c>
      <c r="G92" s="16" t="s">
        <v>284</v>
      </c>
      <c r="H92" s="3" t="s">
        <v>285</v>
      </c>
      <c r="I92" s="3" t="s">
        <v>45</v>
      </c>
      <c r="J92" s="4">
        <v>46201</v>
      </c>
      <c r="K92" s="4">
        <v>46215</v>
      </c>
      <c r="L92" s="4"/>
      <c r="M92" s="3" t="s">
        <v>46</v>
      </c>
      <c r="N92" s="3" t="str">
        <f t="shared" ca="1" si="2"/>
        <v>Amber</v>
      </c>
      <c r="O92" s="16" t="s">
        <v>575</v>
      </c>
      <c r="P92" s="16" t="s">
        <v>286</v>
      </c>
      <c r="Q92" s="16" t="s">
        <v>48</v>
      </c>
      <c r="R92" s="3" t="s">
        <v>49</v>
      </c>
      <c r="S92" s="3"/>
      <c r="T92" s="4"/>
      <c r="U92" s="3" t="s">
        <v>287</v>
      </c>
    </row>
    <row r="93" spans="1:21" ht="42" customHeight="1">
      <c r="A93" s="3" t="s">
        <v>292</v>
      </c>
      <c r="B93" s="3" t="s">
        <v>280</v>
      </c>
      <c r="C93" s="3" t="s">
        <v>227</v>
      </c>
      <c r="D93" s="3" t="s">
        <v>293</v>
      </c>
      <c r="E93" s="3" t="s">
        <v>282</v>
      </c>
      <c r="F93" s="16" t="s">
        <v>283</v>
      </c>
      <c r="G93" s="16" t="s">
        <v>284</v>
      </c>
      <c r="H93" s="3" t="s">
        <v>285</v>
      </c>
      <c r="I93" s="3" t="s">
        <v>45</v>
      </c>
      <c r="J93" s="4">
        <v>46201</v>
      </c>
      <c r="K93" s="4">
        <v>46215</v>
      </c>
      <c r="L93" s="4"/>
      <c r="M93" s="3" t="s">
        <v>46</v>
      </c>
      <c r="N93" s="3" t="str">
        <f t="shared" ca="1" si="2"/>
        <v>Amber</v>
      </c>
      <c r="O93" s="16" t="s">
        <v>575</v>
      </c>
      <c r="P93" s="16" t="s">
        <v>286</v>
      </c>
      <c r="Q93" s="16" t="s">
        <v>48</v>
      </c>
      <c r="R93" s="3" t="s">
        <v>49</v>
      </c>
      <c r="S93" s="3"/>
      <c r="T93" s="4"/>
      <c r="U93" s="3" t="s">
        <v>287</v>
      </c>
    </row>
    <row r="94" spans="1:21" ht="42" customHeight="1">
      <c r="A94" s="3" t="s">
        <v>294</v>
      </c>
      <c r="B94" s="3" t="s">
        <v>280</v>
      </c>
      <c r="C94" s="3" t="s">
        <v>227</v>
      </c>
      <c r="D94" s="3" t="s">
        <v>295</v>
      </c>
      <c r="E94" s="3" t="s">
        <v>282</v>
      </c>
      <c r="F94" s="16" t="s">
        <v>283</v>
      </c>
      <c r="G94" s="16" t="s">
        <v>284</v>
      </c>
      <c r="H94" s="3" t="s">
        <v>285</v>
      </c>
      <c r="I94" s="3" t="s">
        <v>45</v>
      </c>
      <c r="J94" s="4">
        <v>46201</v>
      </c>
      <c r="K94" s="4">
        <v>46215</v>
      </c>
      <c r="L94" s="4"/>
      <c r="M94" s="3" t="s">
        <v>46</v>
      </c>
      <c r="N94" s="3" t="str">
        <f t="shared" ca="1" si="2"/>
        <v>Amber</v>
      </c>
      <c r="O94" s="16" t="s">
        <v>575</v>
      </c>
      <c r="P94" s="16" t="s">
        <v>286</v>
      </c>
      <c r="Q94" s="16" t="s">
        <v>48</v>
      </c>
      <c r="R94" s="3" t="s">
        <v>49</v>
      </c>
      <c r="S94" s="3"/>
      <c r="T94" s="4"/>
      <c r="U94" s="3" t="s">
        <v>287</v>
      </c>
    </row>
    <row r="95" spans="1:21" ht="42" customHeight="1">
      <c r="A95" s="3" t="s">
        <v>296</v>
      </c>
      <c r="B95" s="3" t="s">
        <v>280</v>
      </c>
      <c r="C95" s="3" t="s">
        <v>227</v>
      </c>
      <c r="D95" s="3" t="s">
        <v>297</v>
      </c>
      <c r="E95" s="3" t="s">
        <v>282</v>
      </c>
      <c r="F95" s="16" t="s">
        <v>283</v>
      </c>
      <c r="G95" s="16" t="s">
        <v>284</v>
      </c>
      <c r="H95" s="3" t="s">
        <v>285</v>
      </c>
      <c r="I95" s="3" t="s">
        <v>45</v>
      </c>
      <c r="J95" s="4">
        <v>46201</v>
      </c>
      <c r="K95" s="4">
        <v>46215</v>
      </c>
      <c r="L95" s="4"/>
      <c r="M95" s="3" t="s">
        <v>46</v>
      </c>
      <c r="N95" s="3" t="str">
        <f t="shared" ca="1" si="2"/>
        <v>Amber</v>
      </c>
      <c r="O95" s="16" t="s">
        <v>575</v>
      </c>
      <c r="P95" s="16" t="s">
        <v>286</v>
      </c>
      <c r="Q95" s="16" t="s">
        <v>48</v>
      </c>
      <c r="R95" s="3" t="s">
        <v>49</v>
      </c>
      <c r="S95" s="3"/>
      <c r="T95" s="4"/>
      <c r="U95" s="3" t="s">
        <v>287</v>
      </c>
    </row>
    <row r="96" spans="1:21" ht="42" customHeight="1">
      <c r="A96" s="3" t="s">
        <v>298</v>
      </c>
      <c r="B96" s="3" t="s">
        <v>280</v>
      </c>
      <c r="C96" s="3" t="s">
        <v>227</v>
      </c>
      <c r="D96" s="3" t="s">
        <v>299</v>
      </c>
      <c r="E96" s="3" t="s">
        <v>282</v>
      </c>
      <c r="F96" s="16" t="s">
        <v>283</v>
      </c>
      <c r="G96" s="16" t="s">
        <v>284</v>
      </c>
      <c r="H96" s="3" t="s">
        <v>285</v>
      </c>
      <c r="I96" s="3" t="s">
        <v>45</v>
      </c>
      <c r="J96" s="4">
        <v>46201</v>
      </c>
      <c r="K96" s="4">
        <v>46215</v>
      </c>
      <c r="L96" s="4"/>
      <c r="M96" s="3" t="s">
        <v>46</v>
      </c>
      <c r="N96" s="3" t="str">
        <f t="shared" ca="1" si="2"/>
        <v>Amber</v>
      </c>
      <c r="O96" s="16" t="s">
        <v>575</v>
      </c>
      <c r="P96" s="16" t="s">
        <v>286</v>
      </c>
      <c r="Q96" s="16" t="s">
        <v>48</v>
      </c>
      <c r="R96" s="3" t="s">
        <v>49</v>
      </c>
      <c r="S96" s="3"/>
      <c r="T96" s="4"/>
      <c r="U96" s="3" t="s">
        <v>287</v>
      </c>
    </row>
    <row r="97" spans="1:21" ht="42" customHeight="1">
      <c r="A97" s="3" t="s">
        <v>300</v>
      </c>
      <c r="B97" s="3" t="s">
        <v>280</v>
      </c>
      <c r="C97" s="3" t="s">
        <v>227</v>
      </c>
      <c r="D97" s="3" t="s">
        <v>301</v>
      </c>
      <c r="E97" s="3" t="s">
        <v>282</v>
      </c>
      <c r="F97" s="16" t="s">
        <v>283</v>
      </c>
      <c r="G97" s="16" t="s">
        <v>284</v>
      </c>
      <c r="H97" s="3" t="s">
        <v>285</v>
      </c>
      <c r="I97" s="3" t="s">
        <v>45</v>
      </c>
      <c r="J97" s="4">
        <v>46201</v>
      </c>
      <c r="K97" s="4">
        <v>46215</v>
      </c>
      <c r="L97" s="4"/>
      <c r="M97" s="3" t="s">
        <v>46</v>
      </c>
      <c r="N97" s="3" t="str">
        <f t="shared" ca="1" si="2"/>
        <v>Amber</v>
      </c>
      <c r="O97" s="16" t="s">
        <v>575</v>
      </c>
      <c r="P97" s="16" t="s">
        <v>286</v>
      </c>
      <c r="Q97" s="16" t="s">
        <v>48</v>
      </c>
      <c r="R97" s="3" t="s">
        <v>49</v>
      </c>
      <c r="S97" s="3"/>
      <c r="T97" s="4"/>
      <c r="U97" s="3" t="s">
        <v>287</v>
      </c>
    </row>
    <row r="98" spans="1:21" ht="55" customHeight="1">
      <c r="A98" s="26"/>
      <c r="B98" s="26"/>
      <c r="C98" s="26"/>
      <c r="D98" s="26"/>
      <c r="E98" s="26"/>
      <c r="F98" s="27"/>
      <c r="G98" s="27"/>
      <c r="H98" s="26"/>
      <c r="I98" s="26"/>
      <c r="J98" s="28"/>
      <c r="K98" s="28"/>
      <c r="L98" s="28"/>
      <c r="M98" s="3"/>
      <c r="N98" s="26"/>
      <c r="O98" s="27"/>
      <c r="P98" s="27"/>
      <c r="Q98" s="27"/>
      <c r="R98" s="26"/>
      <c r="S98" s="26"/>
      <c r="T98" s="28"/>
      <c r="U98" s="26"/>
    </row>
    <row r="99" spans="1:21" ht="55" customHeight="1">
      <c r="A99" s="26"/>
      <c r="B99" s="26"/>
      <c r="C99" s="26"/>
      <c r="D99" s="26"/>
      <c r="E99" s="26"/>
      <c r="F99" s="27"/>
      <c r="G99" s="27"/>
      <c r="H99" s="26"/>
      <c r="I99" s="26"/>
      <c r="J99" s="28"/>
      <c r="K99" s="28"/>
      <c r="L99" s="28"/>
      <c r="M99" s="3"/>
      <c r="N99" s="26"/>
      <c r="O99" s="27"/>
      <c r="P99" s="27"/>
      <c r="Q99" s="27"/>
      <c r="R99" s="26"/>
      <c r="S99" s="26"/>
      <c r="T99" s="28"/>
      <c r="U99" s="26"/>
    </row>
    <row r="100" spans="1:21" ht="55" customHeight="1">
      <c r="A100" s="26"/>
      <c r="B100" s="26"/>
      <c r="C100" s="26"/>
      <c r="D100" s="26"/>
      <c r="E100" s="26"/>
      <c r="F100" s="27"/>
      <c r="G100" s="27"/>
      <c r="H100" s="26"/>
      <c r="I100" s="26"/>
      <c r="J100" s="28"/>
      <c r="K100" s="28"/>
      <c r="L100" s="28"/>
      <c r="M100" s="3"/>
      <c r="N100" s="26"/>
      <c r="O100" s="27"/>
      <c r="P100" s="27"/>
      <c r="Q100" s="27"/>
      <c r="R100" s="26"/>
      <c r="S100" s="26"/>
      <c r="T100" s="28"/>
      <c r="U100" s="26"/>
    </row>
    <row r="101" spans="1:21" ht="55" customHeight="1">
      <c r="A101" s="26"/>
      <c r="B101" s="26"/>
      <c r="C101" s="26"/>
      <c r="D101" s="26"/>
      <c r="E101" s="26"/>
      <c r="F101" s="27"/>
      <c r="G101" s="27"/>
      <c r="H101" s="26"/>
      <c r="I101" s="26"/>
      <c r="J101" s="28"/>
      <c r="K101" s="28"/>
      <c r="L101" s="28"/>
      <c r="M101" s="3"/>
      <c r="N101" s="26"/>
      <c r="O101" s="27"/>
      <c r="P101" s="27"/>
      <c r="Q101" s="27"/>
      <c r="R101" s="26"/>
      <c r="S101" s="26"/>
      <c r="T101" s="28"/>
      <c r="U101" s="26"/>
    </row>
    <row r="102" spans="1:21" ht="55" customHeight="1">
      <c r="A102" s="26"/>
      <c r="B102" s="26"/>
      <c r="C102" s="26"/>
      <c r="D102" s="26"/>
      <c r="E102" s="26"/>
      <c r="F102" s="27"/>
      <c r="G102" s="27"/>
      <c r="H102" s="26"/>
      <c r="I102" s="26"/>
      <c r="J102" s="28"/>
      <c r="K102" s="28"/>
      <c r="L102" s="28"/>
      <c r="M102" s="3"/>
      <c r="N102" s="26"/>
      <c r="O102" s="27"/>
      <c r="P102" s="27"/>
      <c r="Q102" s="27"/>
      <c r="R102" s="26"/>
      <c r="S102" s="26"/>
      <c r="T102" s="28"/>
      <c r="U102" s="26"/>
    </row>
    <row r="103" spans="1:21" ht="55" customHeight="1">
      <c r="A103" s="26"/>
      <c r="B103" s="26"/>
      <c r="C103" s="26"/>
      <c r="D103" s="26"/>
      <c r="E103" s="26"/>
      <c r="F103" s="27"/>
      <c r="G103" s="27"/>
      <c r="H103" s="26"/>
      <c r="I103" s="26"/>
      <c r="J103" s="28"/>
      <c r="K103" s="28"/>
      <c r="L103" s="28"/>
      <c r="M103" s="3"/>
      <c r="N103" s="26"/>
      <c r="O103" s="27"/>
      <c r="P103" s="27"/>
      <c r="Q103" s="27"/>
      <c r="R103" s="26"/>
      <c r="S103" s="26"/>
      <c r="T103" s="28"/>
      <c r="U103" s="26"/>
    </row>
    <row r="104" spans="1:21" ht="55" customHeight="1">
      <c r="A104" s="26"/>
      <c r="B104" s="26"/>
      <c r="C104" s="26"/>
      <c r="D104" s="26"/>
      <c r="E104" s="26"/>
      <c r="F104" s="27"/>
      <c r="G104" s="27"/>
      <c r="H104" s="26"/>
      <c r="I104" s="26"/>
      <c r="J104" s="28"/>
      <c r="K104" s="28"/>
      <c r="L104" s="28"/>
      <c r="M104" s="3"/>
      <c r="N104" s="26"/>
      <c r="O104" s="27"/>
      <c r="P104" s="27"/>
      <c r="Q104" s="27"/>
      <c r="R104" s="26"/>
      <c r="S104" s="26"/>
      <c r="T104" s="28"/>
      <c r="U104" s="26"/>
    </row>
    <row r="105" spans="1:21" ht="55" customHeight="1">
      <c r="A105" s="26"/>
      <c r="B105" s="26"/>
      <c r="C105" s="26"/>
      <c r="D105" s="26"/>
      <c r="E105" s="26"/>
      <c r="F105" s="27"/>
      <c r="G105" s="27"/>
      <c r="H105" s="26"/>
      <c r="I105" s="26"/>
      <c r="J105" s="28"/>
      <c r="K105" s="28"/>
      <c r="L105" s="28"/>
      <c r="M105" s="3"/>
      <c r="N105" s="26"/>
      <c r="O105" s="27"/>
      <c r="P105" s="27"/>
      <c r="Q105" s="27"/>
      <c r="R105" s="26"/>
      <c r="S105" s="26"/>
      <c r="T105" s="28"/>
      <c r="U105" s="26"/>
    </row>
    <row r="106" spans="1:21" ht="55" customHeight="1">
      <c r="A106" s="26"/>
      <c r="B106" s="26"/>
      <c r="C106" s="26"/>
      <c r="D106" s="26"/>
      <c r="E106" s="26"/>
      <c r="F106" s="27"/>
      <c r="G106" s="27"/>
      <c r="H106" s="26"/>
      <c r="I106" s="26"/>
      <c r="J106" s="28"/>
      <c r="K106" s="28"/>
      <c r="L106" s="28"/>
      <c r="M106" s="3"/>
      <c r="N106" s="26"/>
      <c r="O106" s="27"/>
      <c r="P106" s="27"/>
      <c r="Q106" s="27"/>
      <c r="R106" s="26"/>
      <c r="S106" s="26"/>
      <c r="T106" s="28"/>
      <c r="U106" s="26"/>
    </row>
    <row r="107" spans="1:21" ht="55" customHeight="1">
      <c r="A107" s="26"/>
      <c r="B107" s="26"/>
      <c r="C107" s="26"/>
      <c r="D107" s="26"/>
      <c r="E107" s="26"/>
      <c r="F107" s="27"/>
      <c r="G107" s="27"/>
      <c r="H107" s="26"/>
      <c r="I107" s="26"/>
      <c r="J107" s="28"/>
      <c r="K107" s="28"/>
      <c r="L107" s="28"/>
      <c r="M107" s="3"/>
      <c r="N107" s="26"/>
      <c r="O107" s="27"/>
      <c r="P107" s="27"/>
      <c r="Q107" s="27"/>
      <c r="R107" s="26"/>
      <c r="S107" s="26"/>
      <c r="T107" s="28"/>
      <c r="U107" s="26"/>
    </row>
    <row r="108" spans="1:21" ht="55" customHeight="1">
      <c r="A108" s="26"/>
      <c r="B108" s="26"/>
      <c r="C108" s="26"/>
      <c r="D108" s="26"/>
      <c r="E108" s="26"/>
      <c r="F108" s="27"/>
      <c r="G108" s="27"/>
      <c r="H108" s="26"/>
      <c r="I108" s="26"/>
      <c r="J108" s="28"/>
      <c r="K108" s="28"/>
      <c r="L108" s="28"/>
      <c r="M108" s="3"/>
      <c r="N108" s="26"/>
      <c r="O108" s="27"/>
      <c r="P108" s="27"/>
      <c r="Q108" s="27"/>
      <c r="R108" s="26"/>
      <c r="S108" s="26"/>
      <c r="T108" s="28"/>
      <c r="U108" s="26"/>
    </row>
    <row r="109" spans="1:21" ht="55" customHeight="1">
      <c r="A109" s="26"/>
      <c r="B109" s="26"/>
      <c r="C109" s="26"/>
      <c r="D109" s="26"/>
      <c r="E109" s="26"/>
      <c r="F109" s="27"/>
      <c r="G109" s="27"/>
      <c r="H109" s="26"/>
      <c r="I109" s="26"/>
      <c r="J109" s="28"/>
      <c r="K109" s="28"/>
      <c r="L109" s="28"/>
      <c r="M109" s="3"/>
      <c r="N109" s="26"/>
      <c r="O109" s="27"/>
      <c r="P109" s="27"/>
      <c r="Q109" s="27"/>
      <c r="R109" s="26"/>
      <c r="S109" s="26"/>
      <c r="T109" s="28"/>
      <c r="U109" s="26"/>
    </row>
    <row r="110" spans="1:21" ht="55" customHeight="1">
      <c r="A110" s="26"/>
      <c r="B110" s="26"/>
      <c r="C110" s="26"/>
      <c r="D110" s="26"/>
      <c r="E110" s="26"/>
      <c r="F110" s="27"/>
      <c r="G110" s="27"/>
      <c r="H110" s="26"/>
      <c r="I110" s="26"/>
      <c r="J110" s="28"/>
      <c r="K110" s="28"/>
      <c r="L110" s="28"/>
      <c r="M110" s="3"/>
      <c r="N110" s="26"/>
      <c r="O110" s="27"/>
      <c r="P110" s="27"/>
      <c r="Q110" s="27"/>
      <c r="R110" s="26"/>
      <c r="S110" s="26"/>
      <c r="T110" s="28"/>
      <c r="U110" s="26"/>
    </row>
    <row r="111" spans="1:21" ht="55" customHeight="1">
      <c r="A111" s="26"/>
      <c r="B111" s="26"/>
      <c r="C111" s="26"/>
      <c r="D111" s="26"/>
      <c r="E111" s="26"/>
      <c r="F111" s="27"/>
      <c r="G111" s="27"/>
      <c r="H111" s="26"/>
      <c r="I111" s="26"/>
      <c r="J111" s="28"/>
      <c r="K111" s="28"/>
      <c r="L111" s="28"/>
      <c r="M111" s="3"/>
      <c r="N111" s="26"/>
      <c r="O111" s="27"/>
      <c r="P111" s="27"/>
      <c r="Q111" s="27"/>
      <c r="R111" s="26"/>
      <c r="S111" s="26"/>
      <c r="T111" s="28"/>
      <c r="U111" s="26"/>
    </row>
    <row r="112" spans="1:21" ht="55" customHeight="1">
      <c r="A112" s="26"/>
      <c r="B112" s="26"/>
      <c r="C112" s="26"/>
      <c r="D112" s="26"/>
      <c r="E112" s="26"/>
      <c r="F112" s="27"/>
      <c r="G112" s="27"/>
      <c r="H112" s="26"/>
      <c r="I112" s="26"/>
      <c r="J112" s="28"/>
      <c r="K112" s="28"/>
      <c r="L112" s="28"/>
      <c r="M112" s="3"/>
      <c r="N112" s="26"/>
      <c r="O112" s="27"/>
      <c r="P112" s="27"/>
      <c r="Q112" s="27"/>
      <c r="R112" s="26"/>
      <c r="S112" s="26"/>
      <c r="T112" s="28"/>
      <c r="U112" s="26"/>
    </row>
    <row r="113" spans="1:21" ht="409.5">
      <c r="A113" s="15" t="s">
        <v>302</v>
      </c>
      <c r="B113" s="15" t="s">
        <v>226</v>
      </c>
      <c r="C113" s="15" t="s">
        <v>227</v>
      </c>
      <c r="D113" s="15" t="s">
        <v>303</v>
      </c>
      <c r="E113" s="15" t="s">
        <v>304</v>
      </c>
      <c r="F113" s="19" t="s">
        <v>305</v>
      </c>
      <c r="G113" s="19" t="s">
        <v>306</v>
      </c>
      <c r="H113" s="15" t="s">
        <v>232</v>
      </c>
      <c r="I113" s="15" t="s">
        <v>107</v>
      </c>
      <c r="J113" s="15">
        <v>46201</v>
      </c>
      <c r="K113" s="15">
        <v>46218</v>
      </c>
      <c r="L113" s="15"/>
      <c r="M113" s="15" t="s">
        <v>61</v>
      </c>
      <c r="N113" s="15" t="s">
        <v>307</v>
      </c>
      <c r="O113" s="19" t="s">
        <v>99</v>
      </c>
      <c r="P113" s="19" t="s">
        <v>308</v>
      </c>
      <c r="Q113" s="19" t="s">
        <v>48</v>
      </c>
      <c r="R113" s="15" t="s">
        <v>49</v>
      </c>
      <c r="S113" s="15"/>
      <c r="T113" s="15"/>
      <c r="U113" s="15" t="s">
        <v>309</v>
      </c>
    </row>
    <row r="114" spans="1:21" ht="409.5">
      <c r="A114" s="15" t="s">
        <v>310</v>
      </c>
      <c r="B114" s="15" t="s">
        <v>226</v>
      </c>
      <c r="C114" s="15" t="s">
        <v>227</v>
      </c>
      <c r="D114" s="15" t="s">
        <v>311</v>
      </c>
      <c r="E114" s="15" t="s">
        <v>312</v>
      </c>
      <c r="F114" s="19" t="s">
        <v>313</v>
      </c>
      <c r="G114" s="19" t="s">
        <v>314</v>
      </c>
      <c r="H114" s="15" t="s">
        <v>53</v>
      </c>
      <c r="I114" s="15" t="s">
        <v>45</v>
      </c>
      <c r="J114" s="15">
        <v>46201</v>
      </c>
      <c r="K114" s="15">
        <v>46218</v>
      </c>
      <c r="L114" s="15"/>
      <c r="M114" s="15" t="s">
        <v>61</v>
      </c>
      <c r="N114" s="15" t="s">
        <v>307</v>
      </c>
      <c r="O114" s="19" t="s">
        <v>585</v>
      </c>
      <c r="P114" s="19" t="s">
        <v>315</v>
      </c>
      <c r="Q114" s="19" t="s">
        <v>48</v>
      </c>
      <c r="R114" s="15" t="s">
        <v>49</v>
      </c>
      <c r="S114" s="15"/>
      <c r="T114" s="15"/>
      <c r="U114" s="15" t="s">
        <v>316</v>
      </c>
    </row>
    <row r="115" spans="1:21" ht="409.5">
      <c r="A115" s="15" t="s">
        <v>317</v>
      </c>
      <c r="B115" s="15" t="s">
        <v>226</v>
      </c>
      <c r="C115" s="15" t="s">
        <v>227</v>
      </c>
      <c r="D115" s="15" t="s">
        <v>318</v>
      </c>
      <c r="E115" s="15" t="s">
        <v>319</v>
      </c>
      <c r="F115" s="19" t="s">
        <v>320</v>
      </c>
      <c r="G115" s="19" t="s">
        <v>321</v>
      </c>
      <c r="H115" s="15" t="s">
        <v>322</v>
      </c>
      <c r="I115" s="15" t="s">
        <v>45</v>
      </c>
      <c r="J115" s="15">
        <v>46201</v>
      </c>
      <c r="K115" s="15">
        <v>46218</v>
      </c>
      <c r="L115" s="15"/>
      <c r="M115" s="15" t="s">
        <v>61</v>
      </c>
      <c r="N115" s="15" t="s">
        <v>307</v>
      </c>
      <c r="O115" s="19" t="s">
        <v>585</v>
      </c>
      <c r="P115" s="19" t="s">
        <v>323</v>
      </c>
      <c r="Q115" s="19" t="s">
        <v>48</v>
      </c>
      <c r="R115" s="15" t="s">
        <v>49</v>
      </c>
      <c r="S115" s="15"/>
      <c r="T115" s="15"/>
      <c r="U115" s="15" t="s">
        <v>324</v>
      </c>
    </row>
    <row r="116" spans="1:21" ht="409.5">
      <c r="A116" s="15" t="s">
        <v>325</v>
      </c>
      <c r="B116" s="15" t="s">
        <v>129</v>
      </c>
      <c r="C116" s="15" t="s">
        <v>130</v>
      </c>
      <c r="D116" s="15" t="s">
        <v>326</v>
      </c>
      <c r="E116" s="15" t="s">
        <v>327</v>
      </c>
      <c r="F116" s="19" t="s">
        <v>328</v>
      </c>
      <c r="G116" s="19" t="s">
        <v>329</v>
      </c>
      <c r="H116" s="15" t="s">
        <v>53</v>
      </c>
      <c r="I116" s="15" t="s">
        <v>107</v>
      </c>
      <c r="J116" s="15">
        <v>46201</v>
      </c>
      <c r="K116" s="15">
        <v>46218</v>
      </c>
      <c r="L116" s="15"/>
      <c r="M116" s="15" t="s">
        <v>61</v>
      </c>
      <c r="N116" s="15" t="s">
        <v>307</v>
      </c>
      <c r="O116" s="19" t="s">
        <v>586</v>
      </c>
      <c r="P116" s="19" t="s">
        <v>330</v>
      </c>
      <c r="Q116" s="19" t="s">
        <v>48</v>
      </c>
      <c r="R116" s="15" t="s">
        <v>49</v>
      </c>
      <c r="S116" s="15"/>
      <c r="T116" s="15"/>
      <c r="U116" s="15" t="s">
        <v>331</v>
      </c>
    </row>
    <row r="117" spans="1:21" ht="409.5">
      <c r="A117" s="15" t="s">
        <v>332</v>
      </c>
      <c r="B117" s="15" t="s">
        <v>226</v>
      </c>
      <c r="C117" s="15" t="s">
        <v>227</v>
      </c>
      <c r="D117" s="15" t="s">
        <v>333</v>
      </c>
      <c r="E117" s="15" t="s">
        <v>334</v>
      </c>
      <c r="F117" s="19" t="s">
        <v>335</v>
      </c>
      <c r="G117" s="19" t="s">
        <v>336</v>
      </c>
      <c r="H117" s="15" t="s">
        <v>337</v>
      </c>
      <c r="I117" s="15" t="s">
        <v>107</v>
      </c>
      <c r="J117" s="15">
        <v>46201</v>
      </c>
      <c r="K117" s="15">
        <v>46218</v>
      </c>
      <c r="L117" s="15"/>
      <c r="M117" s="15" t="s">
        <v>61</v>
      </c>
      <c r="N117" s="15" t="s">
        <v>307</v>
      </c>
      <c r="O117" s="19" t="s">
        <v>585</v>
      </c>
      <c r="P117" s="19" t="s">
        <v>338</v>
      </c>
      <c r="Q117" s="19" t="s">
        <v>48</v>
      </c>
      <c r="R117" s="15" t="s">
        <v>49</v>
      </c>
      <c r="S117" s="15"/>
      <c r="T117" s="15"/>
      <c r="U117" s="15" t="s">
        <v>339</v>
      </c>
    </row>
    <row r="118" spans="1:21" ht="409.5">
      <c r="A118" s="15" t="s">
        <v>340</v>
      </c>
      <c r="B118" s="15" t="s">
        <v>226</v>
      </c>
      <c r="C118" s="15" t="s">
        <v>227</v>
      </c>
      <c r="D118" s="15" t="s">
        <v>341</v>
      </c>
      <c r="E118" s="15" t="s">
        <v>342</v>
      </c>
      <c r="F118" s="19" t="s">
        <v>343</v>
      </c>
      <c r="G118" s="19" t="s">
        <v>344</v>
      </c>
      <c r="H118" s="15" t="s">
        <v>345</v>
      </c>
      <c r="I118" s="15" t="s">
        <v>107</v>
      </c>
      <c r="J118" s="15">
        <v>46201</v>
      </c>
      <c r="K118" s="15">
        <v>46218</v>
      </c>
      <c r="L118" s="15"/>
      <c r="M118" s="15" t="s">
        <v>61</v>
      </c>
      <c r="N118" s="15" t="s">
        <v>307</v>
      </c>
      <c r="O118" s="19" t="s">
        <v>585</v>
      </c>
      <c r="P118" s="19" t="s">
        <v>346</v>
      </c>
      <c r="Q118" s="19" t="s">
        <v>48</v>
      </c>
      <c r="R118" s="15" t="s">
        <v>49</v>
      </c>
      <c r="S118" s="15"/>
      <c r="T118" s="15"/>
      <c r="U118" s="15" t="s">
        <v>347</v>
      </c>
    </row>
    <row r="119" spans="1:21" ht="409.5">
      <c r="A119" s="15" t="s">
        <v>348</v>
      </c>
      <c r="B119" s="15" t="s">
        <v>226</v>
      </c>
      <c r="C119" s="15" t="s">
        <v>227</v>
      </c>
      <c r="D119" s="15" t="s">
        <v>349</v>
      </c>
      <c r="E119" s="15" t="s">
        <v>350</v>
      </c>
      <c r="F119" s="19" t="s">
        <v>351</v>
      </c>
      <c r="G119" s="19" t="s">
        <v>352</v>
      </c>
      <c r="H119" s="15" t="s">
        <v>232</v>
      </c>
      <c r="I119" s="15" t="s">
        <v>107</v>
      </c>
      <c r="J119" s="15">
        <v>46201</v>
      </c>
      <c r="K119" s="15">
        <v>46218</v>
      </c>
      <c r="L119" s="15"/>
      <c r="M119" s="15" t="s">
        <v>61</v>
      </c>
      <c r="N119" s="15" t="s">
        <v>307</v>
      </c>
      <c r="O119" s="19" t="s">
        <v>587</v>
      </c>
      <c r="P119" s="19" t="s">
        <v>353</v>
      </c>
      <c r="Q119" s="19" t="s">
        <v>48</v>
      </c>
      <c r="R119" s="15" t="s">
        <v>49</v>
      </c>
      <c r="S119" s="15"/>
      <c r="T119" s="15"/>
      <c r="U119" s="15" t="s">
        <v>354</v>
      </c>
    </row>
    <row r="120" spans="1:21" ht="409.5">
      <c r="A120" s="15" t="s">
        <v>355</v>
      </c>
      <c r="B120" s="15" t="s">
        <v>226</v>
      </c>
      <c r="C120" s="15" t="s">
        <v>227</v>
      </c>
      <c r="D120" s="15" t="s">
        <v>356</v>
      </c>
      <c r="E120" s="15" t="s">
        <v>357</v>
      </c>
      <c r="F120" s="19" t="s">
        <v>358</v>
      </c>
      <c r="G120" s="19" t="s">
        <v>359</v>
      </c>
      <c r="H120" s="15" t="s">
        <v>53</v>
      </c>
      <c r="I120" s="15" t="s">
        <v>107</v>
      </c>
      <c r="J120" s="15">
        <v>46201</v>
      </c>
      <c r="K120" s="15">
        <v>46218</v>
      </c>
      <c r="L120" s="15"/>
      <c r="M120" s="15" t="s">
        <v>61</v>
      </c>
      <c r="N120" s="15" t="s">
        <v>307</v>
      </c>
      <c r="O120" s="19" t="s">
        <v>588</v>
      </c>
      <c r="P120" s="19" t="s">
        <v>360</v>
      </c>
      <c r="Q120" s="19" t="s">
        <v>48</v>
      </c>
      <c r="R120" s="15" t="s">
        <v>49</v>
      </c>
      <c r="S120" s="15"/>
      <c r="T120" s="15"/>
      <c r="U120" s="15" t="s">
        <v>361</v>
      </c>
    </row>
    <row r="121" spans="1:21" ht="409.5">
      <c r="A121" s="15" t="s">
        <v>362</v>
      </c>
      <c r="B121" s="15" t="s">
        <v>180</v>
      </c>
      <c r="C121" s="15" t="s">
        <v>130</v>
      </c>
      <c r="D121" s="15" t="s">
        <v>363</v>
      </c>
      <c r="E121" s="15" t="s">
        <v>364</v>
      </c>
      <c r="F121" s="19" t="s">
        <v>365</v>
      </c>
      <c r="G121" s="19" t="s">
        <v>366</v>
      </c>
      <c r="H121" s="15" t="s">
        <v>53</v>
      </c>
      <c r="I121" s="15" t="s">
        <v>107</v>
      </c>
      <c r="J121" s="15">
        <v>46201</v>
      </c>
      <c r="K121" s="15">
        <v>46218</v>
      </c>
      <c r="L121" s="15"/>
      <c r="M121" s="15" t="s">
        <v>61</v>
      </c>
      <c r="N121" s="15" t="s">
        <v>307</v>
      </c>
      <c r="O121" s="19" t="s">
        <v>589</v>
      </c>
      <c r="P121" s="19" t="s">
        <v>367</v>
      </c>
      <c r="Q121" s="19" t="s">
        <v>48</v>
      </c>
      <c r="R121" s="15" t="s">
        <v>49</v>
      </c>
      <c r="S121" s="15"/>
      <c r="T121" s="15"/>
      <c r="U121" s="15" t="s">
        <v>368</v>
      </c>
    </row>
    <row r="122" spans="1:21" ht="409.5">
      <c r="A122" s="15" t="s">
        <v>369</v>
      </c>
      <c r="B122" s="15" t="s">
        <v>226</v>
      </c>
      <c r="C122" s="15" t="s">
        <v>227</v>
      </c>
      <c r="D122" s="15" t="s">
        <v>370</v>
      </c>
      <c r="E122" s="15" t="s">
        <v>371</v>
      </c>
      <c r="F122" s="19" t="s">
        <v>372</v>
      </c>
      <c r="G122" s="19" t="s">
        <v>373</v>
      </c>
      <c r="H122" s="15" t="s">
        <v>374</v>
      </c>
      <c r="I122" s="15" t="s">
        <v>45</v>
      </c>
      <c r="J122" s="15">
        <v>46201</v>
      </c>
      <c r="K122" s="15">
        <v>46218</v>
      </c>
      <c r="L122" s="15"/>
      <c r="M122" s="15" t="s">
        <v>61</v>
      </c>
      <c r="N122" s="15" t="s">
        <v>307</v>
      </c>
      <c r="O122" s="19" t="s">
        <v>590</v>
      </c>
      <c r="P122" s="19" t="s">
        <v>375</v>
      </c>
      <c r="Q122" s="19" t="s">
        <v>48</v>
      </c>
      <c r="R122" s="15" t="s">
        <v>49</v>
      </c>
      <c r="S122" s="15"/>
      <c r="T122" s="15"/>
      <c r="U122" s="15" t="s">
        <v>376</v>
      </c>
    </row>
    <row r="123" spans="1:21" ht="409.5">
      <c r="A123" s="15" t="s">
        <v>377</v>
      </c>
      <c r="B123" s="15" t="s">
        <v>226</v>
      </c>
      <c r="C123" s="15" t="s">
        <v>227</v>
      </c>
      <c r="D123" s="15" t="s">
        <v>378</v>
      </c>
      <c r="E123" s="15" t="s">
        <v>379</v>
      </c>
      <c r="F123" s="19" t="s">
        <v>380</v>
      </c>
      <c r="G123" s="19" t="s">
        <v>381</v>
      </c>
      <c r="H123" s="15" t="s">
        <v>345</v>
      </c>
      <c r="I123" s="15" t="s">
        <v>45</v>
      </c>
      <c r="J123" s="15">
        <v>46201</v>
      </c>
      <c r="K123" s="15">
        <v>46218</v>
      </c>
      <c r="L123" s="15"/>
      <c r="M123" s="15" t="s">
        <v>61</v>
      </c>
      <c r="N123" s="15" t="s">
        <v>307</v>
      </c>
      <c r="O123" s="19" t="s">
        <v>591</v>
      </c>
      <c r="P123" s="19" t="s">
        <v>382</v>
      </c>
      <c r="Q123" s="19" t="s">
        <v>48</v>
      </c>
      <c r="R123" s="15" t="s">
        <v>49</v>
      </c>
      <c r="S123" s="15"/>
      <c r="T123" s="15"/>
      <c r="U123" s="15" t="s">
        <v>361</v>
      </c>
    </row>
    <row r="124" spans="1:21" ht="409.5">
      <c r="A124" s="15" t="s">
        <v>383</v>
      </c>
      <c r="B124" s="15" t="s">
        <v>226</v>
      </c>
      <c r="C124" s="15" t="s">
        <v>227</v>
      </c>
      <c r="D124" s="15" t="s">
        <v>384</v>
      </c>
      <c r="E124" s="15" t="s">
        <v>385</v>
      </c>
      <c r="F124" s="19" t="s">
        <v>386</v>
      </c>
      <c r="G124" s="19" t="s">
        <v>387</v>
      </c>
      <c r="H124" s="15" t="s">
        <v>285</v>
      </c>
      <c r="I124" s="15" t="s">
        <v>45</v>
      </c>
      <c r="J124" s="15">
        <v>46201</v>
      </c>
      <c r="K124" s="15">
        <v>46218</v>
      </c>
      <c r="L124" s="15"/>
      <c r="M124" s="15" t="s">
        <v>61</v>
      </c>
      <c r="N124" s="15" t="s">
        <v>307</v>
      </c>
      <c r="O124" s="19" t="s">
        <v>592</v>
      </c>
      <c r="P124" s="19" t="s">
        <v>388</v>
      </c>
      <c r="Q124" s="19" t="s">
        <v>48</v>
      </c>
      <c r="R124" s="15" t="s">
        <v>49</v>
      </c>
      <c r="S124" s="15"/>
      <c r="T124" s="15"/>
      <c r="U124" s="15" t="s">
        <v>376</v>
      </c>
    </row>
    <row r="125" spans="1:21" ht="409.5">
      <c r="A125" s="15" t="s">
        <v>389</v>
      </c>
      <c r="B125" s="15" t="s">
        <v>226</v>
      </c>
      <c r="C125" s="15" t="s">
        <v>227</v>
      </c>
      <c r="D125" s="15" t="s">
        <v>390</v>
      </c>
      <c r="E125" s="15" t="s">
        <v>391</v>
      </c>
      <c r="F125" s="19" t="s">
        <v>392</v>
      </c>
      <c r="G125" s="19" t="s">
        <v>393</v>
      </c>
      <c r="H125" s="15" t="s">
        <v>394</v>
      </c>
      <c r="I125" s="15" t="s">
        <v>107</v>
      </c>
      <c r="J125" s="15">
        <v>46201</v>
      </c>
      <c r="K125" s="15">
        <v>46218</v>
      </c>
      <c r="L125" s="15"/>
      <c r="M125" s="15" t="s">
        <v>61</v>
      </c>
      <c r="N125" s="15" t="s">
        <v>307</v>
      </c>
      <c r="O125" s="19" t="s">
        <v>593</v>
      </c>
      <c r="P125" s="19" t="s">
        <v>395</v>
      </c>
      <c r="Q125" s="19" t="s">
        <v>48</v>
      </c>
      <c r="R125" s="15" t="s">
        <v>49</v>
      </c>
      <c r="S125" s="15"/>
      <c r="T125" s="15"/>
      <c r="U125" s="15" t="s">
        <v>396</v>
      </c>
    </row>
    <row r="126" spans="1:21" ht="409.5">
      <c r="A126" s="15" t="s">
        <v>397</v>
      </c>
      <c r="B126" s="15" t="s">
        <v>226</v>
      </c>
      <c r="C126" s="15" t="s">
        <v>227</v>
      </c>
      <c r="D126" s="15" t="s">
        <v>398</v>
      </c>
      <c r="E126" s="15" t="s">
        <v>399</v>
      </c>
      <c r="F126" s="19" t="s">
        <v>400</v>
      </c>
      <c r="G126" s="19" t="s">
        <v>401</v>
      </c>
      <c r="H126" s="15" t="s">
        <v>374</v>
      </c>
      <c r="I126" s="15" t="s">
        <v>107</v>
      </c>
      <c r="J126" s="15">
        <v>46201</v>
      </c>
      <c r="K126" s="15">
        <v>46218</v>
      </c>
      <c r="L126" s="15"/>
      <c r="M126" s="15" t="s">
        <v>61</v>
      </c>
      <c r="N126" s="15" t="s">
        <v>307</v>
      </c>
      <c r="O126" s="19" t="s">
        <v>594</v>
      </c>
      <c r="P126" s="19" t="s">
        <v>402</v>
      </c>
      <c r="Q126" s="19" t="s">
        <v>48</v>
      </c>
      <c r="R126" s="15" t="s">
        <v>49</v>
      </c>
      <c r="S126" s="15"/>
      <c r="T126" s="15"/>
      <c r="U126" s="15" t="s">
        <v>376</v>
      </c>
    </row>
    <row r="127" spans="1:21" ht="409.5">
      <c r="A127" s="15" t="s">
        <v>403</v>
      </c>
      <c r="B127" s="15" t="s">
        <v>226</v>
      </c>
      <c r="C127" s="15" t="s">
        <v>227</v>
      </c>
      <c r="D127" s="15" t="s">
        <v>404</v>
      </c>
      <c r="E127" s="15" t="s">
        <v>405</v>
      </c>
      <c r="F127" s="19" t="s">
        <v>406</v>
      </c>
      <c r="G127" s="19" t="s">
        <v>407</v>
      </c>
      <c r="H127" s="15" t="s">
        <v>232</v>
      </c>
      <c r="I127" s="15" t="s">
        <v>45</v>
      </c>
      <c r="J127" s="15">
        <v>46201</v>
      </c>
      <c r="K127" s="15">
        <v>46218</v>
      </c>
      <c r="L127" s="15"/>
      <c r="M127" s="15" t="s">
        <v>61</v>
      </c>
      <c r="N127" s="15" t="s">
        <v>307</v>
      </c>
      <c r="O127" s="19" t="s">
        <v>595</v>
      </c>
      <c r="P127" s="19" t="s">
        <v>408</v>
      </c>
      <c r="Q127" s="19" t="s">
        <v>48</v>
      </c>
      <c r="R127" s="15" t="s">
        <v>49</v>
      </c>
      <c r="S127" s="15"/>
      <c r="T127" s="15"/>
      <c r="U127" s="15" t="s">
        <v>331</v>
      </c>
    </row>
  </sheetData>
  <conditionalFormatting sqref="I2:I112">
    <cfRule type="expression" dxfId="7" priority="4">
      <formula>I2="Critical"</formula>
    </cfRule>
    <cfRule type="expression" dxfId="6" priority="5">
      <formula>I2="High"</formula>
    </cfRule>
  </conditionalFormatting>
  <conditionalFormatting sqref="N2:N112">
    <cfRule type="expression" dxfId="5" priority="1">
      <formula>LEFT(N2,3)="Red"</formula>
    </cfRule>
    <cfRule type="expression" dxfId="4" priority="2">
      <formula>LEFT(N2,5)="Amber"</formula>
    </cfRule>
    <cfRule type="expression" dxfId="3" priority="3">
      <formula>N2="Green"</formula>
    </cfRule>
  </conditionalFormatting>
  <dataValidations count="1">
    <dataValidation type="list" sqref="R2:R112" xr:uid="{00000000-0002-0000-0100-000000000000}">
      <formula1>"Yes,No,Partial,N/A"</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tabSelected="1" workbookViewId="0">
      <selection activeCell="B13" sqref="B13"/>
    </sheetView>
  </sheetViews>
  <sheetFormatPr defaultRowHeight="14"/>
  <cols>
    <col min="1" max="1" width="14" customWidth="1"/>
    <col min="2" max="2" width="35" customWidth="1"/>
    <col min="3" max="3" width="14" customWidth="1"/>
    <col min="4" max="5" width="12" customWidth="1"/>
    <col min="6" max="6" width="14" customWidth="1"/>
    <col min="7" max="7" width="12" customWidth="1"/>
    <col min="8" max="9" width="14" customWidth="1"/>
    <col min="10" max="10" width="30" customWidth="1"/>
  </cols>
  <sheetData>
    <row r="1" spans="1:10">
      <c r="A1" s="1" t="s">
        <v>9</v>
      </c>
      <c r="B1" s="1" t="s">
        <v>10</v>
      </c>
      <c r="C1" s="1" t="s">
        <v>2</v>
      </c>
      <c r="D1" s="1" t="s">
        <v>11</v>
      </c>
      <c r="E1" s="1" t="s">
        <v>12</v>
      </c>
      <c r="F1" s="1" t="s">
        <v>4</v>
      </c>
      <c r="G1" s="1" t="s">
        <v>5</v>
      </c>
      <c r="H1" s="1" t="s">
        <v>13</v>
      </c>
      <c r="I1" s="1" t="s">
        <v>8</v>
      </c>
      <c r="J1" s="1" t="s">
        <v>14</v>
      </c>
    </row>
    <row r="2" spans="1:10">
      <c r="A2" t="s">
        <v>38</v>
      </c>
      <c r="B2" t="s">
        <v>409</v>
      </c>
      <c r="C2">
        <f>COUNTIF('Master Action Plan'!$B:$B,A2)</f>
        <v>10</v>
      </c>
      <c r="D2">
        <f>COUNTIFS('Master Action Plan'!$B:$B,A2,'Master Action Plan'!$M:$M,"Completed")+COUNTIFS('Master Action Plan'!$B:$B,A2,'Master Action Plan'!$M:$M,"Verified")</f>
        <v>0</v>
      </c>
      <c r="E2">
        <f>COUNTIFS('Master Action Plan'!$B:$B,A2,'Master Action Plan'!$M:$M,"Verified")</f>
        <v>0</v>
      </c>
      <c r="F2">
        <f t="shared" ref="F2:F10" si="0">C2-D2</f>
        <v>10</v>
      </c>
      <c r="G2">
        <f ca="1">COUNTIFS('Master Action Plan'!$B:$B,A2,'Master Action Plan'!$K:$K,"&lt;"&amp;TODAY(),'Master Action Plan'!$M:$M,"&lt;&gt;Completed",'Master Action Plan'!$M:$M,"&lt;&gt;Verified")</f>
        <v>0</v>
      </c>
      <c r="H2" s="5">
        <f t="shared" ref="H2:H10" si="1">IF(C2=0,0,D2/C2)</f>
        <v>0</v>
      </c>
      <c r="I2" t="str">
        <f t="shared" ref="I2:I10" si="2">IF(H2&gt;=0.9,"Green",IF(H2&gt;=0.6,"Amber","Red"))</f>
        <v>Red</v>
      </c>
    </row>
    <row r="3" spans="1:10">
      <c r="A3" t="s">
        <v>73</v>
      </c>
      <c r="B3" t="s">
        <v>410</v>
      </c>
      <c r="C3">
        <f>COUNTIF('Master Action Plan'!$B:$B,A3)</f>
        <v>10</v>
      </c>
      <c r="D3">
        <f>COUNTIFS('Master Action Plan'!$B:$B,A3,'Master Action Plan'!$M:$M,"Completed")+COUNTIFS('Master Action Plan'!$B:$B,A3,'Master Action Plan'!$M:$M,"Verified")</f>
        <v>0</v>
      </c>
      <c r="E3">
        <f>COUNTIFS('Master Action Plan'!$B:$B,A3,'Master Action Plan'!$M:$M,"Verified")</f>
        <v>0</v>
      </c>
      <c r="F3">
        <f t="shared" si="0"/>
        <v>10</v>
      </c>
      <c r="G3">
        <f ca="1">COUNTIFS('Master Action Plan'!$B:$B,A3,'Master Action Plan'!$K:$K,"&lt;"&amp;TODAY(),'Master Action Plan'!$M:$M,"&lt;&gt;Completed",'Master Action Plan'!$M:$M,"&lt;&gt;Verified")</f>
        <v>0</v>
      </c>
      <c r="H3" s="5">
        <f t="shared" si="1"/>
        <v>0</v>
      </c>
      <c r="I3" t="str">
        <f t="shared" si="2"/>
        <v>Red</v>
      </c>
    </row>
    <row r="4" spans="1:10">
      <c r="A4" t="s">
        <v>101</v>
      </c>
      <c r="B4" t="s">
        <v>411</v>
      </c>
      <c r="C4">
        <f>COUNTIF('Master Action Plan'!$B:$B,A4)</f>
        <v>10</v>
      </c>
      <c r="D4">
        <f>COUNTIFS('Master Action Plan'!$B:$B,A4,'Master Action Plan'!$M:$M,"Completed")+COUNTIFS('Master Action Plan'!$B:$B,A4,'Master Action Plan'!$M:$M,"Verified")</f>
        <v>0</v>
      </c>
      <c r="E4">
        <f>COUNTIFS('Master Action Plan'!$B:$B,A4,'Master Action Plan'!$M:$M,"Verified")</f>
        <v>0</v>
      </c>
      <c r="F4">
        <f t="shared" si="0"/>
        <v>10</v>
      </c>
      <c r="G4">
        <f ca="1">COUNTIFS('Master Action Plan'!$B:$B,A4,'Master Action Plan'!$K:$K,"&lt;"&amp;TODAY(),'Master Action Plan'!$M:$M,"&lt;&gt;Completed",'Master Action Plan'!$M:$M,"&lt;&gt;Verified")</f>
        <v>0</v>
      </c>
      <c r="H4" s="5">
        <f t="shared" si="1"/>
        <v>0</v>
      </c>
      <c r="I4" t="str">
        <f t="shared" si="2"/>
        <v>Red</v>
      </c>
    </row>
    <row r="5" spans="1:10">
      <c r="A5" t="s">
        <v>129</v>
      </c>
      <c r="B5" t="s">
        <v>412</v>
      </c>
      <c r="C5">
        <f>COUNTIF('Master Action Plan'!$B:$B,A5)</f>
        <v>23</v>
      </c>
      <c r="D5">
        <f>COUNTIFS('Master Action Plan'!$B:$B,A5,'Master Action Plan'!$M:$M,"Completed")+COUNTIFS('Master Action Plan'!$B:$B,A5,'Master Action Plan'!$M:$M,"Verified")</f>
        <v>0</v>
      </c>
      <c r="E5">
        <f>COUNTIFS('Master Action Plan'!$B:$B,A5,'Master Action Plan'!$M:$M,"Verified")</f>
        <v>0</v>
      </c>
      <c r="F5">
        <f t="shared" si="0"/>
        <v>23</v>
      </c>
      <c r="G5">
        <f ca="1">COUNTIFS('Master Action Plan'!$B:$B,A5,'Master Action Plan'!$K:$K,"&lt;"&amp;TODAY(),'Master Action Plan'!$M:$M,"&lt;&gt;Completed",'Master Action Plan'!$M:$M,"&lt;&gt;Verified")</f>
        <v>0</v>
      </c>
      <c r="H5" s="5">
        <f t="shared" si="1"/>
        <v>0</v>
      </c>
      <c r="I5" t="str">
        <f t="shared" si="2"/>
        <v>Red</v>
      </c>
    </row>
    <row r="6" spans="1:10">
      <c r="A6" t="s">
        <v>180</v>
      </c>
      <c r="B6" t="s">
        <v>413</v>
      </c>
      <c r="C6">
        <f>COUNTIF('Master Action Plan'!$B:$B,A6)</f>
        <v>9</v>
      </c>
      <c r="D6">
        <f>COUNTIFS('Master Action Plan'!$B:$B,A6,'Master Action Plan'!$M:$M,"Completed")+COUNTIFS('Master Action Plan'!$B:$B,A6,'Master Action Plan'!$M:$M,"Verified")</f>
        <v>0</v>
      </c>
      <c r="E6">
        <f>COUNTIFS('Master Action Plan'!$B:$B,A6,'Master Action Plan'!$M:$M,"Verified")</f>
        <v>0</v>
      </c>
      <c r="F6">
        <f t="shared" si="0"/>
        <v>9</v>
      </c>
      <c r="G6">
        <f ca="1">COUNTIFS('Master Action Plan'!$B:$B,A6,'Master Action Plan'!$K:$K,"&lt;"&amp;TODAY(),'Master Action Plan'!$M:$M,"&lt;&gt;Completed",'Master Action Plan'!$M:$M,"&lt;&gt;Verified")</f>
        <v>0</v>
      </c>
      <c r="H6" s="5">
        <f t="shared" si="1"/>
        <v>0</v>
      </c>
      <c r="I6" t="str">
        <f t="shared" si="2"/>
        <v>Red</v>
      </c>
    </row>
    <row r="7" spans="1:10">
      <c r="A7" t="s">
        <v>203</v>
      </c>
      <c r="B7" t="s">
        <v>414</v>
      </c>
      <c r="C7">
        <f>COUNTIF('Master Action Plan'!$B:$B,A7)</f>
        <v>8</v>
      </c>
      <c r="D7">
        <f>COUNTIFS('Master Action Plan'!$B:$B,A7,'Master Action Plan'!$M:$M,"Completed")+COUNTIFS('Master Action Plan'!$B:$B,A7,'Master Action Plan'!$M:$M,"Verified")</f>
        <v>0</v>
      </c>
      <c r="E7">
        <f>COUNTIFS('Master Action Plan'!$B:$B,A7,'Master Action Plan'!$M:$M,"Verified")</f>
        <v>0</v>
      </c>
      <c r="F7">
        <f t="shared" si="0"/>
        <v>8</v>
      </c>
      <c r="G7">
        <f ca="1">COUNTIFS('Master Action Plan'!$B:$B,A7,'Master Action Plan'!$K:$K,"&lt;"&amp;TODAY(),'Master Action Plan'!$M:$M,"&lt;&gt;Completed",'Master Action Plan'!$M:$M,"&lt;&gt;Verified")</f>
        <v>0</v>
      </c>
      <c r="H7" s="5">
        <f t="shared" si="1"/>
        <v>0</v>
      </c>
      <c r="I7" t="str">
        <f t="shared" si="2"/>
        <v>Red</v>
      </c>
    </row>
    <row r="8" spans="1:10">
      <c r="A8" t="s">
        <v>226</v>
      </c>
      <c r="B8" t="s">
        <v>415</v>
      </c>
      <c r="C8">
        <f>COUNTIF('Master Action Plan'!$B:$B,A8)</f>
        <v>23</v>
      </c>
      <c r="D8">
        <f>COUNTIFS('Master Action Plan'!$B:$B,A8,'Master Action Plan'!$M:$M,"Completed")+COUNTIFS('Master Action Plan'!$B:$B,A8,'Master Action Plan'!$M:$M,"Verified")</f>
        <v>0</v>
      </c>
      <c r="E8">
        <f>COUNTIFS('Master Action Plan'!$B:$B,A8,'Master Action Plan'!$M:$M,"Verified")</f>
        <v>0</v>
      </c>
      <c r="F8">
        <f t="shared" si="0"/>
        <v>23</v>
      </c>
      <c r="G8">
        <f ca="1">COUNTIFS('Master Action Plan'!$B:$B,A8,'Master Action Plan'!$K:$K,"&lt;"&amp;TODAY(),'Master Action Plan'!$M:$M,"&lt;&gt;Completed",'Master Action Plan'!$M:$M,"&lt;&gt;Verified")</f>
        <v>0</v>
      </c>
      <c r="H8" s="5">
        <f t="shared" si="1"/>
        <v>0</v>
      </c>
      <c r="I8" t="str">
        <f t="shared" si="2"/>
        <v>Red</v>
      </c>
    </row>
    <row r="9" spans="1:10">
      <c r="A9" t="s">
        <v>254</v>
      </c>
      <c r="B9" t="s">
        <v>416</v>
      </c>
      <c r="C9">
        <f>COUNTIF('Master Action Plan'!$B:$B,A9)</f>
        <v>10</v>
      </c>
      <c r="D9">
        <f>COUNTIFS('Master Action Plan'!$B:$B,A9,'Master Action Plan'!$M:$M,"Completed")+COUNTIFS('Master Action Plan'!$B:$B,A9,'Master Action Plan'!$M:$M,"Verified")</f>
        <v>0</v>
      </c>
      <c r="E9">
        <f>COUNTIFS('Master Action Plan'!$B:$B,A9,'Master Action Plan'!$M:$M,"Verified")</f>
        <v>0</v>
      </c>
      <c r="F9">
        <f t="shared" si="0"/>
        <v>10</v>
      </c>
      <c r="G9">
        <f ca="1">COUNTIFS('Master Action Plan'!$B:$B,A9,'Master Action Plan'!$K:$K,"&lt;"&amp;TODAY(),'Master Action Plan'!$M:$M,"&lt;&gt;Completed",'Master Action Plan'!$M:$M,"&lt;&gt;Verified")</f>
        <v>0</v>
      </c>
      <c r="H9" s="5">
        <f t="shared" si="1"/>
        <v>0</v>
      </c>
      <c r="I9" t="str">
        <f t="shared" si="2"/>
        <v>Red</v>
      </c>
    </row>
    <row r="10" spans="1:10">
      <c r="A10" t="s">
        <v>280</v>
      </c>
      <c r="B10" t="s">
        <v>417</v>
      </c>
      <c r="C10">
        <f>COUNTIF('Master Action Plan'!$B:$B,A10)</f>
        <v>8</v>
      </c>
      <c r="D10">
        <f>COUNTIFS('Master Action Plan'!$B:$B,A10,'Master Action Plan'!$M:$M,"Completed")+COUNTIFS('Master Action Plan'!$B:$B,A10,'Master Action Plan'!$M:$M,"Verified")</f>
        <v>0</v>
      </c>
      <c r="E10">
        <f>COUNTIFS('Master Action Plan'!$B:$B,A10,'Master Action Plan'!$M:$M,"Verified")</f>
        <v>0</v>
      </c>
      <c r="F10">
        <f t="shared" si="0"/>
        <v>8</v>
      </c>
      <c r="G10">
        <f ca="1">COUNTIFS('Master Action Plan'!$B:$B,A10,'Master Action Plan'!$K:$K,"&lt;"&amp;TODAY(),'Master Action Plan'!$M:$M,"&lt;&gt;Completed",'Master Action Plan'!$M:$M,"&lt;&gt;Verified")</f>
        <v>0</v>
      </c>
      <c r="H10" s="5">
        <f t="shared" si="1"/>
        <v>0</v>
      </c>
      <c r="I10" t="str">
        <f t="shared" si="2"/>
        <v>Red</v>
      </c>
    </row>
  </sheetData>
  <conditionalFormatting sqref="I2:I10">
    <cfRule type="expression" dxfId="2" priority="1">
      <formula>I2="Red"</formula>
    </cfRule>
    <cfRule type="expression" dxfId="1" priority="2">
      <formula>I2="Amber"</formula>
    </cfRule>
    <cfRule type="expression" dxfId="0" priority="3">
      <formula>I2="Green"</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6"/>
  <sheetViews>
    <sheetView workbookViewId="0"/>
  </sheetViews>
  <sheetFormatPr defaultRowHeight="14"/>
  <cols>
    <col min="1" max="1" width="12" customWidth="1"/>
    <col min="2" max="2" width="16" customWidth="1"/>
    <col min="3" max="3" width="12" customWidth="1"/>
    <col min="4" max="4" width="20" customWidth="1"/>
    <col min="5" max="6" width="34" customWidth="1"/>
    <col min="7" max="8" width="12" customWidth="1"/>
    <col min="9" max="9" width="16" customWidth="1"/>
    <col min="10" max="10" width="30" customWidth="1"/>
  </cols>
  <sheetData>
    <row r="1" spans="1:10">
      <c r="A1" s="1" t="s">
        <v>418</v>
      </c>
      <c r="B1" s="1" t="s">
        <v>419</v>
      </c>
      <c r="C1" s="1" t="s">
        <v>9</v>
      </c>
      <c r="D1" s="1" t="s">
        <v>420</v>
      </c>
      <c r="E1" s="1" t="s">
        <v>421</v>
      </c>
      <c r="F1" s="1" t="s">
        <v>422</v>
      </c>
      <c r="G1" s="1" t="s">
        <v>423</v>
      </c>
      <c r="H1" s="1" t="s">
        <v>424</v>
      </c>
      <c r="I1" s="1" t="s">
        <v>34</v>
      </c>
      <c r="J1" s="1" t="s">
        <v>14</v>
      </c>
    </row>
    <row r="2" spans="1:10">
      <c r="A2" t="s">
        <v>425</v>
      </c>
      <c r="D2" t="s">
        <v>426</v>
      </c>
      <c r="G2" s="6"/>
      <c r="H2" t="s">
        <v>49</v>
      </c>
    </row>
    <row r="3" spans="1:10">
      <c r="A3" t="s">
        <v>427</v>
      </c>
      <c r="D3" t="s">
        <v>428</v>
      </c>
      <c r="G3" s="6"/>
      <c r="H3" t="s">
        <v>49</v>
      </c>
    </row>
    <row r="4" spans="1:10">
      <c r="A4" t="s">
        <v>429</v>
      </c>
      <c r="D4" t="s">
        <v>430</v>
      </c>
      <c r="G4" s="6"/>
      <c r="H4" t="s">
        <v>49</v>
      </c>
    </row>
    <row r="5" spans="1:10">
      <c r="A5" t="s">
        <v>431</v>
      </c>
      <c r="D5" t="s">
        <v>432</v>
      </c>
      <c r="G5" s="6"/>
      <c r="H5" t="s">
        <v>49</v>
      </c>
    </row>
    <row r="6" spans="1:10">
      <c r="A6" t="s">
        <v>433</v>
      </c>
      <c r="D6" t="s">
        <v>434</v>
      </c>
      <c r="G6" s="6"/>
      <c r="H6" t="s">
        <v>49</v>
      </c>
    </row>
    <row r="7" spans="1:10">
      <c r="A7" t="s">
        <v>435</v>
      </c>
      <c r="D7" t="s">
        <v>436</v>
      </c>
      <c r="G7" s="6"/>
      <c r="H7" t="s">
        <v>49</v>
      </c>
    </row>
    <row r="8" spans="1:10">
      <c r="A8" t="s">
        <v>437</v>
      </c>
      <c r="D8" t="s">
        <v>413</v>
      </c>
      <c r="G8" s="6"/>
      <c r="H8" t="s">
        <v>49</v>
      </c>
    </row>
    <row r="9" spans="1:10">
      <c r="A9" t="s">
        <v>438</v>
      </c>
      <c r="D9" t="s">
        <v>439</v>
      </c>
      <c r="G9" s="6"/>
      <c r="H9" t="s">
        <v>49</v>
      </c>
    </row>
    <row r="10" spans="1:10">
      <c r="A10" t="s">
        <v>440</v>
      </c>
      <c r="D10" t="s">
        <v>441</v>
      </c>
      <c r="G10" s="6"/>
      <c r="H10" t="s">
        <v>49</v>
      </c>
    </row>
    <row r="11" spans="1:10">
      <c r="A11" t="s">
        <v>442</v>
      </c>
      <c r="D11" t="s">
        <v>443</v>
      </c>
      <c r="G11" s="6"/>
      <c r="H11" t="s">
        <v>49</v>
      </c>
    </row>
    <row r="12" spans="1:10">
      <c r="A12" t="s">
        <v>444</v>
      </c>
      <c r="D12" t="s">
        <v>426</v>
      </c>
      <c r="G12" s="6"/>
      <c r="H12" t="s">
        <v>49</v>
      </c>
    </row>
    <row r="13" spans="1:10">
      <c r="A13" t="s">
        <v>445</v>
      </c>
      <c r="D13" t="s">
        <v>428</v>
      </c>
      <c r="G13" s="6"/>
      <c r="H13" t="s">
        <v>49</v>
      </c>
    </row>
    <row r="14" spans="1:10">
      <c r="A14" t="s">
        <v>446</v>
      </c>
      <c r="D14" t="s">
        <v>430</v>
      </c>
      <c r="G14" s="6"/>
      <c r="H14" t="s">
        <v>49</v>
      </c>
    </row>
    <row r="15" spans="1:10">
      <c r="A15" t="s">
        <v>447</v>
      </c>
      <c r="D15" t="s">
        <v>432</v>
      </c>
      <c r="G15" s="6"/>
      <c r="H15" t="s">
        <v>49</v>
      </c>
    </row>
    <row r="16" spans="1:10">
      <c r="A16" t="s">
        <v>448</v>
      </c>
      <c r="D16" t="s">
        <v>434</v>
      </c>
      <c r="G16" s="6"/>
      <c r="H16" t="s">
        <v>49</v>
      </c>
    </row>
    <row r="17" spans="1:8">
      <c r="A17" t="s">
        <v>449</v>
      </c>
      <c r="D17" t="s">
        <v>436</v>
      </c>
      <c r="G17" s="6"/>
      <c r="H17" t="s">
        <v>49</v>
      </c>
    </row>
    <row r="18" spans="1:8">
      <c r="A18" t="s">
        <v>450</v>
      </c>
      <c r="D18" t="s">
        <v>413</v>
      </c>
      <c r="G18" s="6"/>
      <c r="H18" t="s">
        <v>49</v>
      </c>
    </row>
    <row r="19" spans="1:8">
      <c r="A19" t="s">
        <v>451</v>
      </c>
      <c r="D19" t="s">
        <v>439</v>
      </c>
      <c r="G19" s="6"/>
      <c r="H19" t="s">
        <v>49</v>
      </c>
    </row>
    <row r="20" spans="1:8">
      <c r="A20" t="s">
        <v>452</v>
      </c>
      <c r="D20" t="s">
        <v>441</v>
      </c>
      <c r="G20" s="6"/>
      <c r="H20" t="s">
        <v>49</v>
      </c>
    </row>
    <row r="21" spans="1:8">
      <c r="A21" t="s">
        <v>453</v>
      </c>
      <c r="D21" t="s">
        <v>443</v>
      </c>
      <c r="G21" s="6"/>
      <c r="H21" t="s">
        <v>49</v>
      </c>
    </row>
    <row r="22" spans="1:8">
      <c r="A22" t="s">
        <v>454</v>
      </c>
      <c r="D22" t="s">
        <v>426</v>
      </c>
      <c r="G22" s="6"/>
      <c r="H22" t="s">
        <v>49</v>
      </c>
    </row>
    <row r="23" spans="1:8">
      <c r="A23" t="s">
        <v>455</v>
      </c>
      <c r="D23" t="s">
        <v>428</v>
      </c>
      <c r="G23" s="6"/>
      <c r="H23" t="s">
        <v>49</v>
      </c>
    </row>
    <row r="24" spans="1:8">
      <c r="A24" t="s">
        <v>456</v>
      </c>
      <c r="D24" t="s">
        <v>430</v>
      </c>
      <c r="G24" s="6"/>
      <c r="H24" t="s">
        <v>49</v>
      </c>
    </row>
    <row r="25" spans="1:8">
      <c r="A25" t="s">
        <v>457</v>
      </c>
      <c r="D25" t="s">
        <v>432</v>
      </c>
      <c r="G25" s="6"/>
      <c r="H25" t="s">
        <v>49</v>
      </c>
    </row>
    <row r="26" spans="1:8">
      <c r="A26" t="s">
        <v>458</v>
      </c>
      <c r="D26" t="s">
        <v>434</v>
      </c>
      <c r="G26" s="6"/>
      <c r="H26" t="s">
        <v>49</v>
      </c>
    </row>
    <row r="27" spans="1:8">
      <c r="A27" t="s">
        <v>459</v>
      </c>
      <c r="D27" t="s">
        <v>436</v>
      </c>
      <c r="G27" s="6"/>
      <c r="H27" t="s">
        <v>49</v>
      </c>
    </row>
    <row r="28" spans="1:8">
      <c r="A28" t="s">
        <v>460</v>
      </c>
      <c r="D28" t="s">
        <v>413</v>
      </c>
      <c r="G28" s="6"/>
      <c r="H28" t="s">
        <v>49</v>
      </c>
    </row>
    <row r="29" spans="1:8">
      <c r="A29" t="s">
        <v>461</v>
      </c>
      <c r="D29" t="s">
        <v>439</v>
      </c>
      <c r="G29" s="6"/>
      <c r="H29" t="s">
        <v>49</v>
      </c>
    </row>
    <row r="30" spans="1:8">
      <c r="A30" t="s">
        <v>462</v>
      </c>
      <c r="D30" t="s">
        <v>441</v>
      </c>
      <c r="G30" s="6"/>
      <c r="H30" t="s">
        <v>49</v>
      </c>
    </row>
    <row r="31" spans="1:8">
      <c r="A31" t="s">
        <v>463</v>
      </c>
      <c r="D31" t="s">
        <v>443</v>
      </c>
      <c r="G31" s="6"/>
      <c r="H31" t="s">
        <v>49</v>
      </c>
    </row>
    <row r="32" spans="1:8">
      <c r="A32" t="s">
        <v>464</v>
      </c>
      <c r="D32" t="s">
        <v>426</v>
      </c>
      <c r="G32" s="6"/>
      <c r="H32" t="s">
        <v>49</v>
      </c>
    </row>
    <row r="33" spans="1:8">
      <c r="A33" t="s">
        <v>465</v>
      </c>
      <c r="D33" t="s">
        <v>428</v>
      </c>
      <c r="G33" s="6"/>
      <c r="H33" t="s">
        <v>49</v>
      </c>
    </row>
    <row r="34" spans="1:8">
      <c r="A34" t="s">
        <v>466</v>
      </c>
      <c r="D34" t="s">
        <v>430</v>
      </c>
      <c r="G34" s="6"/>
      <c r="H34" t="s">
        <v>49</v>
      </c>
    </row>
    <row r="35" spans="1:8">
      <c r="A35" t="s">
        <v>467</v>
      </c>
      <c r="D35" t="s">
        <v>432</v>
      </c>
      <c r="G35" s="6"/>
      <c r="H35" t="s">
        <v>49</v>
      </c>
    </row>
    <row r="36" spans="1:8">
      <c r="A36" t="s">
        <v>468</v>
      </c>
      <c r="D36" t="s">
        <v>434</v>
      </c>
      <c r="G36" s="6"/>
      <c r="H36" t="s">
        <v>49</v>
      </c>
    </row>
    <row r="37" spans="1:8">
      <c r="A37" t="s">
        <v>469</v>
      </c>
      <c r="D37" t="s">
        <v>436</v>
      </c>
      <c r="G37" s="6"/>
      <c r="H37" t="s">
        <v>49</v>
      </c>
    </row>
    <row r="38" spans="1:8">
      <c r="A38" t="s">
        <v>470</v>
      </c>
      <c r="D38" t="s">
        <v>413</v>
      </c>
      <c r="G38" s="6"/>
      <c r="H38" t="s">
        <v>49</v>
      </c>
    </row>
    <row r="39" spans="1:8">
      <c r="A39" t="s">
        <v>471</v>
      </c>
      <c r="D39" t="s">
        <v>439</v>
      </c>
      <c r="G39" s="6"/>
      <c r="H39" t="s">
        <v>49</v>
      </c>
    </row>
    <row r="40" spans="1:8">
      <c r="A40" t="s">
        <v>472</v>
      </c>
      <c r="D40" t="s">
        <v>441</v>
      </c>
      <c r="G40" s="6"/>
      <c r="H40" t="s">
        <v>49</v>
      </c>
    </row>
    <row r="41" spans="1:8">
      <c r="A41" t="s">
        <v>473</v>
      </c>
      <c r="D41" t="s">
        <v>443</v>
      </c>
      <c r="G41" s="6"/>
      <c r="H41" t="s">
        <v>49</v>
      </c>
    </row>
    <row r="42" spans="1:8">
      <c r="A42" t="s">
        <v>474</v>
      </c>
      <c r="D42" t="s">
        <v>426</v>
      </c>
      <c r="G42" s="6"/>
      <c r="H42" t="s">
        <v>49</v>
      </c>
    </row>
    <row r="43" spans="1:8">
      <c r="A43" t="s">
        <v>475</v>
      </c>
      <c r="D43" t="s">
        <v>428</v>
      </c>
      <c r="G43" s="6"/>
      <c r="H43" t="s">
        <v>49</v>
      </c>
    </row>
    <row r="44" spans="1:8">
      <c r="A44" t="s">
        <v>476</v>
      </c>
      <c r="D44" t="s">
        <v>430</v>
      </c>
      <c r="G44" s="6"/>
      <c r="H44" t="s">
        <v>49</v>
      </c>
    </row>
    <row r="45" spans="1:8">
      <c r="A45" t="s">
        <v>477</v>
      </c>
      <c r="D45" t="s">
        <v>432</v>
      </c>
      <c r="G45" s="6"/>
      <c r="H45" t="s">
        <v>49</v>
      </c>
    </row>
    <row r="46" spans="1:8">
      <c r="A46" t="s">
        <v>478</v>
      </c>
      <c r="D46" t="s">
        <v>434</v>
      </c>
      <c r="G46" s="6"/>
      <c r="H46" t="s">
        <v>49</v>
      </c>
    </row>
    <row r="47" spans="1:8">
      <c r="A47" t="s">
        <v>479</v>
      </c>
      <c r="D47" t="s">
        <v>436</v>
      </c>
      <c r="G47" s="6"/>
      <c r="H47" t="s">
        <v>49</v>
      </c>
    </row>
    <row r="48" spans="1:8">
      <c r="A48" t="s">
        <v>480</v>
      </c>
      <c r="D48" t="s">
        <v>413</v>
      </c>
      <c r="G48" s="6"/>
      <c r="H48" t="s">
        <v>49</v>
      </c>
    </row>
    <row r="49" spans="1:8">
      <c r="A49" t="s">
        <v>481</v>
      </c>
      <c r="D49" t="s">
        <v>439</v>
      </c>
      <c r="G49" s="6"/>
      <c r="H49" t="s">
        <v>49</v>
      </c>
    </row>
    <row r="50" spans="1:8">
      <c r="A50" t="s">
        <v>482</v>
      </c>
      <c r="D50" t="s">
        <v>441</v>
      </c>
      <c r="G50" s="6"/>
      <c r="H50" t="s">
        <v>49</v>
      </c>
    </row>
    <row r="51" spans="1:8">
      <c r="A51" t="s">
        <v>483</v>
      </c>
      <c r="D51" t="s">
        <v>443</v>
      </c>
      <c r="G51" s="6"/>
      <c r="H51" t="s">
        <v>49</v>
      </c>
    </row>
    <row r="52" spans="1:8">
      <c r="A52" t="s">
        <v>484</v>
      </c>
      <c r="D52" t="s">
        <v>426</v>
      </c>
      <c r="G52" s="6"/>
      <c r="H52" t="s">
        <v>49</v>
      </c>
    </row>
    <row r="53" spans="1:8">
      <c r="A53" t="s">
        <v>485</v>
      </c>
      <c r="D53" t="s">
        <v>428</v>
      </c>
      <c r="G53" s="6"/>
      <c r="H53" t="s">
        <v>49</v>
      </c>
    </row>
    <row r="54" spans="1:8">
      <c r="A54" t="s">
        <v>486</v>
      </c>
      <c r="D54" t="s">
        <v>430</v>
      </c>
      <c r="G54" s="6"/>
      <c r="H54" t="s">
        <v>49</v>
      </c>
    </row>
    <row r="55" spans="1:8">
      <c r="A55" t="s">
        <v>487</v>
      </c>
      <c r="D55" t="s">
        <v>432</v>
      </c>
      <c r="G55" s="6"/>
      <c r="H55" t="s">
        <v>49</v>
      </c>
    </row>
    <row r="56" spans="1:8">
      <c r="A56" t="s">
        <v>488</v>
      </c>
      <c r="D56" t="s">
        <v>434</v>
      </c>
      <c r="G56" s="6"/>
      <c r="H56" t="s">
        <v>49</v>
      </c>
    </row>
    <row r="57" spans="1:8">
      <c r="A57" t="s">
        <v>489</v>
      </c>
      <c r="D57" t="s">
        <v>436</v>
      </c>
      <c r="G57" s="6"/>
      <c r="H57" t="s">
        <v>49</v>
      </c>
    </row>
    <row r="58" spans="1:8">
      <c r="A58" t="s">
        <v>490</v>
      </c>
      <c r="D58" t="s">
        <v>413</v>
      </c>
      <c r="G58" s="6"/>
      <c r="H58" t="s">
        <v>49</v>
      </c>
    </row>
    <row r="59" spans="1:8">
      <c r="A59" t="s">
        <v>491</v>
      </c>
      <c r="D59" t="s">
        <v>439</v>
      </c>
      <c r="G59" s="6"/>
      <c r="H59" t="s">
        <v>49</v>
      </c>
    </row>
    <row r="60" spans="1:8">
      <c r="A60" t="s">
        <v>492</v>
      </c>
      <c r="D60" t="s">
        <v>441</v>
      </c>
      <c r="G60" s="6"/>
      <c r="H60" t="s">
        <v>49</v>
      </c>
    </row>
    <row r="61" spans="1:8">
      <c r="A61" t="s">
        <v>493</v>
      </c>
      <c r="D61" t="s">
        <v>443</v>
      </c>
      <c r="G61" s="6"/>
      <c r="H61" t="s">
        <v>49</v>
      </c>
    </row>
    <row r="62" spans="1:8">
      <c r="A62" t="s">
        <v>494</v>
      </c>
      <c r="D62" t="s">
        <v>426</v>
      </c>
      <c r="G62" s="6"/>
      <c r="H62" t="s">
        <v>49</v>
      </c>
    </row>
    <row r="63" spans="1:8">
      <c r="A63" t="s">
        <v>495</v>
      </c>
      <c r="D63" t="s">
        <v>428</v>
      </c>
      <c r="G63" s="6"/>
      <c r="H63" t="s">
        <v>49</v>
      </c>
    </row>
    <row r="64" spans="1:8">
      <c r="A64" t="s">
        <v>496</v>
      </c>
      <c r="D64" t="s">
        <v>430</v>
      </c>
      <c r="G64" s="6"/>
      <c r="H64" t="s">
        <v>49</v>
      </c>
    </row>
    <row r="65" spans="1:8">
      <c r="A65" t="s">
        <v>497</v>
      </c>
      <c r="D65" t="s">
        <v>432</v>
      </c>
      <c r="G65" s="6"/>
      <c r="H65" t="s">
        <v>49</v>
      </c>
    </row>
    <row r="66" spans="1:8">
      <c r="A66" t="s">
        <v>498</v>
      </c>
      <c r="D66" t="s">
        <v>434</v>
      </c>
      <c r="G66" s="6"/>
      <c r="H66" t="s">
        <v>49</v>
      </c>
    </row>
    <row r="67" spans="1:8">
      <c r="A67" t="s">
        <v>499</v>
      </c>
      <c r="D67" t="s">
        <v>436</v>
      </c>
      <c r="G67" s="6"/>
      <c r="H67" t="s">
        <v>49</v>
      </c>
    </row>
    <row r="68" spans="1:8">
      <c r="A68" t="s">
        <v>500</v>
      </c>
      <c r="D68" t="s">
        <v>413</v>
      </c>
      <c r="G68" s="6"/>
      <c r="H68" t="s">
        <v>49</v>
      </c>
    </row>
    <row r="69" spans="1:8">
      <c r="A69" t="s">
        <v>501</v>
      </c>
      <c r="D69" t="s">
        <v>439</v>
      </c>
      <c r="G69" s="6"/>
      <c r="H69" t="s">
        <v>49</v>
      </c>
    </row>
    <row r="70" spans="1:8">
      <c r="A70" t="s">
        <v>502</v>
      </c>
      <c r="D70" t="s">
        <v>441</v>
      </c>
      <c r="G70" s="6"/>
      <c r="H70" t="s">
        <v>49</v>
      </c>
    </row>
    <row r="71" spans="1:8">
      <c r="A71" t="s">
        <v>503</v>
      </c>
      <c r="D71" t="s">
        <v>443</v>
      </c>
      <c r="G71" s="6"/>
      <c r="H71" t="s">
        <v>49</v>
      </c>
    </row>
    <row r="72" spans="1:8">
      <c r="A72" t="s">
        <v>504</v>
      </c>
      <c r="D72" t="s">
        <v>426</v>
      </c>
      <c r="G72" s="6"/>
      <c r="H72" t="s">
        <v>49</v>
      </c>
    </row>
    <row r="73" spans="1:8">
      <c r="A73" t="s">
        <v>505</v>
      </c>
      <c r="D73" t="s">
        <v>428</v>
      </c>
      <c r="G73" s="6"/>
      <c r="H73" t="s">
        <v>49</v>
      </c>
    </row>
    <row r="74" spans="1:8">
      <c r="A74" t="s">
        <v>506</v>
      </c>
      <c r="D74" t="s">
        <v>430</v>
      </c>
      <c r="G74" s="6"/>
      <c r="H74" t="s">
        <v>49</v>
      </c>
    </row>
    <row r="75" spans="1:8">
      <c r="A75" t="s">
        <v>507</v>
      </c>
      <c r="D75" t="s">
        <v>432</v>
      </c>
      <c r="G75" s="6"/>
      <c r="H75" t="s">
        <v>49</v>
      </c>
    </row>
    <row r="76" spans="1:8">
      <c r="A76" t="s">
        <v>508</v>
      </c>
      <c r="D76" t="s">
        <v>434</v>
      </c>
      <c r="G76" s="6"/>
      <c r="H76" t="s">
        <v>49</v>
      </c>
    </row>
    <row r="77" spans="1:8">
      <c r="A77" t="s">
        <v>509</v>
      </c>
      <c r="D77" t="s">
        <v>436</v>
      </c>
      <c r="G77" s="6"/>
      <c r="H77" t="s">
        <v>49</v>
      </c>
    </row>
    <row r="78" spans="1:8">
      <c r="A78" t="s">
        <v>510</v>
      </c>
      <c r="D78" t="s">
        <v>413</v>
      </c>
      <c r="G78" s="6"/>
      <c r="H78" t="s">
        <v>49</v>
      </c>
    </row>
    <row r="79" spans="1:8">
      <c r="A79" t="s">
        <v>511</v>
      </c>
      <c r="D79" t="s">
        <v>439</v>
      </c>
      <c r="G79" s="6"/>
      <c r="H79" t="s">
        <v>49</v>
      </c>
    </row>
    <row r="80" spans="1:8">
      <c r="A80" t="s">
        <v>512</v>
      </c>
      <c r="D80" t="s">
        <v>441</v>
      </c>
      <c r="G80" s="6"/>
      <c r="H80" t="s">
        <v>49</v>
      </c>
    </row>
    <row r="81" spans="1:8">
      <c r="A81" t="s">
        <v>513</v>
      </c>
      <c r="D81" t="s">
        <v>443</v>
      </c>
      <c r="G81" s="6"/>
      <c r="H81" t="s">
        <v>49</v>
      </c>
    </row>
    <row r="82" spans="1:8">
      <c r="A82" t="s">
        <v>514</v>
      </c>
      <c r="D82" t="s">
        <v>426</v>
      </c>
      <c r="G82" s="6"/>
      <c r="H82" t="s">
        <v>49</v>
      </c>
    </row>
    <row r="83" spans="1:8">
      <c r="A83" t="s">
        <v>515</v>
      </c>
      <c r="D83" t="s">
        <v>428</v>
      </c>
      <c r="G83" s="6"/>
      <c r="H83" t="s">
        <v>49</v>
      </c>
    </row>
    <row r="84" spans="1:8">
      <c r="A84" t="s">
        <v>516</v>
      </c>
      <c r="D84" t="s">
        <v>430</v>
      </c>
      <c r="G84" s="6"/>
      <c r="H84" t="s">
        <v>49</v>
      </c>
    </row>
    <row r="85" spans="1:8">
      <c r="A85" t="s">
        <v>517</v>
      </c>
      <c r="D85" t="s">
        <v>432</v>
      </c>
      <c r="G85" s="6"/>
      <c r="H85" t="s">
        <v>49</v>
      </c>
    </row>
    <row r="86" spans="1:8">
      <c r="A86" t="s">
        <v>518</v>
      </c>
      <c r="D86" t="s">
        <v>434</v>
      </c>
      <c r="G86" s="6"/>
      <c r="H86" t="s">
        <v>49</v>
      </c>
    </row>
    <row r="87" spans="1:8">
      <c r="A87" t="s">
        <v>519</v>
      </c>
      <c r="D87" t="s">
        <v>436</v>
      </c>
      <c r="G87" s="6"/>
      <c r="H87" t="s">
        <v>49</v>
      </c>
    </row>
    <row r="88" spans="1:8">
      <c r="A88" t="s">
        <v>520</v>
      </c>
      <c r="D88" t="s">
        <v>413</v>
      </c>
      <c r="G88" s="6"/>
      <c r="H88" t="s">
        <v>49</v>
      </c>
    </row>
    <row r="89" spans="1:8">
      <c r="A89" t="s">
        <v>521</v>
      </c>
      <c r="D89" t="s">
        <v>439</v>
      </c>
      <c r="G89" s="6"/>
      <c r="H89" t="s">
        <v>49</v>
      </c>
    </row>
    <row r="90" spans="1:8">
      <c r="A90" t="s">
        <v>522</v>
      </c>
      <c r="D90" t="s">
        <v>441</v>
      </c>
      <c r="G90" s="6"/>
      <c r="H90" t="s">
        <v>49</v>
      </c>
    </row>
    <row r="91" spans="1:8">
      <c r="A91" t="s">
        <v>523</v>
      </c>
      <c r="D91" t="s">
        <v>443</v>
      </c>
      <c r="G91" s="6"/>
      <c r="H91" t="s">
        <v>49</v>
      </c>
    </row>
    <row r="92" spans="1:8">
      <c r="A92" t="s">
        <v>524</v>
      </c>
      <c r="D92" t="s">
        <v>426</v>
      </c>
      <c r="G92" s="6"/>
      <c r="H92" t="s">
        <v>49</v>
      </c>
    </row>
    <row r="93" spans="1:8">
      <c r="A93" t="s">
        <v>525</v>
      </c>
      <c r="D93" t="s">
        <v>428</v>
      </c>
      <c r="G93" s="6"/>
      <c r="H93" t="s">
        <v>49</v>
      </c>
    </row>
    <row r="94" spans="1:8">
      <c r="A94" t="s">
        <v>526</v>
      </c>
      <c r="D94" t="s">
        <v>430</v>
      </c>
      <c r="G94" s="6"/>
      <c r="H94" t="s">
        <v>49</v>
      </c>
    </row>
    <row r="95" spans="1:8">
      <c r="A95" t="s">
        <v>527</v>
      </c>
      <c r="D95" t="s">
        <v>432</v>
      </c>
      <c r="G95" s="6"/>
      <c r="H95" t="s">
        <v>49</v>
      </c>
    </row>
    <row r="96" spans="1:8">
      <c r="A96" t="s">
        <v>528</v>
      </c>
      <c r="D96" t="s">
        <v>434</v>
      </c>
      <c r="G96" s="6"/>
      <c r="H96" t="s">
        <v>49</v>
      </c>
    </row>
    <row r="97" spans="1:10">
      <c r="A97" t="s">
        <v>529</v>
      </c>
      <c r="D97" t="s">
        <v>436</v>
      </c>
      <c r="G97" s="6"/>
      <c r="H97" t="s">
        <v>49</v>
      </c>
    </row>
    <row r="98" spans="1:10">
      <c r="A98" t="s">
        <v>530</v>
      </c>
      <c r="D98" t="s">
        <v>413</v>
      </c>
      <c r="G98" s="6"/>
      <c r="H98" t="s">
        <v>49</v>
      </c>
    </row>
    <row r="99" spans="1:10">
      <c r="A99" t="s">
        <v>531</v>
      </c>
      <c r="D99" t="s">
        <v>439</v>
      </c>
      <c r="G99" s="6"/>
      <c r="H99" t="s">
        <v>49</v>
      </c>
    </row>
    <row r="100" spans="1:10">
      <c r="A100" t="s">
        <v>532</v>
      </c>
      <c r="D100" t="s">
        <v>441</v>
      </c>
      <c r="G100" s="6"/>
      <c r="H100" t="s">
        <v>49</v>
      </c>
    </row>
    <row r="101" spans="1:10">
      <c r="A101" t="s">
        <v>533</v>
      </c>
      <c r="D101" t="s">
        <v>443</v>
      </c>
      <c r="G101" s="6"/>
      <c r="H101" t="s">
        <v>49</v>
      </c>
    </row>
    <row r="102" spans="1:10" ht="84">
      <c r="A102" s="15" t="s">
        <v>530</v>
      </c>
      <c r="B102" s="15" t="s">
        <v>302</v>
      </c>
      <c r="C102" s="15" t="s">
        <v>226</v>
      </c>
      <c r="D102" s="15" t="s">
        <v>534</v>
      </c>
      <c r="E102" s="15"/>
      <c r="F102" s="15"/>
      <c r="G102" s="15"/>
      <c r="H102" s="15" t="s">
        <v>49</v>
      </c>
      <c r="I102" s="15"/>
      <c r="J102" s="15" t="s">
        <v>535</v>
      </c>
    </row>
    <row r="103" spans="1:10" ht="84">
      <c r="A103" s="15" t="s">
        <v>531</v>
      </c>
      <c r="B103" s="15" t="s">
        <v>310</v>
      </c>
      <c r="C103" s="15" t="s">
        <v>226</v>
      </c>
      <c r="D103" s="15" t="s">
        <v>534</v>
      </c>
      <c r="E103" s="15"/>
      <c r="F103" s="15"/>
      <c r="G103" s="15"/>
      <c r="H103" s="15" t="s">
        <v>49</v>
      </c>
      <c r="I103" s="15"/>
      <c r="J103" s="15" t="s">
        <v>536</v>
      </c>
    </row>
    <row r="104" spans="1:10" ht="56">
      <c r="A104" s="15" t="s">
        <v>532</v>
      </c>
      <c r="B104" s="15" t="s">
        <v>317</v>
      </c>
      <c r="C104" s="15" t="s">
        <v>226</v>
      </c>
      <c r="D104" s="15" t="s">
        <v>534</v>
      </c>
      <c r="E104" s="15"/>
      <c r="F104" s="15"/>
      <c r="G104" s="15"/>
      <c r="H104" s="15" t="s">
        <v>49</v>
      </c>
      <c r="I104" s="15"/>
      <c r="J104" s="15" t="s">
        <v>537</v>
      </c>
    </row>
    <row r="105" spans="1:10" ht="70">
      <c r="A105" s="15" t="s">
        <v>533</v>
      </c>
      <c r="B105" s="15" t="s">
        <v>325</v>
      </c>
      <c r="C105" s="15" t="s">
        <v>129</v>
      </c>
      <c r="D105" s="15" t="s">
        <v>534</v>
      </c>
      <c r="E105" s="15"/>
      <c r="F105" s="15"/>
      <c r="G105" s="15"/>
      <c r="H105" s="15" t="s">
        <v>49</v>
      </c>
      <c r="I105" s="15"/>
      <c r="J105" s="15" t="s">
        <v>538</v>
      </c>
    </row>
    <row r="106" spans="1:10" ht="56">
      <c r="A106" s="15" t="s">
        <v>539</v>
      </c>
      <c r="B106" s="15" t="s">
        <v>332</v>
      </c>
      <c r="C106" s="15" t="s">
        <v>226</v>
      </c>
      <c r="D106" s="15" t="s">
        <v>534</v>
      </c>
      <c r="E106" s="15"/>
      <c r="F106" s="15"/>
      <c r="G106" s="15"/>
      <c r="H106" s="15" t="s">
        <v>49</v>
      </c>
      <c r="I106" s="15"/>
      <c r="J106" s="15" t="s">
        <v>540</v>
      </c>
    </row>
    <row r="107" spans="1:10" ht="42">
      <c r="A107" s="15" t="s">
        <v>541</v>
      </c>
      <c r="B107" s="15" t="s">
        <v>340</v>
      </c>
      <c r="C107" s="15" t="s">
        <v>226</v>
      </c>
      <c r="D107" s="15" t="s">
        <v>534</v>
      </c>
      <c r="E107" s="15"/>
      <c r="F107" s="15"/>
      <c r="G107" s="15"/>
      <c r="H107" s="15" t="s">
        <v>49</v>
      </c>
      <c r="I107" s="15"/>
      <c r="J107" s="15" t="s">
        <v>542</v>
      </c>
    </row>
    <row r="108" spans="1:10" ht="70">
      <c r="A108" s="15" t="s">
        <v>543</v>
      </c>
      <c r="B108" s="15" t="s">
        <v>348</v>
      </c>
      <c r="C108" s="15" t="s">
        <v>226</v>
      </c>
      <c r="D108" s="15" t="s">
        <v>534</v>
      </c>
      <c r="E108" s="15"/>
      <c r="F108" s="15"/>
      <c r="G108" s="15"/>
      <c r="H108" s="15" t="s">
        <v>49</v>
      </c>
      <c r="I108" s="15"/>
      <c r="J108" s="15" t="s">
        <v>544</v>
      </c>
    </row>
    <row r="109" spans="1:10" ht="56">
      <c r="A109" s="15" t="s">
        <v>545</v>
      </c>
      <c r="B109" s="15" t="s">
        <v>355</v>
      </c>
      <c r="C109" s="15" t="s">
        <v>226</v>
      </c>
      <c r="D109" s="15" t="s">
        <v>534</v>
      </c>
      <c r="E109" s="15"/>
      <c r="F109" s="15"/>
      <c r="G109" s="15"/>
      <c r="H109" s="15" t="s">
        <v>49</v>
      </c>
      <c r="I109" s="15"/>
      <c r="J109" s="15" t="s">
        <v>546</v>
      </c>
    </row>
    <row r="110" spans="1:10" ht="84">
      <c r="A110" s="15" t="s">
        <v>547</v>
      </c>
      <c r="B110" s="15" t="s">
        <v>362</v>
      </c>
      <c r="C110" s="15" t="s">
        <v>180</v>
      </c>
      <c r="D110" s="15" t="s">
        <v>534</v>
      </c>
      <c r="E110" s="15"/>
      <c r="F110" s="15"/>
      <c r="G110" s="15"/>
      <c r="H110" s="15" t="s">
        <v>49</v>
      </c>
      <c r="I110" s="15"/>
      <c r="J110" s="15" t="s">
        <v>548</v>
      </c>
    </row>
    <row r="111" spans="1:10" ht="84">
      <c r="A111" s="15" t="s">
        <v>549</v>
      </c>
      <c r="B111" s="15" t="s">
        <v>369</v>
      </c>
      <c r="C111" s="15" t="s">
        <v>226</v>
      </c>
      <c r="D111" s="15" t="s">
        <v>534</v>
      </c>
      <c r="E111" s="15"/>
      <c r="F111" s="15"/>
      <c r="G111" s="15"/>
      <c r="H111" s="15" t="s">
        <v>49</v>
      </c>
      <c r="I111" s="15"/>
      <c r="J111" s="15" t="s">
        <v>550</v>
      </c>
    </row>
    <row r="112" spans="1:10" ht="56">
      <c r="A112" s="15" t="s">
        <v>551</v>
      </c>
      <c r="B112" s="15" t="s">
        <v>377</v>
      </c>
      <c r="C112" s="15" t="s">
        <v>226</v>
      </c>
      <c r="D112" s="15" t="s">
        <v>534</v>
      </c>
      <c r="E112" s="15"/>
      <c r="F112" s="15"/>
      <c r="G112" s="15"/>
      <c r="H112" s="15" t="s">
        <v>49</v>
      </c>
      <c r="I112" s="15"/>
      <c r="J112" s="15" t="s">
        <v>552</v>
      </c>
    </row>
    <row r="113" spans="1:10" ht="70">
      <c r="A113" s="15" t="s">
        <v>553</v>
      </c>
      <c r="B113" s="15" t="s">
        <v>383</v>
      </c>
      <c r="C113" s="15" t="s">
        <v>226</v>
      </c>
      <c r="D113" s="15" t="s">
        <v>534</v>
      </c>
      <c r="E113" s="15"/>
      <c r="F113" s="15"/>
      <c r="G113" s="15"/>
      <c r="H113" s="15" t="s">
        <v>49</v>
      </c>
      <c r="I113" s="15"/>
      <c r="J113" s="15" t="s">
        <v>554</v>
      </c>
    </row>
    <row r="114" spans="1:10" ht="42">
      <c r="A114" s="15" t="s">
        <v>555</v>
      </c>
      <c r="B114" s="15" t="s">
        <v>389</v>
      </c>
      <c r="C114" s="15" t="s">
        <v>226</v>
      </c>
      <c r="D114" s="15" t="s">
        <v>534</v>
      </c>
      <c r="E114" s="15"/>
      <c r="F114" s="15"/>
      <c r="G114" s="15"/>
      <c r="H114" s="15" t="s">
        <v>49</v>
      </c>
      <c r="I114" s="15"/>
      <c r="J114" s="15" t="s">
        <v>556</v>
      </c>
    </row>
    <row r="115" spans="1:10" ht="70">
      <c r="A115" s="15" t="s">
        <v>557</v>
      </c>
      <c r="B115" s="15" t="s">
        <v>397</v>
      </c>
      <c r="C115" s="15" t="s">
        <v>226</v>
      </c>
      <c r="D115" s="15" t="s">
        <v>534</v>
      </c>
      <c r="E115" s="15"/>
      <c r="F115" s="15"/>
      <c r="G115" s="15"/>
      <c r="H115" s="15" t="s">
        <v>49</v>
      </c>
      <c r="I115" s="15"/>
      <c r="J115" s="15" t="s">
        <v>558</v>
      </c>
    </row>
    <row r="116" spans="1:10" ht="56">
      <c r="A116" s="15" t="s">
        <v>559</v>
      </c>
      <c r="B116" s="15" t="s">
        <v>403</v>
      </c>
      <c r="C116" s="15" t="s">
        <v>226</v>
      </c>
      <c r="D116" s="15" t="s">
        <v>534</v>
      </c>
      <c r="E116" s="15"/>
      <c r="F116" s="15"/>
      <c r="G116" s="15"/>
      <c r="H116" s="15" t="s">
        <v>49</v>
      </c>
      <c r="I116" s="15"/>
      <c r="J116" s="15" t="s">
        <v>560</v>
      </c>
    </row>
  </sheetData>
  <dataValidations count="1">
    <dataValidation type="list" sqref="H2:H101" xr:uid="{00000000-0002-0000-0300-000000000000}">
      <formula1>"Yes,No,Partial,N/A"</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sheetViews>
  <sheetFormatPr defaultRowHeight="14"/>
  <sheetData>
    <row r="1" spans="1:4">
      <c r="A1" t="s">
        <v>29</v>
      </c>
      <c r="B1" t="s">
        <v>25</v>
      </c>
      <c r="C1" t="s">
        <v>9</v>
      </c>
      <c r="D1" t="s">
        <v>19</v>
      </c>
    </row>
    <row r="2" spans="1:4">
      <c r="A2" t="s">
        <v>61</v>
      </c>
      <c r="B2" t="s">
        <v>107</v>
      </c>
      <c r="C2" t="s">
        <v>38</v>
      </c>
      <c r="D2" t="s">
        <v>130</v>
      </c>
    </row>
    <row r="3" spans="1:4">
      <c r="A3" t="s">
        <v>46</v>
      </c>
      <c r="B3" t="s">
        <v>45</v>
      </c>
      <c r="C3" t="s">
        <v>73</v>
      </c>
      <c r="D3" t="s">
        <v>102</v>
      </c>
    </row>
    <row r="4" spans="1:4">
      <c r="A4" t="s">
        <v>11</v>
      </c>
      <c r="B4" t="s">
        <v>561</v>
      </c>
      <c r="C4" t="s">
        <v>101</v>
      </c>
      <c r="D4" t="s">
        <v>74</v>
      </c>
    </row>
    <row r="5" spans="1:4">
      <c r="A5" t="s">
        <v>12</v>
      </c>
      <c r="B5" t="s">
        <v>562</v>
      </c>
      <c r="C5" t="s">
        <v>129</v>
      </c>
      <c r="D5" t="s">
        <v>39</v>
      </c>
    </row>
    <row r="6" spans="1:4">
      <c r="A6" t="s">
        <v>563</v>
      </c>
      <c r="C6" t="s">
        <v>180</v>
      </c>
      <c r="D6" t="s">
        <v>227</v>
      </c>
    </row>
    <row r="7" spans="1:4">
      <c r="A7" t="s">
        <v>564</v>
      </c>
      <c r="C7" t="s">
        <v>203</v>
      </c>
    </row>
    <row r="8" spans="1:4">
      <c r="C8" t="s">
        <v>226</v>
      </c>
    </row>
    <row r="9" spans="1:4">
      <c r="C9" t="s">
        <v>254</v>
      </c>
    </row>
    <row r="10" spans="1:4">
      <c r="C10"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CQC Summary Report</vt:lpstr>
      <vt:lpstr>Master Action Plan</vt:lpstr>
      <vt:lpstr>Regulation Tracker</vt:lpstr>
      <vt:lpstr>Evidence Tracker</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Dursha Krishan</cp:lastModifiedBy>
  <dcterms:created xsi:type="dcterms:W3CDTF">2026-06-30T01:56:55Z</dcterms:created>
  <dcterms:modified xsi:type="dcterms:W3CDTF">2026-06-30T02:14:23Z</dcterms:modified>
</cp:coreProperties>
</file>