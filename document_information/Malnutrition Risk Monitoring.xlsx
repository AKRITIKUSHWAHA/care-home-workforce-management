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Provider Quality Team\Resource Library\Section F - Quality Assurance\Audits &amp; Oversight\"/>
    </mc:Choice>
  </mc:AlternateContent>
  <xr:revisionPtr revIDLastSave="0" documentId="13_ncr:1_{F5E39EDD-EF9F-487B-8A2D-9FDC6570EAA3}" xr6:coauthVersionLast="47" xr6:coauthVersionMax="47" xr10:uidLastSave="{00000000-0000-0000-0000-000000000000}"/>
  <bookViews>
    <workbookView xWindow="-120" yWindow="-120" windowWidth="29040" windowHeight="15720" xr2:uid="{94E658C3-2F9E-422D-8A3C-DCC47869F682}"/>
  </bookViews>
  <sheets>
    <sheet name="Guidance Sheet" sheetId="15" r:id="rId1"/>
    <sheet name="Weight Overview" sheetId="2" r:id="rId2"/>
    <sheet name="Jan" sheetId="1" r:id="rId3"/>
    <sheet name="Feb" sheetId="30" r:id="rId4"/>
    <sheet name="Mar" sheetId="31" r:id="rId5"/>
    <sheet name="Apr" sheetId="32" r:id="rId6"/>
    <sheet name="May" sheetId="33" r:id="rId7"/>
    <sheet name="Jun" sheetId="34" r:id="rId8"/>
    <sheet name="Jul" sheetId="35" r:id="rId9"/>
    <sheet name="Aug" sheetId="36" r:id="rId10"/>
    <sheet name="Sep" sheetId="37" r:id="rId11"/>
    <sheet name="Oct" sheetId="38" r:id="rId12"/>
    <sheet name="Nov" sheetId="39" r:id="rId13"/>
    <sheet name="Dec" sheetId="40" r:id="rId14"/>
    <sheet name="Action Plan" sheetId="17" r:id="rId15"/>
    <sheet name="Trend Analysis" sheetId="18" r:id="rId16"/>
    <sheet name="Validation" sheetId="3" state="hidden"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5" l="1"/>
  <c r="V11" i="18"/>
  <c r="N19" i="18"/>
  <c r="N20" i="18"/>
  <c r="N21" i="18"/>
  <c r="M22" i="18" a="1"/>
  <c r="M22" i="18" s="1"/>
  <c r="M14" i="18" a="1"/>
  <c r="M14" i="18" s="1"/>
  <c r="M18" i="18" a="1"/>
  <c r="M18" i="18" s="1"/>
  <c r="M10" i="18" a="1"/>
  <c r="M10" i="18" s="1"/>
  <c r="J10" i="18" a="1"/>
  <c r="J10" i="18" s="1"/>
  <c r="L10" i="18" a="1"/>
  <c r="L10" i="18" s="1"/>
  <c r="L22" i="18" a="1"/>
  <c r="L22" i="18" s="1"/>
  <c r="L18" i="18" a="1"/>
  <c r="L18" i="18" s="1"/>
  <c r="L14" i="18" a="1"/>
  <c r="L14" i="18" s="1"/>
  <c r="E8" i="38"/>
  <c r="F8" i="38"/>
  <c r="G8" i="38"/>
  <c r="H8" i="38" a="1"/>
  <c r="H8" i="38" s="1"/>
  <c r="I8" i="38" s="1"/>
  <c r="K22" i="18" a="1"/>
  <c r="K22" i="18" s="1"/>
  <c r="K18" i="18" a="1"/>
  <c r="K18" i="18" s="1"/>
  <c r="K14" i="18" a="1"/>
  <c r="K14" i="18" s="1"/>
  <c r="K10" i="18" a="1"/>
  <c r="K10" i="18" s="1"/>
  <c r="J22" i="18" a="1"/>
  <c r="J22" i="18" s="1"/>
  <c r="J18" i="18" a="1"/>
  <c r="J18" i="18" s="1"/>
  <c r="J14" i="18" a="1"/>
  <c r="J14" i="18" s="1"/>
  <c r="J15" i="18"/>
  <c r="J16" i="18"/>
  <c r="J17" i="18"/>
  <c r="C14" i="18" a="1"/>
  <c r="C14" i="18" s="1"/>
  <c r="C10" i="18" a="1"/>
  <c r="C10" i="18" s="1"/>
  <c r="C18" i="18" a="1"/>
  <c r="C18" i="18" s="1"/>
  <c r="C19" i="18"/>
  <c r="C20" i="18"/>
  <c r="C21" i="18"/>
  <c r="C22" i="18" a="1"/>
  <c r="C22" i="18" s="1"/>
  <c r="C15" i="18"/>
  <c r="J9" i="40"/>
  <c r="J10" i="40"/>
  <c r="J11" i="40"/>
  <c r="J12" i="40"/>
  <c r="J13" i="40"/>
  <c r="J14" i="40"/>
  <c r="J15" i="40"/>
  <c r="J16" i="40"/>
  <c r="J17" i="40"/>
  <c r="J18" i="40"/>
  <c r="J19" i="40"/>
  <c r="J20" i="40"/>
  <c r="J21" i="40"/>
  <c r="J22" i="40"/>
  <c r="J23" i="40"/>
  <c r="J24" i="40"/>
  <c r="J25" i="40"/>
  <c r="J26" i="40"/>
  <c r="J27" i="40"/>
  <c r="J28" i="40"/>
  <c r="J29" i="40"/>
  <c r="J30" i="40"/>
  <c r="J31" i="40"/>
  <c r="J32" i="40"/>
  <c r="J33" i="40"/>
  <c r="J34" i="40"/>
  <c r="J35" i="40"/>
  <c r="J36" i="40"/>
  <c r="J37" i="40"/>
  <c r="J38" i="40"/>
  <c r="J39" i="40"/>
  <c r="J40" i="40"/>
  <c r="J41" i="40"/>
  <c r="J42" i="40"/>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9" i="38"/>
  <c r="J10" i="38"/>
  <c r="J11" i="38"/>
  <c r="J12" i="38"/>
  <c r="J13" i="38"/>
  <c r="J14" i="38"/>
  <c r="J15" i="38"/>
  <c r="J16" i="38"/>
  <c r="J17" i="38"/>
  <c r="J18" i="38"/>
  <c r="J19" i="38"/>
  <c r="J20" i="38"/>
  <c r="J21" i="38"/>
  <c r="J22" i="38"/>
  <c r="J23" i="38"/>
  <c r="J24" i="38"/>
  <c r="J25" i="38"/>
  <c r="J26" i="38"/>
  <c r="J27" i="38"/>
  <c r="J28" i="38"/>
  <c r="J29" i="38"/>
  <c r="J30" i="38"/>
  <c r="J31" i="38"/>
  <c r="J32" i="38"/>
  <c r="J33" i="38"/>
  <c r="J34" i="38"/>
  <c r="J35" i="38"/>
  <c r="J36" i="38"/>
  <c r="J37" i="38"/>
  <c r="J38" i="38"/>
  <c r="J39" i="38"/>
  <c r="J40" i="38"/>
  <c r="J41" i="38"/>
  <c r="J42" i="38"/>
  <c r="J8" i="37"/>
  <c r="J9" i="37"/>
  <c r="J10" i="37"/>
  <c r="J11" i="37"/>
  <c r="J12" i="37"/>
  <c r="J13" i="37"/>
  <c r="J14" i="37"/>
  <c r="J15" i="37"/>
  <c r="J16" i="37"/>
  <c r="J17" i="37"/>
  <c r="J18" i="37"/>
  <c r="J19" i="37"/>
  <c r="J20" i="37"/>
  <c r="J21" i="37"/>
  <c r="J22" i="37"/>
  <c r="J23" i="37"/>
  <c r="J24" i="37"/>
  <c r="J25" i="37"/>
  <c r="J26" i="37"/>
  <c r="J27" i="37"/>
  <c r="J28" i="37"/>
  <c r="J29" i="37"/>
  <c r="J30" i="37"/>
  <c r="J31" i="37"/>
  <c r="J32" i="37"/>
  <c r="J33" i="37"/>
  <c r="J34" i="37"/>
  <c r="J35" i="37"/>
  <c r="J36" i="37"/>
  <c r="J37" i="37"/>
  <c r="J38" i="37"/>
  <c r="J39" i="37"/>
  <c r="J40" i="37"/>
  <c r="J41" i="37"/>
  <c r="J42" i="37"/>
  <c r="J8" i="36"/>
  <c r="J9" i="36"/>
  <c r="J10" i="36"/>
  <c r="J11" i="36"/>
  <c r="J12" i="36"/>
  <c r="J13" i="36"/>
  <c r="J14" i="36"/>
  <c r="J15" i="36"/>
  <c r="J16" i="36"/>
  <c r="J17" i="36"/>
  <c r="J18" i="36"/>
  <c r="J19" i="36"/>
  <c r="J20" i="36"/>
  <c r="J21" i="36"/>
  <c r="J22" i="36"/>
  <c r="J23" i="36"/>
  <c r="J24" i="36"/>
  <c r="J25" i="36"/>
  <c r="J26" i="36"/>
  <c r="J27" i="36"/>
  <c r="J28" i="36"/>
  <c r="J29" i="36"/>
  <c r="J30" i="36"/>
  <c r="J31" i="36"/>
  <c r="J32" i="36"/>
  <c r="J33" i="36"/>
  <c r="J34" i="36"/>
  <c r="J35" i="36"/>
  <c r="J36" i="36"/>
  <c r="J37" i="36"/>
  <c r="J38" i="36"/>
  <c r="J39" i="36"/>
  <c r="J40" i="36"/>
  <c r="J41" i="36"/>
  <c r="J42" i="36"/>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G9" i="35"/>
  <c r="G8"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J8" i="34"/>
  <c r="J9" i="34"/>
  <c r="J10" i="34"/>
  <c r="J11" i="34"/>
  <c r="J12" i="34"/>
  <c r="J13" i="34"/>
  <c r="J14" i="34"/>
  <c r="J15" i="34"/>
  <c r="J16" i="34"/>
  <c r="J17" i="34"/>
  <c r="J18" i="34"/>
  <c r="J19" i="34"/>
  <c r="J20" i="34"/>
  <c r="J21" i="34"/>
  <c r="J22" i="34"/>
  <c r="J23" i="34"/>
  <c r="J24" i="34"/>
  <c r="J25" i="34"/>
  <c r="J26" i="34"/>
  <c r="J27" i="34"/>
  <c r="J28" i="34"/>
  <c r="J29" i="34"/>
  <c r="J30" i="34"/>
  <c r="J31" i="34"/>
  <c r="J32" i="34"/>
  <c r="J33" i="34"/>
  <c r="J34" i="34"/>
  <c r="J35" i="34"/>
  <c r="J36" i="34"/>
  <c r="J37" i="34"/>
  <c r="J38" i="34"/>
  <c r="J39" i="34"/>
  <c r="J40" i="34"/>
  <c r="J41" i="34"/>
  <c r="J42" i="34"/>
  <c r="J8" i="33"/>
  <c r="J9" i="33"/>
  <c r="J10" i="33"/>
  <c r="J11" i="33"/>
  <c r="J12" i="33"/>
  <c r="J13" i="33"/>
  <c r="J14" i="33"/>
  <c r="J15" i="33"/>
  <c r="J16" i="33"/>
  <c r="J17" i="33"/>
  <c r="J18" i="33"/>
  <c r="J19" i="33"/>
  <c r="J20" i="33"/>
  <c r="J21" i="33"/>
  <c r="J22" i="33"/>
  <c r="J23" i="33"/>
  <c r="J24" i="33"/>
  <c r="J25" i="33"/>
  <c r="J26" i="33"/>
  <c r="J27" i="33"/>
  <c r="J28" i="33"/>
  <c r="J29" i="33"/>
  <c r="J30" i="33"/>
  <c r="J31" i="33"/>
  <c r="J32" i="33"/>
  <c r="J33" i="33"/>
  <c r="J34" i="33"/>
  <c r="J35" i="33"/>
  <c r="J36" i="33"/>
  <c r="J37" i="33"/>
  <c r="J38" i="33"/>
  <c r="J39" i="33"/>
  <c r="J40" i="33"/>
  <c r="J41" i="33"/>
  <c r="J42" i="33"/>
  <c r="J8" i="32"/>
  <c r="J10" i="32"/>
  <c r="J11" i="32"/>
  <c r="J12" i="32"/>
  <c r="J13" i="32"/>
  <c r="J14" i="32"/>
  <c r="J15" i="32"/>
  <c r="J16" i="32"/>
  <c r="J17" i="32"/>
  <c r="J18" i="32"/>
  <c r="J19" i="32"/>
  <c r="J20" i="32"/>
  <c r="J21" i="32"/>
  <c r="J22" i="32"/>
  <c r="J23" i="32"/>
  <c r="J24" i="32"/>
  <c r="J25" i="32"/>
  <c r="J26" i="32"/>
  <c r="J27" i="32"/>
  <c r="J28" i="32"/>
  <c r="J29" i="32"/>
  <c r="J30" i="32"/>
  <c r="J31" i="32"/>
  <c r="J32" i="32"/>
  <c r="J33" i="32"/>
  <c r="J34" i="32"/>
  <c r="J35" i="32"/>
  <c r="J36" i="32"/>
  <c r="J37" i="32"/>
  <c r="J38" i="32"/>
  <c r="J39" i="32"/>
  <c r="J40" i="32"/>
  <c r="J41" i="32"/>
  <c r="J42" i="32"/>
  <c r="J8" i="31"/>
  <c r="J9" i="31"/>
  <c r="J10" i="31"/>
  <c r="J11" i="31"/>
  <c r="J12" i="31"/>
  <c r="J13" i="31"/>
  <c r="J14" i="31"/>
  <c r="J15" i="31"/>
  <c r="J16" i="31"/>
  <c r="J17" i="31"/>
  <c r="J18" i="31"/>
  <c r="J19" i="31"/>
  <c r="J20" i="31"/>
  <c r="J21" i="31"/>
  <c r="J22" i="31"/>
  <c r="J23" i="31"/>
  <c r="J24" i="31"/>
  <c r="J25" i="31"/>
  <c r="J26" i="31"/>
  <c r="J27" i="31"/>
  <c r="J28" i="31"/>
  <c r="J29" i="31"/>
  <c r="J30" i="31"/>
  <c r="J31" i="31"/>
  <c r="J32" i="31"/>
  <c r="J33" i="31"/>
  <c r="J34" i="31"/>
  <c r="J35" i="31"/>
  <c r="J36" i="31"/>
  <c r="J37" i="31"/>
  <c r="J38" i="31"/>
  <c r="J39" i="31"/>
  <c r="J40" i="31"/>
  <c r="J41" i="31"/>
  <c r="J42" i="31"/>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G8" i="40"/>
  <c r="G9" i="40"/>
  <c r="G10" i="40"/>
  <c r="G11" i="40"/>
  <c r="G12" i="40"/>
  <c r="G13" i="40"/>
  <c r="G14" i="40"/>
  <c r="G15" i="40"/>
  <c r="G16" i="40"/>
  <c r="G17" i="40"/>
  <c r="G18" i="40"/>
  <c r="G19" i="40"/>
  <c r="G20" i="40"/>
  <c r="G21" i="40"/>
  <c r="G22" i="40"/>
  <c r="G23" i="40"/>
  <c r="G24" i="40"/>
  <c r="G25" i="40"/>
  <c r="G26" i="40"/>
  <c r="G27" i="40"/>
  <c r="G28" i="40"/>
  <c r="G29" i="40"/>
  <c r="G30" i="40"/>
  <c r="G31" i="40"/>
  <c r="G32" i="40"/>
  <c r="G33" i="40"/>
  <c r="G34" i="40"/>
  <c r="G35" i="40"/>
  <c r="G36" i="40"/>
  <c r="G37" i="40"/>
  <c r="G38" i="40"/>
  <c r="G39" i="40"/>
  <c r="G40" i="40"/>
  <c r="G41" i="40"/>
  <c r="G42" i="40"/>
  <c r="F8" i="40"/>
  <c r="F9" i="40"/>
  <c r="F10" i="40"/>
  <c r="F11" i="40"/>
  <c r="F12" i="40"/>
  <c r="F13" i="40"/>
  <c r="F14" i="40"/>
  <c r="F15" i="40"/>
  <c r="F16" i="40"/>
  <c r="F17" i="40"/>
  <c r="F18" i="40"/>
  <c r="F19" i="40"/>
  <c r="F20" i="40"/>
  <c r="F21" i="40"/>
  <c r="F22" i="40"/>
  <c r="F23" i="40"/>
  <c r="F24" i="40"/>
  <c r="F25" i="40"/>
  <c r="F26" i="40"/>
  <c r="F27" i="40"/>
  <c r="F28" i="40"/>
  <c r="F29" i="40"/>
  <c r="F30" i="40"/>
  <c r="F31" i="40"/>
  <c r="F32" i="40"/>
  <c r="F33" i="40"/>
  <c r="F34" i="40"/>
  <c r="F35" i="40"/>
  <c r="F36" i="40"/>
  <c r="F37" i="40"/>
  <c r="F38" i="40"/>
  <c r="F39" i="40"/>
  <c r="F40" i="40"/>
  <c r="F41" i="40"/>
  <c r="F42" i="40"/>
  <c r="G9" i="39"/>
  <c r="G10" i="39"/>
  <c r="G11" i="39"/>
  <c r="G12" i="39"/>
  <c r="G13" i="39"/>
  <c r="G14" i="39"/>
  <c r="G15" i="39"/>
  <c r="G16" i="39"/>
  <c r="G17" i="39"/>
  <c r="G18" i="39"/>
  <c r="G19" i="39"/>
  <c r="G20" i="39"/>
  <c r="G21" i="39"/>
  <c r="G22" i="39"/>
  <c r="G23" i="39"/>
  <c r="G24" i="39"/>
  <c r="G25" i="39"/>
  <c r="G26" i="39"/>
  <c r="G27" i="39"/>
  <c r="G28" i="39"/>
  <c r="G29" i="39"/>
  <c r="G30" i="39"/>
  <c r="G31" i="39"/>
  <c r="G32" i="39"/>
  <c r="G33" i="39"/>
  <c r="G34" i="39"/>
  <c r="G35" i="39"/>
  <c r="G36" i="39"/>
  <c r="G37" i="39"/>
  <c r="G38" i="39"/>
  <c r="G39" i="39"/>
  <c r="G40" i="39"/>
  <c r="G41" i="39"/>
  <c r="G42"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G9" i="38"/>
  <c r="G10" i="38"/>
  <c r="G11" i="38"/>
  <c r="G12" i="38"/>
  <c r="G13" i="38"/>
  <c r="G14" i="38"/>
  <c r="G15" i="38"/>
  <c r="G16" i="38"/>
  <c r="G17" i="38"/>
  <c r="G18" i="38"/>
  <c r="G19" i="38"/>
  <c r="G20" i="38"/>
  <c r="G21" i="38"/>
  <c r="G22" i="38"/>
  <c r="G23" i="38"/>
  <c r="G24" i="38"/>
  <c r="G25" i="38"/>
  <c r="G26" i="38"/>
  <c r="G27" i="38"/>
  <c r="G28" i="38"/>
  <c r="G29" i="38"/>
  <c r="G30" i="38"/>
  <c r="G31" i="38"/>
  <c r="G32" i="38"/>
  <c r="G33" i="38"/>
  <c r="G34" i="38"/>
  <c r="G35" i="38"/>
  <c r="G36" i="38"/>
  <c r="G37" i="38"/>
  <c r="G38" i="38"/>
  <c r="G39" i="38"/>
  <c r="G40" i="38"/>
  <c r="G41" i="38"/>
  <c r="G42" i="38"/>
  <c r="F9" i="38"/>
  <c r="F10" i="38"/>
  <c r="F11" i="38"/>
  <c r="F12" i="38"/>
  <c r="F13" i="38"/>
  <c r="F14" i="38"/>
  <c r="F15" i="38"/>
  <c r="F16" i="38"/>
  <c r="F17" i="38"/>
  <c r="F18" i="38"/>
  <c r="F19" i="38"/>
  <c r="F20" i="38"/>
  <c r="F21" i="38"/>
  <c r="F22" i="38"/>
  <c r="F23" i="38"/>
  <c r="F24" i="38"/>
  <c r="F25" i="38"/>
  <c r="F26" i="38"/>
  <c r="F27" i="38"/>
  <c r="F28" i="38"/>
  <c r="F29" i="38"/>
  <c r="F30" i="38"/>
  <c r="F31" i="38"/>
  <c r="F32" i="38"/>
  <c r="F33" i="38"/>
  <c r="F34" i="38"/>
  <c r="F35" i="38"/>
  <c r="F36" i="38"/>
  <c r="F37" i="38"/>
  <c r="F38" i="38"/>
  <c r="F39" i="38"/>
  <c r="F40" i="38"/>
  <c r="F41" i="38"/>
  <c r="F42" i="38"/>
  <c r="G8" i="37"/>
  <c r="G9" i="37"/>
  <c r="G10" i="37"/>
  <c r="G11" i="37"/>
  <c r="G12" i="37"/>
  <c r="G13" i="37"/>
  <c r="G14" i="37"/>
  <c r="G15" i="37"/>
  <c r="G16" i="37"/>
  <c r="G17" i="37"/>
  <c r="G18" i="37"/>
  <c r="G19" i="37"/>
  <c r="G20" i="37"/>
  <c r="G21" i="37"/>
  <c r="G22" i="37"/>
  <c r="G23" i="37"/>
  <c r="G24" i="37"/>
  <c r="G25" i="37"/>
  <c r="G26" i="37"/>
  <c r="G27" i="37"/>
  <c r="G28" i="37"/>
  <c r="G29" i="37"/>
  <c r="G30" i="37"/>
  <c r="G31" i="37"/>
  <c r="G32" i="37"/>
  <c r="G33" i="37"/>
  <c r="G34" i="37"/>
  <c r="G35" i="37"/>
  <c r="G36" i="37"/>
  <c r="G37" i="37"/>
  <c r="G38" i="37"/>
  <c r="G39" i="37"/>
  <c r="G40" i="37"/>
  <c r="G41" i="37"/>
  <c r="G42" i="37"/>
  <c r="F8" i="37"/>
  <c r="F9" i="37"/>
  <c r="F10" i="37"/>
  <c r="F11" i="37"/>
  <c r="F12" i="37"/>
  <c r="F13" i="37"/>
  <c r="F14" i="37"/>
  <c r="F15" i="37"/>
  <c r="F16" i="37"/>
  <c r="F17" i="37"/>
  <c r="F18" i="37"/>
  <c r="F19" i="37"/>
  <c r="F20" i="37"/>
  <c r="F21" i="37"/>
  <c r="F22" i="37"/>
  <c r="F23" i="37"/>
  <c r="F24" i="37"/>
  <c r="F25" i="37"/>
  <c r="F26" i="37"/>
  <c r="F27" i="37"/>
  <c r="F28" i="37"/>
  <c r="F29" i="37"/>
  <c r="F30" i="37"/>
  <c r="F31" i="37"/>
  <c r="F32" i="37"/>
  <c r="F33" i="37"/>
  <c r="F34" i="37"/>
  <c r="F35" i="37"/>
  <c r="F36" i="37"/>
  <c r="F37" i="37"/>
  <c r="F38" i="37"/>
  <c r="F39" i="37"/>
  <c r="F40" i="37"/>
  <c r="F41" i="37"/>
  <c r="F42" i="37"/>
  <c r="G8" i="36"/>
  <c r="G9" i="36"/>
  <c r="G10" i="36"/>
  <c r="G11" i="36"/>
  <c r="G12" i="36"/>
  <c r="G13" i="36"/>
  <c r="G14" i="36"/>
  <c r="G15" i="36"/>
  <c r="G16" i="36"/>
  <c r="G17" i="36"/>
  <c r="G18" i="36"/>
  <c r="G19" i="36"/>
  <c r="G20" i="36"/>
  <c r="G21" i="36"/>
  <c r="G22" i="36"/>
  <c r="G23" i="36"/>
  <c r="G24" i="36"/>
  <c r="G25" i="36"/>
  <c r="G26" i="36"/>
  <c r="G27" i="36"/>
  <c r="G28" i="36"/>
  <c r="G29" i="36"/>
  <c r="G30" i="36"/>
  <c r="G31" i="36"/>
  <c r="G32" i="36"/>
  <c r="G33" i="36"/>
  <c r="G34" i="36"/>
  <c r="G35" i="36"/>
  <c r="G36" i="36"/>
  <c r="G37" i="36"/>
  <c r="G38" i="36"/>
  <c r="G39" i="36"/>
  <c r="G40" i="36"/>
  <c r="G41" i="36"/>
  <c r="G42" i="36"/>
  <c r="F8" i="36"/>
  <c r="F9" i="36"/>
  <c r="F10" i="36"/>
  <c r="F11" i="36"/>
  <c r="F12" i="36"/>
  <c r="F13" i="36"/>
  <c r="F14" i="36"/>
  <c r="F15" i="36"/>
  <c r="F16" i="36"/>
  <c r="F17" i="36"/>
  <c r="F18" i="36"/>
  <c r="F19" i="36"/>
  <c r="F20" i="36"/>
  <c r="F21" i="36"/>
  <c r="F22" i="36"/>
  <c r="F23" i="36"/>
  <c r="F24" i="36"/>
  <c r="F25" i="36"/>
  <c r="F26" i="36"/>
  <c r="F27" i="36"/>
  <c r="F28" i="36"/>
  <c r="F29" i="36"/>
  <c r="F30" i="36"/>
  <c r="F31" i="36"/>
  <c r="F32" i="36"/>
  <c r="F33" i="36"/>
  <c r="F34" i="36"/>
  <c r="F35" i="36"/>
  <c r="F36" i="36"/>
  <c r="F37" i="36"/>
  <c r="F38" i="36"/>
  <c r="F39" i="36"/>
  <c r="F40" i="36"/>
  <c r="F41" i="36"/>
  <c r="F42" i="36"/>
  <c r="F8" i="35"/>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42" i="35"/>
  <c r="G8" i="34"/>
  <c r="G9" i="34"/>
  <c r="G10" i="34"/>
  <c r="G11" i="34"/>
  <c r="G12" i="34"/>
  <c r="G13" i="34"/>
  <c r="G14" i="34"/>
  <c r="G15" i="34"/>
  <c r="G16" i="34"/>
  <c r="G17" i="34"/>
  <c r="G18" i="34"/>
  <c r="G19" i="34"/>
  <c r="G20" i="34"/>
  <c r="G21" i="34"/>
  <c r="G22" i="34"/>
  <c r="G23" i="34"/>
  <c r="G24" i="34"/>
  <c r="G25" i="34"/>
  <c r="G26" i="34"/>
  <c r="G27" i="34"/>
  <c r="G28" i="34"/>
  <c r="G29" i="34"/>
  <c r="G30" i="34"/>
  <c r="G31" i="34"/>
  <c r="G32" i="34"/>
  <c r="G33" i="34"/>
  <c r="G34" i="34"/>
  <c r="G35" i="34"/>
  <c r="G36" i="34"/>
  <c r="G37" i="34"/>
  <c r="G38" i="34"/>
  <c r="G39" i="34"/>
  <c r="G40" i="34"/>
  <c r="G41" i="34"/>
  <c r="G42" i="34"/>
  <c r="F8" i="34"/>
  <c r="F9" i="34"/>
  <c r="F10" i="34"/>
  <c r="F11" i="34"/>
  <c r="F12" i="34"/>
  <c r="F13" i="34"/>
  <c r="F14" i="34"/>
  <c r="F15" i="34"/>
  <c r="F16" i="34"/>
  <c r="F17" i="34"/>
  <c r="F18" i="34"/>
  <c r="F19" i="34"/>
  <c r="F20" i="34"/>
  <c r="F21" i="34"/>
  <c r="F22" i="34"/>
  <c r="F23" i="34"/>
  <c r="F24" i="34"/>
  <c r="F25" i="34"/>
  <c r="F26" i="34"/>
  <c r="F27" i="34"/>
  <c r="F28" i="34"/>
  <c r="F29" i="34"/>
  <c r="F30" i="34"/>
  <c r="F31" i="34"/>
  <c r="F32" i="34"/>
  <c r="F33" i="34"/>
  <c r="F34" i="34"/>
  <c r="F35" i="34"/>
  <c r="F36" i="34"/>
  <c r="F37" i="34"/>
  <c r="F38" i="34"/>
  <c r="F39" i="34"/>
  <c r="F40" i="34"/>
  <c r="F41" i="34"/>
  <c r="F42" i="34"/>
  <c r="G8" i="33"/>
  <c r="G9" i="33"/>
  <c r="G10" i="33"/>
  <c r="G11" i="33"/>
  <c r="G12" i="33"/>
  <c r="G13" i="33"/>
  <c r="G14" i="33"/>
  <c r="G15" i="33"/>
  <c r="G16" i="33"/>
  <c r="G17" i="33"/>
  <c r="G18" i="33"/>
  <c r="G19" i="33"/>
  <c r="G20" i="33"/>
  <c r="G21" i="33"/>
  <c r="G22" i="33"/>
  <c r="G23" i="33"/>
  <c r="G24" i="33"/>
  <c r="G25" i="33"/>
  <c r="G26" i="33"/>
  <c r="G27" i="33"/>
  <c r="G28" i="33"/>
  <c r="G29" i="33"/>
  <c r="G30" i="33"/>
  <c r="G31" i="33"/>
  <c r="G32" i="33"/>
  <c r="G33" i="33"/>
  <c r="G34" i="33"/>
  <c r="G35" i="33"/>
  <c r="G36" i="33"/>
  <c r="G37" i="33"/>
  <c r="G38" i="33"/>
  <c r="G39" i="33"/>
  <c r="G40" i="33"/>
  <c r="G41" i="33"/>
  <c r="G42"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G8" i="32"/>
  <c r="G9" i="32"/>
  <c r="G10" i="32"/>
  <c r="G11" i="32"/>
  <c r="G12" i="32"/>
  <c r="G13" i="32"/>
  <c r="G14" i="32"/>
  <c r="G15" i="32"/>
  <c r="G16" i="32"/>
  <c r="G17" i="32"/>
  <c r="G18" i="32"/>
  <c r="G19" i="32"/>
  <c r="G20" i="32"/>
  <c r="G21" i="32"/>
  <c r="G22" i="32"/>
  <c r="G23" i="32"/>
  <c r="G24" i="32"/>
  <c r="G25" i="32"/>
  <c r="G26" i="32"/>
  <c r="G27" i="32"/>
  <c r="G28" i="32"/>
  <c r="G29" i="32"/>
  <c r="G30" i="32"/>
  <c r="G31" i="32"/>
  <c r="G32" i="32"/>
  <c r="G33" i="32"/>
  <c r="G34" i="32"/>
  <c r="G35" i="32"/>
  <c r="G36" i="32"/>
  <c r="G37" i="32"/>
  <c r="G38" i="32"/>
  <c r="G39" i="32"/>
  <c r="G40" i="32"/>
  <c r="G41" i="32"/>
  <c r="G42" i="32"/>
  <c r="F8" i="32"/>
  <c r="F9" i="32"/>
  <c r="F10" i="32"/>
  <c r="F11" i="32"/>
  <c r="F12" i="32"/>
  <c r="F13" i="32"/>
  <c r="F14" i="32"/>
  <c r="F15" i="32"/>
  <c r="F16" i="32"/>
  <c r="F17" i="32"/>
  <c r="F18" i="32"/>
  <c r="F19" i="32"/>
  <c r="F20" i="32"/>
  <c r="F21" i="32"/>
  <c r="F22" i="32"/>
  <c r="F23" i="32"/>
  <c r="F24" i="32"/>
  <c r="F25" i="32"/>
  <c r="F26" i="32"/>
  <c r="F27" i="32"/>
  <c r="F28" i="32"/>
  <c r="F29" i="32"/>
  <c r="F30" i="32"/>
  <c r="F31" i="32"/>
  <c r="F32" i="32"/>
  <c r="F33" i="32"/>
  <c r="F34" i="32"/>
  <c r="F35" i="32"/>
  <c r="F36" i="32"/>
  <c r="F37" i="32"/>
  <c r="F38" i="32"/>
  <c r="F39" i="32"/>
  <c r="F40" i="32"/>
  <c r="F41" i="32"/>
  <c r="F42" i="32"/>
  <c r="G8" i="31"/>
  <c r="G9" i="31"/>
  <c r="G10" i="31"/>
  <c r="G11" i="31"/>
  <c r="G12" i="31"/>
  <c r="G13" i="31"/>
  <c r="G14" i="31"/>
  <c r="G15" i="31"/>
  <c r="G16" i="31"/>
  <c r="G17" i="31"/>
  <c r="G18" i="31"/>
  <c r="G19" i="31"/>
  <c r="G20" i="31"/>
  <c r="G21" i="31"/>
  <c r="G22" i="31"/>
  <c r="G23" i="31"/>
  <c r="G24" i="31"/>
  <c r="G25" i="31"/>
  <c r="G26" i="31"/>
  <c r="G27" i="31"/>
  <c r="G28" i="31"/>
  <c r="G29" i="31"/>
  <c r="G30" i="31"/>
  <c r="G31" i="31"/>
  <c r="G32" i="31"/>
  <c r="G33" i="31"/>
  <c r="G34" i="31"/>
  <c r="G35" i="31"/>
  <c r="G36" i="31"/>
  <c r="G37" i="31"/>
  <c r="G38" i="31"/>
  <c r="G39" i="31"/>
  <c r="G40" i="31"/>
  <c r="G41" i="31"/>
  <c r="G42" i="31"/>
  <c r="F8" i="31"/>
  <c r="F9" i="31"/>
  <c r="F10" i="31"/>
  <c r="F11" i="31"/>
  <c r="F12" i="31"/>
  <c r="F13" i="31"/>
  <c r="F14" i="31"/>
  <c r="F15" i="31"/>
  <c r="F16" i="31"/>
  <c r="F17" i="31"/>
  <c r="F18" i="31"/>
  <c r="F19" i="31"/>
  <c r="F20" i="31"/>
  <c r="F21" i="31"/>
  <c r="F22" i="31"/>
  <c r="F23" i="31"/>
  <c r="F24" i="31"/>
  <c r="F25" i="31"/>
  <c r="F26" i="31"/>
  <c r="F27" i="31"/>
  <c r="F28" i="31"/>
  <c r="F29" i="31"/>
  <c r="F30" i="31"/>
  <c r="F31" i="31"/>
  <c r="F32" i="31"/>
  <c r="F33" i="31"/>
  <c r="F34" i="31"/>
  <c r="F35" i="31"/>
  <c r="F36" i="31"/>
  <c r="F37" i="31"/>
  <c r="F38" i="31"/>
  <c r="F39" i="31"/>
  <c r="F40" i="31"/>
  <c r="F41" i="31"/>
  <c r="F42" i="31"/>
  <c r="G10" i="30"/>
  <c r="G11" i="30"/>
  <c r="G12" i="30"/>
  <c r="G13" i="30"/>
  <c r="G14" i="30"/>
  <c r="G15" i="30"/>
  <c r="G16" i="30"/>
  <c r="G17" i="30"/>
  <c r="G18" i="30"/>
  <c r="G19" i="30"/>
  <c r="G20" i="30"/>
  <c r="G21" i="30"/>
  <c r="G22" i="30"/>
  <c r="G23" i="30"/>
  <c r="G24" i="30"/>
  <c r="G25" i="30"/>
  <c r="G26" i="30"/>
  <c r="G27" i="30"/>
  <c r="G28" i="30"/>
  <c r="G29" i="30"/>
  <c r="G30" i="30"/>
  <c r="G31" i="30"/>
  <c r="G32" i="30"/>
  <c r="G33" i="30"/>
  <c r="G34" i="30"/>
  <c r="G35" i="30"/>
  <c r="G36" i="30"/>
  <c r="G37" i="30"/>
  <c r="G38" i="30"/>
  <c r="G39" i="30"/>
  <c r="G40" i="30"/>
  <c r="G41" i="30"/>
  <c r="G42" i="30"/>
  <c r="F10" i="30"/>
  <c r="F11" i="30"/>
  <c r="F12" i="30"/>
  <c r="F13" i="30"/>
  <c r="F14" i="30"/>
  <c r="F15" i="30"/>
  <c r="F16" i="30"/>
  <c r="F17" i="30"/>
  <c r="F18" i="30"/>
  <c r="F19" i="30"/>
  <c r="F20" i="30"/>
  <c r="F21" i="30"/>
  <c r="F22" i="30"/>
  <c r="F23" i="30"/>
  <c r="F24" i="30"/>
  <c r="F25" i="30"/>
  <c r="F26" i="30"/>
  <c r="F27" i="30"/>
  <c r="F28" i="30"/>
  <c r="F29" i="30"/>
  <c r="F30" i="30"/>
  <c r="F31" i="30"/>
  <c r="F32" i="30"/>
  <c r="F33" i="30"/>
  <c r="F34" i="30"/>
  <c r="F35" i="30"/>
  <c r="F36" i="30"/>
  <c r="F37" i="30"/>
  <c r="F38" i="30"/>
  <c r="F39" i="30"/>
  <c r="F40" i="30"/>
  <c r="F41" i="30"/>
  <c r="F42" i="30"/>
  <c r="F8" i="1"/>
  <c r="I9" i="40"/>
  <c r="I10" i="40"/>
  <c r="I11" i="40"/>
  <c r="I12" i="40"/>
  <c r="I13" i="40"/>
  <c r="I14" i="40"/>
  <c r="I15" i="40"/>
  <c r="I16" i="40"/>
  <c r="I17" i="40"/>
  <c r="I18" i="40"/>
  <c r="I19" i="40"/>
  <c r="I20" i="40"/>
  <c r="I21" i="40"/>
  <c r="I22" i="40"/>
  <c r="I23" i="40"/>
  <c r="I24" i="40"/>
  <c r="I25" i="40"/>
  <c r="I26" i="40"/>
  <c r="I27" i="40"/>
  <c r="I28" i="40"/>
  <c r="I29" i="40"/>
  <c r="I30" i="40"/>
  <c r="I31" i="40"/>
  <c r="I32" i="40"/>
  <c r="I33" i="40"/>
  <c r="I34" i="40"/>
  <c r="I35" i="40"/>
  <c r="I36" i="40"/>
  <c r="I37" i="40"/>
  <c r="I38" i="40"/>
  <c r="I39" i="40"/>
  <c r="I40" i="40"/>
  <c r="I41" i="40"/>
  <c r="I42" i="40"/>
  <c r="H8" i="40" a="1"/>
  <c r="H8" i="40" s="1"/>
  <c r="J8" i="40" s="1"/>
  <c r="H9" i="40" a="1"/>
  <c r="H9" i="40" s="1"/>
  <c r="H10" i="40" a="1"/>
  <c r="H10" i="40" s="1"/>
  <c r="H11" i="40" a="1"/>
  <c r="H11" i="40" s="1"/>
  <c r="H12" i="40" a="1"/>
  <c r="H12" i="40" s="1"/>
  <c r="H13" i="40" a="1"/>
  <c r="H13" i="40" s="1"/>
  <c r="H14" i="40" a="1"/>
  <c r="H14" i="40" s="1"/>
  <c r="H15" i="40" a="1"/>
  <c r="H15" i="40" s="1"/>
  <c r="H16" i="40" a="1"/>
  <c r="H16" i="40" s="1"/>
  <c r="H17" i="40" a="1"/>
  <c r="H17" i="40" s="1"/>
  <c r="H18" i="40" a="1"/>
  <c r="H18" i="40" s="1"/>
  <c r="H19" i="40" a="1"/>
  <c r="H19" i="40" s="1"/>
  <c r="H20" i="40" a="1"/>
  <c r="H20" i="40" s="1"/>
  <c r="H21" i="40" a="1"/>
  <c r="H21" i="40" s="1"/>
  <c r="H22" i="40" a="1"/>
  <c r="H22" i="40" s="1"/>
  <c r="H23" i="40" a="1"/>
  <c r="H23" i="40" s="1"/>
  <c r="H24" i="40" a="1"/>
  <c r="H24" i="40" s="1"/>
  <c r="H25" i="40" a="1"/>
  <c r="H25" i="40" s="1"/>
  <c r="H26" i="40" a="1"/>
  <c r="H26" i="40" s="1"/>
  <c r="H27" i="40" a="1"/>
  <c r="H27" i="40" s="1"/>
  <c r="H28" i="40" a="1"/>
  <c r="H28" i="40" s="1"/>
  <c r="H29" i="40" a="1"/>
  <c r="H29" i="40" s="1"/>
  <c r="H30" i="40" a="1"/>
  <c r="H30" i="40" s="1"/>
  <c r="H31" i="40" a="1"/>
  <c r="H31" i="40" s="1"/>
  <c r="H32" i="40" a="1"/>
  <c r="H32" i="40" s="1"/>
  <c r="H33" i="40" a="1"/>
  <c r="H33" i="40" s="1"/>
  <c r="H34" i="40" a="1"/>
  <c r="H34" i="40" s="1"/>
  <c r="H35" i="40" a="1"/>
  <c r="H35" i="40" s="1"/>
  <c r="H36" i="40" a="1"/>
  <c r="H36" i="40" s="1"/>
  <c r="H37" i="40" a="1"/>
  <c r="H37" i="40" s="1"/>
  <c r="H38" i="40" a="1"/>
  <c r="H38" i="40" s="1"/>
  <c r="H39" i="40" a="1"/>
  <c r="H39" i="40" s="1"/>
  <c r="H40" i="40" a="1"/>
  <c r="H40" i="40" s="1"/>
  <c r="H41" i="40" a="1"/>
  <c r="H41" i="40" s="1"/>
  <c r="H42" i="40" a="1"/>
  <c r="H42" i="40" s="1"/>
  <c r="H8" i="39" a="1"/>
  <c r="H8" i="39" s="1"/>
  <c r="I8" i="39" s="1"/>
  <c r="H9" i="39" a="1"/>
  <c r="H9" i="39" s="1"/>
  <c r="H10" i="39" a="1"/>
  <c r="H10" i="39" s="1"/>
  <c r="H11" i="39" a="1"/>
  <c r="H11" i="39" s="1"/>
  <c r="H12" i="39" a="1"/>
  <c r="H12" i="39" s="1"/>
  <c r="H13" i="39" a="1"/>
  <c r="H13" i="39" s="1"/>
  <c r="H14" i="39" a="1"/>
  <c r="H14" i="39" s="1"/>
  <c r="H15" i="39" a="1"/>
  <c r="H15" i="39" s="1"/>
  <c r="H16" i="39" a="1"/>
  <c r="H16" i="39" s="1"/>
  <c r="H17" i="39" a="1"/>
  <c r="H17" i="39" s="1"/>
  <c r="H18" i="39" a="1"/>
  <c r="H18" i="39" s="1"/>
  <c r="H19" i="39" a="1"/>
  <c r="H19" i="39" s="1"/>
  <c r="H20" i="39" a="1"/>
  <c r="H20" i="39" s="1"/>
  <c r="H21" i="39" a="1"/>
  <c r="H21" i="39" s="1"/>
  <c r="H22" i="39" a="1"/>
  <c r="H22" i="39" s="1"/>
  <c r="H23" i="39" a="1"/>
  <c r="H23" i="39" s="1"/>
  <c r="H24" i="39" a="1"/>
  <c r="H24" i="39" s="1"/>
  <c r="H25" i="39" a="1"/>
  <c r="H25" i="39" s="1"/>
  <c r="H26" i="39" a="1"/>
  <c r="H26" i="39" s="1"/>
  <c r="H27" i="39" a="1"/>
  <c r="H27" i="39" s="1"/>
  <c r="H28" i="39" a="1"/>
  <c r="H28" i="39" s="1"/>
  <c r="H29" i="39" a="1"/>
  <c r="H29" i="39" s="1"/>
  <c r="H30" i="39" a="1"/>
  <c r="H30" i="39" s="1"/>
  <c r="H31" i="39" a="1"/>
  <c r="H31" i="39" s="1"/>
  <c r="H32" i="39" a="1"/>
  <c r="H32" i="39" s="1"/>
  <c r="H33" i="39" a="1"/>
  <c r="H33" i="39" s="1"/>
  <c r="H34" i="39" a="1"/>
  <c r="H34" i="39" s="1"/>
  <c r="H35" i="39" a="1"/>
  <c r="H35" i="39" s="1"/>
  <c r="H36" i="39" a="1"/>
  <c r="H36" i="39" s="1"/>
  <c r="H37" i="39" a="1"/>
  <c r="H37" i="39" s="1"/>
  <c r="H38" i="39" a="1"/>
  <c r="H38" i="39" s="1"/>
  <c r="H39" i="39" a="1"/>
  <c r="H39" i="39" s="1"/>
  <c r="H40" i="39" a="1"/>
  <c r="H40" i="39" s="1"/>
  <c r="H41" i="39" a="1"/>
  <c r="H41" i="39" s="1"/>
  <c r="H42" i="39" a="1"/>
  <c r="H42" i="39" s="1"/>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9" i="38"/>
  <c r="I10" i="38"/>
  <c r="I11" i="38"/>
  <c r="I12" i="38"/>
  <c r="I13" i="38"/>
  <c r="I14" i="38"/>
  <c r="I15" i="38"/>
  <c r="I16" i="38"/>
  <c r="I17" i="38"/>
  <c r="I18" i="38"/>
  <c r="I19" i="38"/>
  <c r="I20" i="38"/>
  <c r="I21" i="38"/>
  <c r="I22" i="38"/>
  <c r="I23" i="38"/>
  <c r="I24" i="38"/>
  <c r="I25" i="38"/>
  <c r="I26" i="38"/>
  <c r="I27" i="38"/>
  <c r="I28" i="38"/>
  <c r="I29" i="38"/>
  <c r="I30" i="38"/>
  <c r="I31" i="38"/>
  <c r="I32" i="38"/>
  <c r="I33" i="38"/>
  <c r="I34" i="38"/>
  <c r="I35" i="38"/>
  <c r="I36" i="38"/>
  <c r="I37" i="38"/>
  <c r="I38" i="38"/>
  <c r="I39" i="38"/>
  <c r="I40" i="38"/>
  <c r="I41" i="38"/>
  <c r="I42" i="38"/>
  <c r="H9" i="38" a="1"/>
  <c r="H9" i="38" s="1"/>
  <c r="H10" i="38" a="1"/>
  <c r="H10" i="38" s="1"/>
  <c r="H11" i="38" a="1"/>
  <c r="H11" i="38" s="1"/>
  <c r="H12" i="38" a="1"/>
  <c r="H12" i="38" s="1"/>
  <c r="H13" i="38" a="1"/>
  <c r="H13" i="38" s="1"/>
  <c r="H14" i="38" a="1"/>
  <c r="H14" i="38" s="1"/>
  <c r="H15" i="38" a="1"/>
  <c r="H15" i="38" s="1"/>
  <c r="H16" i="38" a="1"/>
  <c r="H16" i="38" s="1"/>
  <c r="H17" i="38" a="1"/>
  <c r="H17" i="38" s="1"/>
  <c r="H18" i="38" a="1"/>
  <c r="H18" i="38" s="1"/>
  <c r="H19" i="38" a="1"/>
  <c r="H19" i="38" s="1"/>
  <c r="H20" i="38" a="1"/>
  <c r="H20" i="38" s="1"/>
  <c r="H21" i="38" a="1"/>
  <c r="H21" i="38" s="1"/>
  <c r="H22" i="38" a="1"/>
  <c r="H22" i="38" s="1"/>
  <c r="H23" i="38" a="1"/>
  <c r="H23" i="38" s="1"/>
  <c r="H24" i="38" a="1"/>
  <c r="H24" i="38" s="1"/>
  <c r="H25" i="38" a="1"/>
  <c r="H25" i="38" s="1"/>
  <c r="H26" i="38" a="1"/>
  <c r="H26" i="38" s="1"/>
  <c r="H27" i="38" a="1"/>
  <c r="H27" i="38" s="1"/>
  <c r="H28" i="38" a="1"/>
  <c r="H28" i="38" s="1"/>
  <c r="H29" i="38" a="1"/>
  <c r="H29" i="38" s="1"/>
  <c r="H30" i="38" a="1"/>
  <c r="H30" i="38" s="1"/>
  <c r="H31" i="38" a="1"/>
  <c r="H31" i="38" s="1"/>
  <c r="H32" i="38" a="1"/>
  <c r="H32" i="38" s="1"/>
  <c r="H33" i="38" a="1"/>
  <c r="H33" i="38" s="1"/>
  <c r="H34" i="38" a="1"/>
  <c r="H34" i="38" s="1"/>
  <c r="H35" i="38" a="1"/>
  <c r="H35" i="38" s="1"/>
  <c r="H36" i="38" a="1"/>
  <c r="H36" i="38" s="1"/>
  <c r="H37" i="38" a="1"/>
  <c r="H37" i="38" s="1"/>
  <c r="H38" i="38" a="1"/>
  <c r="H38" i="38" s="1"/>
  <c r="H39" i="38" a="1"/>
  <c r="H39" i="38" s="1"/>
  <c r="H40" i="38" a="1"/>
  <c r="H40" i="38" s="1"/>
  <c r="H41" i="38" a="1"/>
  <c r="H41" i="38" s="1"/>
  <c r="H42" i="38" a="1"/>
  <c r="H42" i="38" s="1"/>
  <c r="I8" i="37"/>
  <c r="I9" i="37"/>
  <c r="I10" i="37"/>
  <c r="I11" i="37"/>
  <c r="I12" i="37"/>
  <c r="I13" i="37"/>
  <c r="I14" i="37"/>
  <c r="I15" i="37"/>
  <c r="I16" i="37"/>
  <c r="I17" i="37"/>
  <c r="I18" i="37"/>
  <c r="I19" i="37"/>
  <c r="I20" i="37"/>
  <c r="I21" i="37"/>
  <c r="I22" i="37"/>
  <c r="I23" i="37"/>
  <c r="I24" i="37"/>
  <c r="I25" i="37"/>
  <c r="I26" i="37"/>
  <c r="I27" i="37"/>
  <c r="I28" i="37"/>
  <c r="I29" i="37"/>
  <c r="I30" i="37"/>
  <c r="I31" i="37"/>
  <c r="I32" i="37"/>
  <c r="I33" i="37"/>
  <c r="I34" i="37"/>
  <c r="I35" i="37"/>
  <c r="I36" i="37"/>
  <c r="I37" i="37"/>
  <c r="I38" i="37"/>
  <c r="I39" i="37"/>
  <c r="I40" i="37"/>
  <c r="I41" i="37"/>
  <c r="I42" i="37"/>
  <c r="H8" i="37" a="1"/>
  <c r="H8" i="37" s="1"/>
  <c r="H9" i="37" a="1"/>
  <c r="H9" i="37" s="1"/>
  <c r="H10" i="37" a="1"/>
  <c r="H10" i="37" s="1"/>
  <c r="H11" i="37" a="1"/>
  <c r="H11" i="37" s="1"/>
  <c r="H12" i="37" a="1"/>
  <c r="H12" i="37" s="1"/>
  <c r="H13" i="37" a="1"/>
  <c r="H13" i="37" s="1"/>
  <c r="H14" i="37" a="1"/>
  <c r="H14" i="37" s="1"/>
  <c r="H15" i="37" a="1"/>
  <c r="H15" i="37" s="1"/>
  <c r="H16" i="37" a="1"/>
  <c r="H16" i="37" s="1"/>
  <c r="H17" i="37" a="1"/>
  <c r="H17" i="37" s="1"/>
  <c r="H18" i="37" a="1"/>
  <c r="H18" i="37" s="1"/>
  <c r="H19" i="37" a="1"/>
  <c r="H19" i="37" s="1"/>
  <c r="H20" i="37" a="1"/>
  <c r="H20" i="37" s="1"/>
  <c r="H21" i="37" a="1"/>
  <c r="H21" i="37" s="1"/>
  <c r="H22" i="37" a="1"/>
  <c r="H22" i="37" s="1"/>
  <c r="H23" i="37" a="1"/>
  <c r="H23" i="37" s="1"/>
  <c r="H24" i="37" a="1"/>
  <c r="H24" i="37" s="1"/>
  <c r="H25" i="37" a="1"/>
  <c r="H25" i="37" s="1"/>
  <c r="H26" i="37" a="1"/>
  <c r="H26" i="37" s="1"/>
  <c r="H27" i="37" a="1"/>
  <c r="H27" i="37" s="1"/>
  <c r="H28" i="37" a="1"/>
  <c r="H28" i="37" s="1"/>
  <c r="H29" i="37" a="1"/>
  <c r="H29" i="37" s="1"/>
  <c r="H30" i="37" a="1"/>
  <c r="H30" i="37" s="1"/>
  <c r="H31" i="37" a="1"/>
  <c r="H31" i="37" s="1"/>
  <c r="H32" i="37" a="1"/>
  <c r="H32" i="37" s="1"/>
  <c r="H33" i="37" a="1"/>
  <c r="H33" i="37" s="1"/>
  <c r="H34" i="37" a="1"/>
  <c r="H34" i="37" s="1"/>
  <c r="H35" i="37" a="1"/>
  <c r="H35" i="37" s="1"/>
  <c r="H36" i="37" a="1"/>
  <c r="H36" i="37" s="1"/>
  <c r="H37" i="37" a="1"/>
  <c r="H37" i="37" s="1"/>
  <c r="H38" i="37" a="1"/>
  <c r="H38" i="37" s="1"/>
  <c r="H39" i="37" a="1"/>
  <c r="H39" i="37" s="1"/>
  <c r="H40" i="37" a="1"/>
  <c r="H40" i="37" s="1"/>
  <c r="H41" i="37" a="1"/>
  <c r="H41" i="37" s="1"/>
  <c r="H42" i="37" a="1"/>
  <c r="H42" i="37" s="1"/>
  <c r="I8" i="36"/>
  <c r="I9" i="36"/>
  <c r="I10" i="36"/>
  <c r="I11" i="36"/>
  <c r="I12" i="36"/>
  <c r="I13" i="36"/>
  <c r="I14" i="36"/>
  <c r="I15" i="36"/>
  <c r="I16" i="36"/>
  <c r="I17" i="36"/>
  <c r="I18" i="36"/>
  <c r="I19" i="36"/>
  <c r="I20" i="36"/>
  <c r="I21" i="36"/>
  <c r="I22" i="36"/>
  <c r="I23" i="36"/>
  <c r="I24" i="36"/>
  <c r="I25" i="36"/>
  <c r="I26" i="36"/>
  <c r="I27" i="36"/>
  <c r="I28" i="36"/>
  <c r="I29" i="36"/>
  <c r="I30" i="36"/>
  <c r="I31" i="36"/>
  <c r="I32" i="36"/>
  <c r="I33" i="36"/>
  <c r="I34" i="36"/>
  <c r="I35" i="36"/>
  <c r="I36" i="36"/>
  <c r="I37" i="36"/>
  <c r="I38" i="36"/>
  <c r="I39" i="36"/>
  <c r="I40" i="36"/>
  <c r="I41" i="36"/>
  <c r="I42" i="36"/>
  <c r="H8" i="36" a="1"/>
  <c r="H8" i="36" s="1"/>
  <c r="H9" i="36" a="1"/>
  <c r="H9" i="36" s="1"/>
  <c r="H10" i="36" a="1"/>
  <c r="H10" i="36" s="1"/>
  <c r="H11" i="36" a="1"/>
  <c r="H11" i="36" s="1"/>
  <c r="H12" i="36" a="1"/>
  <c r="H12" i="36" s="1"/>
  <c r="H13" i="36" a="1"/>
  <c r="H13" i="36" s="1"/>
  <c r="H14" i="36" a="1"/>
  <c r="H14" i="36" s="1"/>
  <c r="H15" i="36" a="1"/>
  <c r="H15" i="36" s="1"/>
  <c r="H16" i="36" a="1"/>
  <c r="H16" i="36" s="1"/>
  <c r="H17" i="36" a="1"/>
  <c r="H17" i="36" s="1"/>
  <c r="H18" i="36" a="1"/>
  <c r="H18" i="36" s="1"/>
  <c r="H19" i="36" a="1"/>
  <c r="H19" i="36" s="1"/>
  <c r="H20" i="36" a="1"/>
  <c r="H20" i="36" s="1"/>
  <c r="H21" i="36" a="1"/>
  <c r="H21" i="36" s="1"/>
  <c r="H22" i="36" a="1"/>
  <c r="H22" i="36" s="1"/>
  <c r="H23" i="36" a="1"/>
  <c r="H23" i="36" s="1"/>
  <c r="H24" i="36" a="1"/>
  <c r="H24" i="36" s="1"/>
  <c r="H25" i="36" a="1"/>
  <c r="H25" i="36" s="1"/>
  <c r="H26" i="36" a="1"/>
  <c r="H26" i="36" s="1"/>
  <c r="H27" i="36" a="1"/>
  <c r="H27" i="36" s="1"/>
  <c r="H28" i="36" a="1"/>
  <c r="H28" i="36" s="1"/>
  <c r="H29" i="36" a="1"/>
  <c r="H29" i="36" s="1"/>
  <c r="H30" i="36" a="1"/>
  <c r="H30" i="36" s="1"/>
  <c r="H31" i="36" a="1"/>
  <c r="H31" i="36" s="1"/>
  <c r="H32" i="36" a="1"/>
  <c r="H32" i="36" s="1"/>
  <c r="H33" i="36" a="1"/>
  <c r="H33" i="36" s="1"/>
  <c r="H34" i="36" a="1"/>
  <c r="H34" i="36" s="1"/>
  <c r="H35" i="36" a="1"/>
  <c r="H35" i="36" s="1"/>
  <c r="H36" i="36" a="1"/>
  <c r="H36" i="36" s="1"/>
  <c r="H37" i="36" a="1"/>
  <c r="H37" i="36" s="1"/>
  <c r="H38" i="36" a="1"/>
  <c r="H38" i="36" s="1"/>
  <c r="H39" i="36" a="1"/>
  <c r="H39" i="36" s="1"/>
  <c r="H40" i="36" a="1"/>
  <c r="H40" i="36" s="1"/>
  <c r="H41" i="36" a="1"/>
  <c r="H41" i="36" s="1"/>
  <c r="H42" i="36" a="1"/>
  <c r="H42" i="36" s="1"/>
  <c r="I8" i="35"/>
  <c r="I9" i="35"/>
  <c r="I10" i="35"/>
  <c r="I11" i="35"/>
  <c r="I12" i="35"/>
  <c r="I13" i="35"/>
  <c r="I14" i="35"/>
  <c r="I15" i="35"/>
  <c r="I16" i="35"/>
  <c r="I17" i="35"/>
  <c r="I18" i="35"/>
  <c r="I19" i="35"/>
  <c r="I20" i="35"/>
  <c r="I21" i="35"/>
  <c r="I22" i="35"/>
  <c r="I23" i="35"/>
  <c r="I24" i="35"/>
  <c r="I25" i="35"/>
  <c r="I26" i="35"/>
  <c r="I27" i="35"/>
  <c r="I28" i="35"/>
  <c r="I29" i="35"/>
  <c r="I30" i="35"/>
  <c r="I31" i="35"/>
  <c r="I32" i="35"/>
  <c r="I33" i="35"/>
  <c r="I34" i="35"/>
  <c r="I35" i="35"/>
  <c r="I36" i="35"/>
  <c r="I37" i="35"/>
  <c r="I38" i="35"/>
  <c r="I39" i="35"/>
  <c r="I40" i="35"/>
  <c r="I41" i="35"/>
  <c r="I42" i="35"/>
  <c r="H8" i="35" a="1"/>
  <c r="H8" i="35" s="1"/>
  <c r="H9" i="35" a="1"/>
  <c r="H9" i="35" s="1"/>
  <c r="H10" i="35" a="1"/>
  <c r="H10" i="35" s="1"/>
  <c r="H11" i="35" a="1"/>
  <c r="H11" i="35" s="1"/>
  <c r="H12" i="35" a="1"/>
  <c r="H12" i="35" s="1"/>
  <c r="H13" i="35" a="1"/>
  <c r="H13" i="35" s="1"/>
  <c r="H14" i="35" a="1"/>
  <c r="H14" i="35" s="1"/>
  <c r="H15" i="35" a="1"/>
  <c r="H15" i="35" s="1"/>
  <c r="H16" i="35" a="1"/>
  <c r="H16" i="35" s="1"/>
  <c r="H17" i="35" a="1"/>
  <c r="H17" i="35" s="1"/>
  <c r="H18" i="35" a="1"/>
  <c r="H18" i="35" s="1"/>
  <c r="H19" i="35" a="1"/>
  <c r="H19" i="35" s="1"/>
  <c r="H20" i="35" a="1"/>
  <c r="H20" i="35" s="1"/>
  <c r="H21" i="35" a="1"/>
  <c r="H21" i="35" s="1"/>
  <c r="H22" i="35" a="1"/>
  <c r="H22" i="35" s="1"/>
  <c r="H23" i="35" a="1"/>
  <c r="H23" i="35" s="1"/>
  <c r="H24" i="35" a="1"/>
  <c r="H24" i="35" s="1"/>
  <c r="H25" i="35" a="1"/>
  <c r="H25" i="35" s="1"/>
  <c r="H26" i="35" a="1"/>
  <c r="H26" i="35" s="1"/>
  <c r="H27" i="35" a="1"/>
  <c r="H27" i="35" s="1"/>
  <c r="H28" i="35" a="1"/>
  <c r="H28" i="35" s="1"/>
  <c r="H29" i="35" a="1"/>
  <c r="H29" i="35" s="1"/>
  <c r="H30" i="35" a="1"/>
  <c r="H30" i="35" s="1"/>
  <c r="H31" i="35" a="1"/>
  <c r="H31" i="35" s="1"/>
  <c r="H32" i="35" a="1"/>
  <c r="H32" i="35" s="1"/>
  <c r="H33" i="35" a="1"/>
  <c r="H33" i="35" s="1"/>
  <c r="H34" i="35" a="1"/>
  <c r="H34" i="35" s="1"/>
  <c r="H35" i="35" a="1"/>
  <c r="H35" i="35" s="1"/>
  <c r="H36" i="35" a="1"/>
  <c r="H36" i="35" s="1"/>
  <c r="H37" i="35" a="1"/>
  <c r="H37" i="35" s="1"/>
  <c r="H38" i="35" a="1"/>
  <c r="H38" i="35" s="1"/>
  <c r="H39" i="35" a="1"/>
  <c r="H39" i="35" s="1"/>
  <c r="H40" i="35" a="1"/>
  <c r="H40" i="35" s="1"/>
  <c r="H41" i="35" a="1"/>
  <c r="H41" i="35" s="1"/>
  <c r="H42" i="35" a="1"/>
  <c r="H42" i="35" s="1"/>
  <c r="I8" i="34"/>
  <c r="I9" i="34"/>
  <c r="I10" i="34"/>
  <c r="I11" i="34"/>
  <c r="I12" i="34"/>
  <c r="I13" i="34"/>
  <c r="I14" i="34"/>
  <c r="I15" i="34"/>
  <c r="I16" i="34"/>
  <c r="I17" i="34"/>
  <c r="I18" i="34"/>
  <c r="I19" i="34"/>
  <c r="I20" i="34"/>
  <c r="I21" i="34"/>
  <c r="I22" i="34"/>
  <c r="I23" i="34"/>
  <c r="I24" i="34"/>
  <c r="I25" i="34"/>
  <c r="I26" i="34"/>
  <c r="I27" i="34"/>
  <c r="I28" i="34"/>
  <c r="I29" i="34"/>
  <c r="I30" i="34"/>
  <c r="I31" i="34"/>
  <c r="I32" i="34"/>
  <c r="I33" i="34"/>
  <c r="I34" i="34"/>
  <c r="I35" i="34"/>
  <c r="I36" i="34"/>
  <c r="I37" i="34"/>
  <c r="I38" i="34"/>
  <c r="I39" i="34"/>
  <c r="I40" i="34"/>
  <c r="I41" i="34"/>
  <c r="I42" i="34"/>
  <c r="H8" i="34" a="1"/>
  <c r="H8" i="34" s="1"/>
  <c r="H9" i="34" a="1"/>
  <c r="H9" i="34" s="1"/>
  <c r="H10" i="34" a="1"/>
  <c r="H10" i="34" s="1"/>
  <c r="H11" i="34" a="1"/>
  <c r="H11" i="34" s="1"/>
  <c r="H12" i="34" a="1"/>
  <c r="H12" i="34" s="1"/>
  <c r="H13" i="34" a="1"/>
  <c r="H13" i="34" s="1"/>
  <c r="H14" i="34" a="1"/>
  <c r="H14" i="34" s="1"/>
  <c r="H15" i="34" a="1"/>
  <c r="H15" i="34" s="1"/>
  <c r="H16" i="34" a="1"/>
  <c r="H16" i="34" s="1"/>
  <c r="H17" i="34" a="1"/>
  <c r="H17" i="34" s="1"/>
  <c r="H18" i="34" a="1"/>
  <c r="H18" i="34" s="1"/>
  <c r="H19" i="34" a="1"/>
  <c r="H19" i="34" s="1"/>
  <c r="H20" i="34" a="1"/>
  <c r="H20" i="34" s="1"/>
  <c r="H21" i="34" a="1"/>
  <c r="H21" i="34" s="1"/>
  <c r="H22" i="34" a="1"/>
  <c r="H22" i="34" s="1"/>
  <c r="H23" i="34" a="1"/>
  <c r="H23" i="34" s="1"/>
  <c r="H24" i="34" a="1"/>
  <c r="H24" i="34" s="1"/>
  <c r="H25" i="34" a="1"/>
  <c r="H25" i="34" s="1"/>
  <c r="H26" i="34" a="1"/>
  <c r="H26" i="34" s="1"/>
  <c r="H27" i="34" a="1"/>
  <c r="H27" i="34" s="1"/>
  <c r="H28" i="34" a="1"/>
  <c r="H28" i="34" s="1"/>
  <c r="H29" i="34" a="1"/>
  <c r="H29" i="34" s="1"/>
  <c r="H30" i="34" a="1"/>
  <c r="H30" i="34" s="1"/>
  <c r="H31" i="34" a="1"/>
  <c r="H31" i="34" s="1"/>
  <c r="H32" i="34" a="1"/>
  <c r="H32" i="34" s="1"/>
  <c r="H33" i="34" a="1"/>
  <c r="H33" i="34" s="1"/>
  <c r="H34" i="34" a="1"/>
  <c r="H34" i="34" s="1"/>
  <c r="H35" i="34" a="1"/>
  <c r="H35" i="34" s="1"/>
  <c r="H36" i="34" a="1"/>
  <c r="H36" i="34" s="1"/>
  <c r="H37" i="34" a="1"/>
  <c r="H37" i="34" s="1"/>
  <c r="H38" i="34" a="1"/>
  <c r="H38" i="34" s="1"/>
  <c r="H39" i="34" a="1"/>
  <c r="H39" i="34" s="1"/>
  <c r="H40" i="34" a="1"/>
  <c r="H40" i="34" s="1"/>
  <c r="H41" i="34" a="1"/>
  <c r="H41" i="34" s="1"/>
  <c r="H42" i="34" a="1"/>
  <c r="H42" i="34" s="1"/>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H8" i="33" a="1"/>
  <c r="H8" i="33" s="1"/>
  <c r="H9" i="33" a="1"/>
  <c r="H9" i="33" s="1"/>
  <c r="H10" i="33" a="1"/>
  <c r="H10" i="33" s="1"/>
  <c r="H11" i="33" a="1"/>
  <c r="H11" i="33" s="1"/>
  <c r="H12" i="33" a="1"/>
  <c r="H12" i="33" s="1"/>
  <c r="H13" i="33" a="1"/>
  <c r="H13" i="33" s="1"/>
  <c r="H14" i="33" a="1"/>
  <c r="H14" i="33" s="1"/>
  <c r="H15" i="33" a="1"/>
  <c r="H15" i="33" s="1"/>
  <c r="H16" i="33" a="1"/>
  <c r="H16" i="33" s="1"/>
  <c r="H17" i="33" a="1"/>
  <c r="H17" i="33" s="1"/>
  <c r="H18" i="33" a="1"/>
  <c r="H18" i="33" s="1"/>
  <c r="H19" i="33" a="1"/>
  <c r="H19" i="33" s="1"/>
  <c r="H20" i="33" a="1"/>
  <c r="H20" i="33" s="1"/>
  <c r="H21" i="33" a="1"/>
  <c r="H21" i="33" s="1"/>
  <c r="H22" i="33" a="1"/>
  <c r="H22" i="33" s="1"/>
  <c r="H23" i="33" a="1"/>
  <c r="H23" i="33" s="1"/>
  <c r="H24" i="33" a="1"/>
  <c r="H24" i="33" s="1"/>
  <c r="H25" i="33" a="1"/>
  <c r="H25" i="33" s="1"/>
  <c r="H26" i="33" a="1"/>
  <c r="H26" i="33" s="1"/>
  <c r="H27" i="33" a="1"/>
  <c r="H27" i="33" s="1"/>
  <c r="H28" i="33" a="1"/>
  <c r="H28" i="33" s="1"/>
  <c r="H29" i="33" a="1"/>
  <c r="H29" i="33" s="1"/>
  <c r="H30" i="33" a="1"/>
  <c r="H30" i="33" s="1"/>
  <c r="H31" i="33" a="1"/>
  <c r="H31" i="33" s="1"/>
  <c r="H32" i="33" a="1"/>
  <c r="H32" i="33" s="1"/>
  <c r="H33" i="33" a="1"/>
  <c r="H33" i="33" s="1"/>
  <c r="H34" i="33" a="1"/>
  <c r="H34" i="33" s="1"/>
  <c r="H35" i="33" a="1"/>
  <c r="H35" i="33" s="1"/>
  <c r="H36" i="33" a="1"/>
  <c r="H36" i="33" s="1"/>
  <c r="H37" i="33" a="1"/>
  <c r="H37" i="33" s="1"/>
  <c r="H38" i="33" a="1"/>
  <c r="H38" i="33" s="1"/>
  <c r="H39" i="33" a="1"/>
  <c r="H39" i="33" s="1"/>
  <c r="H40" i="33" a="1"/>
  <c r="H40" i="33" s="1"/>
  <c r="H41" i="33" a="1"/>
  <c r="H41" i="33" s="1"/>
  <c r="H42" i="33" a="1"/>
  <c r="H42" i="33" s="1"/>
  <c r="I8" i="32"/>
  <c r="I10" i="32"/>
  <c r="I11" i="32"/>
  <c r="I12" i="32"/>
  <c r="I13" i="32"/>
  <c r="I14" i="32"/>
  <c r="I15" i="32"/>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H8" i="32" a="1"/>
  <c r="H8" i="32" s="1"/>
  <c r="H10" i="32" a="1"/>
  <c r="H10" i="32" s="1"/>
  <c r="H11" i="32" a="1"/>
  <c r="H11" i="32" s="1"/>
  <c r="H12" i="32" a="1"/>
  <c r="H12" i="32" s="1"/>
  <c r="H13" i="32" a="1"/>
  <c r="H13" i="32" s="1"/>
  <c r="H14" i="32" a="1"/>
  <c r="H14" i="32" s="1"/>
  <c r="H15" i="32" a="1"/>
  <c r="H15" i="32" s="1"/>
  <c r="H16" i="32" a="1"/>
  <c r="H16" i="32" s="1"/>
  <c r="H17" i="32" a="1"/>
  <c r="H17" i="32" s="1"/>
  <c r="H18" i="32" a="1"/>
  <c r="H18" i="32" s="1"/>
  <c r="H19" i="32" a="1"/>
  <c r="H19" i="32" s="1"/>
  <c r="H20" i="32" a="1"/>
  <c r="H20" i="32" s="1"/>
  <c r="H21" i="32" a="1"/>
  <c r="H21" i="32" s="1"/>
  <c r="H22" i="32" a="1"/>
  <c r="H22" i="32" s="1"/>
  <c r="H23" i="32" a="1"/>
  <c r="H23" i="32" s="1"/>
  <c r="H24" i="32" a="1"/>
  <c r="H24" i="32" s="1"/>
  <c r="H25" i="32" a="1"/>
  <c r="H25" i="32" s="1"/>
  <c r="H26" i="32" a="1"/>
  <c r="H26" i="32" s="1"/>
  <c r="H27" i="32" a="1"/>
  <c r="H27" i="32" s="1"/>
  <c r="H28" i="32" a="1"/>
  <c r="H28" i="32" s="1"/>
  <c r="H29" i="32" a="1"/>
  <c r="H29" i="32" s="1"/>
  <c r="H30" i="32" a="1"/>
  <c r="H30" i="32" s="1"/>
  <c r="H31" i="32" a="1"/>
  <c r="H31" i="32" s="1"/>
  <c r="H32" i="32" a="1"/>
  <c r="H32" i="32" s="1"/>
  <c r="H33" i="32" a="1"/>
  <c r="H33" i="32" s="1"/>
  <c r="H34" i="32" a="1"/>
  <c r="H34" i="32" s="1"/>
  <c r="H35" i="32" a="1"/>
  <c r="H35" i="32" s="1"/>
  <c r="H36" i="32" a="1"/>
  <c r="H36" i="32" s="1"/>
  <c r="H37" i="32" a="1"/>
  <c r="H37" i="32" s="1"/>
  <c r="H38" i="32" a="1"/>
  <c r="H38" i="32" s="1"/>
  <c r="H39" i="32" a="1"/>
  <c r="H39" i="32" s="1"/>
  <c r="H40" i="32" a="1"/>
  <c r="H40" i="32" s="1"/>
  <c r="H41" i="32" a="1"/>
  <c r="H41" i="32" s="1"/>
  <c r="H42" i="32" a="1"/>
  <c r="H42" i="32" s="1"/>
  <c r="I8" i="31"/>
  <c r="I9" i="31"/>
  <c r="I10" i="31"/>
  <c r="I11" i="31"/>
  <c r="I12" i="31"/>
  <c r="I13" i="31"/>
  <c r="I14" i="31"/>
  <c r="I15" i="31"/>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H8" i="31" a="1"/>
  <c r="H8" i="31" s="1"/>
  <c r="H9" i="31" a="1"/>
  <c r="H9" i="31" s="1"/>
  <c r="H10" i="31" a="1"/>
  <c r="H10" i="31" s="1"/>
  <c r="H11" i="31" a="1"/>
  <c r="H11" i="31" s="1"/>
  <c r="H12" i="31" a="1"/>
  <c r="H12" i="31" s="1"/>
  <c r="H13" i="31" a="1"/>
  <c r="H13" i="31" s="1"/>
  <c r="H14" i="31" a="1"/>
  <c r="H14" i="31" s="1"/>
  <c r="H15" i="31" a="1"/>
  <c r="H15" i="31" s="1"/>
  <c r="H16" i="31" a="1"/>
  <c r="H16" i="31" s="1"/>
  <c r="H17" i="31" a="1"/>
  <c r="H17" i="31" s="1"/>
  <c r="H18" i="31" a="1"/>
  <c r="H18" i="31" s="1"/>
  <c r="H19" i="31" a="1"/>
  <c r="H19" i="31" s="1"/>
  <c r="H20" i="31" a="1"/>
  <c r="H20" i="31" s="1"/>
  <c r="H21" i="31" a="1"/>
  <c r="H21" i="31" s="1"/>
  <c r="H22" i="31" a="1"/>
  <c r="H22" i="31" s="1"/>
  <c r="H23" i="31" a="1"/>
  <c r="H23" i="31" s="1"/>
  <c r="H24" i="31" a="1"/>
  <c r="H24" i="31" s="1"/>
  <c r="H25" i="31" a="1"/>
  <c r="H25" i="31" s="1"/>
  <c r="H26" i="31" a="1"/>
  <c r="H26" i="31" s="1"/>
  <c r="H27" i="31" a="1"/>
  <c r="H27" i="31" s="1"/>
  <c r="H28" i="31" a="1"/>
  <c r="H28" i="31" s="1"/>
  <c r="H29" i="31" a="1"/>
  <c r="H29" i="31" s="1"/>
  <c r="H30" i="31" a="1"/>
  <c r="H30" i="31" s="1"/>
  <c r="H31" i="31" a="1"/>
  <c r="H31" i="31" s="1"/>
  <c r="H32" i="31" a="1"/>
  <c r="H32" i="31" s="1"/>
  <c r="H33" i="31" a="1"/>
  <c r="H33" i="31" s="1"/>
  <c r="H34" i="31" a="1"/>
  <c r="H34" i="31" s="1"/>
  <c r="H35" i="31" a="1"/>
  <c r="H35" i="31" s="1"/>
  <c r="H36" i="31" a="1"/>
  <c r="H36" i="31" s="1"/>
  <c r="H37" i="31" a="1"/>
  <c r="H37" i="31" s="1"/>
  <c r="H38" i="31" a="1"/>
  <c r="H38" i="31" s="1"/>
  <c r="H39" i="31" a="1"/>
  <c r="H39" i="31" s="1"/>
  <c r="H40" i="31" a="1"/>
  <c r="H40" i="31" s="1"/>
  <c r="H41" i="31" a="1"/>
  <c r="H41" i="31" s="1"/>
  <c r="H42" i="31" a="1"/>
  <c r="H42" i="31" s="1"/>
  <c r="I10"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H8" i="30" a="1"/>
  <c r="H8" i="30" s="1"/>
  <c r="I8" i="30" s="1"/>
  <c r="H9" i="30" a="1"/>
  <c r="H9" i="30" s="1"/>
  <c r="H10" i="30" a="1"/>
  <c r="H10" i="30" s="1"/>
  <c r="H11" i="30" a="1"/>
  <c r="H11" i="30" s="1"/>
  <c r="H12" i="30" a="1"/>
  <c r="H12" i="30" s="1"/>
  <c r="H13" i="30" a="1"/>
  <c r="H13" i="30" s="1"/>
  <c r="H14" i="30" a="1"/>
  <c r="H14" i="30" s="1"/>
  <c r="H15" i="30" a="1"/>
  <c r="H15" i="30" s="1"/>
  <c r="H16" i="30" a="1"/>
  <c r="H16" i="30" s="1"/>
  <c r="H17" i="30" a="1"/>
  <c r="H17" i="30" s="1"/>
  <c r="H18" i="30" a="1"/>
  <c r="H18" i="30" s="1"/>
  <c r="H19" i="30" a="1"/>
  <c r="H19" i="30" s="1"/>
  <c r="H20" i="30" a="1"/>
  <c r="H20" i="30" s="1"/>
  <c r="H21" i="30" a="1"/>
  <c r="H21" i="30" s="1"/>
  <c r="H22" i="30" a="1"/>
  <c r="H22" i="30" s="1"/>
  <c r="H23" i="30" a="1"/>
  <c r="H23" i="30" s="1"/>
  <c r="H24" i="30" a="1"/>
  <c r="H24" i="30" s="1"/>
  <c r="H25" i="30" a="1"/>
  <c r="H25" i="30" s="1"/>
  <c r="H26" i="30" a="1"/>
  <c r="H26" i="30" s="1"/>
  <c r="H27" i="30" a="1"/>
  <c r="H27" i="30" s="1"/>
  <c r="H28" i="30" a="1"/>
  <c r="H28" i="30" s="1"/>
  <c r="H29" i="30" a="1"/>
  <c r="H29" i="30" s="1"/>
  <c r="H30" i="30" a="1"/>
  <c r="H30" i="30" s="1"/>
  <c r="H31" i="30" a="1"/>
  <c r="H31" i="30" s="1"/>
  <c r="H32" i="30" a="1"/>
  <c r="H32" i="30" s="1"/>
  <c r="H33" i="30" a="1"/>
  <c r="H33" i="30" s="1"/>
  <c r="H34" i="30" a="1"/>
  <c r="H34" i="30" s="1"/>
  <c r="H35" i="30" a="1"/>
  <c r="H35" i="30" s="1"/>
  <c r="H36" i="30" a="1"/>
  <c r="H36" i="30" s="1"/>
  <c r="H37" i="30" a="1"/>
  <c r="H37" i="30" s="1"/>
  <c r="H38" i="30" a="1"/>
  <c r="H38" i="30" s="1"/>
  <c r="H39" i="30" a="1"/>
  <c r="H39" i="30" s="1"/>
  <c r="H40" i="30" a="1"/>
  <c r="H40" i="30" s="1"/>
  <c r="H41" i="30" a="1"/>
  <c r="H41" i="30" s="1"/>
  <c r="H42" i="30" a="1"/>
  <c r="H42" i="30" s="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H8" i="1" a="1"/>
  <c r="H8" i="1" s="1"/>
  <c r="H9" i="1" a="1"/>
  <c r="H9" i="1" s="1"/>
  <c r="H10" i="1" a="1"/>
  <c r="H10" i="1" s="1"/>
  <c r="H13" i="1" a="1"/>
  <c r="H13" i="1" s="1"/>
  <c r="J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G13" i="1"/>
  <c r="G8" i="1"/>
  <c r="G9" i="1"/>
  <c r="G10"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F13" i="1"/>
  <c r="F9" i="1"/>
  <c r="F10"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V21" i="18"/>
  <c r="V20" i="18"/>
  <c r="V19" i="18"/>
  <c r="V17" i="18"/>
  <c r="V16" i="18"/>
  <c r="V15" i="18"/>
  <c r="V13" i="18"/>
  <c r="V12" i="18"/>
  <c r="V9" i="18"/>
  <c r="U21" i="18"/>
  <c r="U20" i="18"/>
  <c r="U19" i="18"/>
  <c r="U17" i="18"/>
  <c r="U16" i="18"/>
  <c r="U15" i="18"/>
  <c r="U13" i="18"/>
  <c r="U12" i="18"/>
  <c r="U9" i="18"/>
  <c r="T21" i="18"/>
  <c r="T20" i="18"/>
  <c r="T19" i="18"/>
  <c r="T17" i="18"/>
  <c r="T16" i="18"/>
  <c r="T15" i="18"/>
  <c r="T13" i="18"/>
  <c r="T12" i="18"/>
  <c r="T9" i="18"/>
  <c r="S21" i="18"/>
  <c r="S20" i="18"/>
  <c r="S19" i="18"/>
  <c r="S17" i="18"/>
  <c r="S16" i="18"/>
  <c r="S15" i="18"/>
  <c r="S13" i="18"/>
  <c r="S12" i="18"/>
  <c r="S9" i="18"/>
  <c r="R21" i="18"/>
  <c r="R20" i="18"/>
  <c r="R19" i="18"/>
  <c r="R17" i="18"/>
  <c r="R16" i="18"/>
  <c r="R15" i="18"/>
  <c r="R13" i="18"/>
  <c r="R12" i="18"/>
  <c r="R9" i="18"/>
  <c r="Q21" i="18"/>
  <c r="Q20" i="18"/>
  <c r="Q19" i="18"/>
  <c r="Q17" i="18"/>
  <c r="Q16" i="18"/>
  <c r="Q15" i="18"/>
  <c r="Q13" i="18"/>
  <c r="Q12" i="18"/>
  <c r="Q9" i="18"/>
  <c r="P21" i="18"/>
  <c r="P20" i="18"/>
  <c r="P19" i="18"/>
  <c r="P17" i="18"/>
  <c r="P16" i="18"/>
  <c r="P15" i="18"/>
  <c r="P13" i="18"/>
  <c r="P12" i="18"/>
  <c r="P9" i="18"/>
  <c r="O21" i="18"/>
  <c r="O20" i="18"/>
  <c r="O19" i="18"/>
  <c r="O17" i="18"/>
  <c r="O16" i="18"/>
  <c r="O15" i="18"/>
  <c r="O13" i="18"/>
  <c r="O12" i="18"/>
  <c r="O9" i="18"/>
  <c r="N17" i="18"/>
  <c r="N16" i="18"/>
  <c r="N15" i="18"/>
  <c r="N13" i="18"/>
  <c r="N12" i="18"/>
  <c r="N9" i="18"/>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C7" i="18"/>
  <c r="M21" i="18"/>
  <c r="M20" i="18"/>
  <c r="M19" i="18"/>
  <c r="M17" i="18"/>
  <c r="M16" i="18"/>
  <c r="M15" i="18"/>
  <c r="M13" i="18"/>
  <c r="M12" i="18"/>
  <c r="M11" i="18"/>
  <c r="M9" i="18"/>
  <c r="M7" i="18"/>
  <c r="M8" i="18"/>
  <c r="L21" i="18" a="1"/>
  <c r="L21" i="18" s="1"/>
  <c r="L20" i="18" a="1"/>
  <c r="L20" i="18" s="1"/>
  <c r="L19" i="18" a="1"/>
  <c r="L19" i="18" s="1"/>
  <c r="L17" i="18" a="1"/>
  <c r="L17" i="18" s="1"/>
  <c r="L15" i="18" a="1"/>
  <c r="L15" i="18" s="1"/>
  <c r="L13" i="18" a="1"/>
  <c r="L13" i="18" s="1"/>
  <c r="L12" i="18" a="1"/>
  <c r="L12" i="18" s="1"/>
  <c r="L16" i="18" a="1"/>
  <c r="L16" i="18" s="1"/>
  <c r="L11" i="18" a="1"/>
  <c r="L11" i="18" s="1"/>
  <c r="L9" i="18" a="1"/>
  <c r="L9" i="18" s="1"/>
  <c r="L7" i="18" a="1"/>
  <c r="L7" i="18" s="1"/>
  <c r="L8" i="18" a="1"/>
  <c r="L8" i="18" s="1"/>
  <c r="K7" i="18" a="1"/>
  <c r="K7" i="18" s="1"/>
  <c r="K21" i="18" a="1"/>
  <c r="K21" i="18" s="1"/>
  <c r="K20" i="18" a="1"/>
  <c r="K20" i="18" s="1"/>
  <c r="K19" i="18" a="1"/>
  <c r="K19" i="18" s="1"/>
  <c r="K17" i="18" a="1"/>
  <c r="K17" i="18" s="1"/>
  <c r="K16" i="18" a="1"/>
  <c r="K16" i="18" s="1"/>
  <c r="K15" i="18" a="1"/>
  <c r="K15" i="18" s="1"/>
  <c r="K13" i="18" a="1"/>
  <c r="K13" i="18" s="1"/>
  <c r="K12" i="18" a="1"/>
  <c r="K12" i="18" s="1"/>
  <c r="K11" i="18" a="1"/>
  <c r="K11" i="18" s="1"/>
  <c r="K9" i="18" a="1"/>
  <c r="K9" i="18" s="1"/>
  <c r="K8" i="18" a="1"/>
  <c r="K8" i="18" s="1"/>
  <c r="J21" i="18"/>
  <c r="J20" i="18"/>
  <c r="J19" i="18"/>
  <c r="J13" i="18"/>
  <c r="J12" i="18"/>
  <c r="J11" i="18"/>
  <c r="J9" i="18"/>
  <c r="J8" i="18"/>
  <c r="J7" i="18"/>
  <c r="C17" i="18"/>
  <c r="C16" i="18"/>
  <c r="C13" i="18"/>
  <c r="C12" i="18"/>
  <c r="C11" i="18"/>
  <c r="C9" i="18"/>
  <c r="C8" i="18"/>
  <c r="O18" i="18" l="1" a="1"/>
  <c r="O18" i="18" s="1"/>
  <c r="U18" i="18" a="1"/>
  <c r="U18" i="18" s="1"/>
  <c r="R18" i="18" a="1"/>
  <c r="R18" i="18" s="1"/>
  <c r="T18" i="18" a="1"/>
  <c r="T18" i="18" s="1"/>
  <c r="V18" i="18" a="1"/>
  <c r="V18" i="18" s="1"/>
  <c r="Q18" i="18" a="1"/>
  <c r="Q18" i="18" s="1"/>
  <c r="S18" i="18" a="1"/>
  <c r="S18" i="18" s="1"/>
  <c r="P18" i="18" a="1"/>
  <c r="P18" i="18" s="1"/>
  <c r="N18" i="18" a="1"/>
  <c r="N18" i="18" s="1"/>
  <c r="J8" i="38"/>
  <c r="I9" i="30"/>
  <c r="J9" i="30" s="1"/>
  <c r="J8" i="30"/>
  <c r="I8" i="40"/>
  <c r="J8" i="39"/>
  <c r="I13" i="1"/>
  <c r="I10" i="1"/>
  <c r="J10" i="1" s="1"/>
  <c r="I9" i="1"/>
  <c r="J9" i="1" s="1"/>
  <c r="I8" i="1"/>
  <c r="J8" i="1" s="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E17" i="35"/>
  <c r="E8" i="35"/>
  <c r="E9" i="35"/>
  <c r="E10" i="35"/>
  <c r="E11" i="35"/>
  <c r="E12" i="35"/>
  <c r="E13" i="35"/>
  <c r="E14" i="35"/>
  <c r="E15" i="35"/>
  <c r="E16"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N42" i="40"/>
  <c r="M42" i="40"/>
  <c r="E42" i="40"/>
  <c r="N41" i="40"/>
  <c r="M41" i="40"/>
  <c r="E41" i="40"/>
  <c r="N40" i="40"/>
  <c r="M40" i="40"/>
  <c r="E40" i="40"/>
  <c r="N39" i="40"/>
  <c r="M39" i="40"/>
  <c r="E39" i="40"/>
  <c r="N38" i="40"/>
  <c r="M38" i="40"/>
  <c r="E38" i="40"/>
  <c r="N37" i="40"/>
  <c r="M37" i="40"/>
  <c r="E37" i="40"/>
  <c r="N36" i="40"/>
  <c r="M36" i="40"/>
  <c r="E36" i="40"/>
  <c r="N35" i="40"/>
  <c r="M35" i="40"/>
  <c r="E35" i="40"/>
  <c r="N34" i="40"/>
  <c r="M34" i="40"/>
  <c r="E34" i="40"/>
  <c r="N33" i="40"/>
  <c r="M33" i="40"/>
  <c r="E33" i="40"/>
  <c r="N32" i="40"/>
  <c r="M32" i="40"/>
  <c r="E32" i="40"/>
  <c r="N31" i="40"/>
  <c r="M31" i="40"/>
  <c r="E31" i="40"/>
  <c r="N30" i="40"/>
  <c r="M30" i="40"/>
  <c r="E30" i="40"/>
  <c r="N29" i="40"/>
  <c r="M29" i="40"/>
  <c r="E29" i="40"/>
  <c r="N28" i="40"/>
  <c r="M28" i="40"/>
  <c r="E28" i="40"/>
  <c r="N27" i="40"/>
  <c r="M27" i="40"/>
  <c r="E27" i="40"/>
  <c r="N26" i="40"/>
  <c r="M26" i="40"/>
  <c r="E26" i="40"/>
  <c r="N25" i="40"/>
  <c r="M25" i="40"/>
  <c r="E25" i="40"/>
  <c r="N24" i="40"/>
  <c r="M24" i="40"/>
  <c r="E24" i="40"/>
  <c r="N23" i="40"/>
  <c r="M23" i="40"/>
  <c r="E23" i="40"/>
  <c r="N22" i="40"/>
  <c r="M22" i="40"/>
  <c r="E22" i="40"/>
  <c r="N21" i="40"/>
  <c r="M21" i="40"/>
  <c r="E21" i="40"/>
  <c r="N20" i="40"/>
  <c r="M20" i="40"/>
  <c r="E20" i="40"/>
  <c r="N19" i="40"/>
  <c r="M19" i="40"/>
  <c r="E19" i="40"/>
  <c r="N18" i="40"/>
  <c r="M18" i="40"/>
  <c r="E18" i="40"/>
  <c r="N17" i="40"/>
  <c r="M17" i="40"/>
  <c r="E17" i="40"/>
  <c r="N16" i="40"/>
  <c r="M16" i="40"/>
  <c r="E16" i="40"/>
  <c r="N15" i="40"/>
  <c r="M15" i="40"/>
  <c r="E15" i="40"/>
  <c r="N14" i="40"/>
  <c r="M14" i="40"/>
  <c r="E14" i="40"/>
  <c r="N13" i="40"/>
  <c r="M13" i="40"/>
  <c r="E13" i="40"/>
  <c r="N12" i="40"/>
  <c r="M12" i="40"/>
  <c r="E12" i="40"/>
  <c r="N11" i="40"/>
  <c r="M11" i="40"/>
  <c r="E11" i="40"/>
  <c r="E10" i="40"/>
  <c r="E9" i="40"/>
  <c r="E8" i="40"/>
  <c r="N42" i="39"/>
  <c r="M42" i="39"/>
  <c r="E42" i="39"/>
  <c r="N41" i="39"/>
  <c r="M41" i="39"/>
  <c r="E41" i="39"/>
  <c r="N40" i="39"/>
  <c r="M40" i="39"/>
  <c r="E40" i="39"/>
  <c r="N39" i="39"/>
  <c r="M39" i="39"/>
  <c r="E39" i="39"/>
  <c r="N38" i="39"/>
  <c r="M38" i="39"/>
  <c r="E38" i="39"/>
  <c r="N37" i="39"/>
  <c r="M37" i="39"/>
  <c r="E37" i="39"/>
  <c r="N36" i="39"/>
  <c r="M36" i="39"/>
  <c r="E36" i="39"/>
  <c r="N35" i="39"/>
  <c r="M35" i="39"/>
  <c r="E35" i="39"/>
  <c r="N34" i="39"/>
  <c r="M34" i="39"/>
  <c r="E34" i="39"/>
  <c r="N33" i="39"/>
  <c r="M33" i="39"/>
  <c r="E33" i="39"/>
  <c r="N32" i="39"/>
  <c r="M32" i="39"/>
  <c r="E32" i="39"/>
  <c r="N31" i="39"/>
  <c r="M31" i="39"/>
  <c r="E31" i="39"/>
  <c r="N30" i="39"/>
  <c r="M30" i="39"/>
  <c r="E30" i="39"/>
  <c r="N29" i="39"/>
  <c r="M29" i="39"/>
  <c r="E29" i="39"/>
  <c r="N28" i="39"/>
  <c r="M28" i="39"/>
  <c r="E28" i="39"/>
  <c r="N27" i="39"/>
  <c r="M27" i="39"/>
  <c r="E27" i="39"/>
  <c r="N26" i="39"/>
  <c r="M26" i="39"/>
  <c r="E26" i="39"/>
  <c r="N25" i="39"/>
  <c r="M25" i="39"/>
  <c r="E25" i="39"/>
  <c r="N24" i="39"/>
  <c r="M24" i="39"/>
  <c r="E24" i="39"/>
  <c r="N23" i="39"/>
  <c r="M23" i="39"/>
  <c r="E23" i="39"/>
  <c r="N22" i="39"/>
  <c r="M22" i="39"/>
  <c r="E22" i="39"/>
  <c r="N21" i="39"/>
  <c r="M21" i="39"/>
  <c r="E21" i="39"/>
  <c r="N20" i="39"/>
  <c r="M20" i="39"/>
  <c r="E20" i="39"/>
  <c r="N19" i="39"/>
  <c r="M19" i="39"/>
  <c r="E19" i="39"/>
  <c r="N18" i="39"/>
  <c r="M18" i="39"/>
  <c r="E18" i="39"/>
  <c r="N17" i="39"/>
  <c r="M17" i="39"/>
  <c r="E17" i="39"/>
  <c r="N16" i="39"/>
  <c r="M16" i="39"/>
  <c r="E16" i="39"/>
  <c r="N15" i="39"/>
  <c r="M15" i="39"/>
  <c r="E15" i="39"/>
  <c r="N14" i="39"/>
  <c r="M14" i="39"/>
  <c r="E14" i="39"/>
  <c r="N13" i="39"/>
  <c r="M13" i="39"/>
  <c r="E13" i="39"/>
  <c r="N12" i="39"/>
  <c r="M12" i="39"/>
  <c r="E12" i="39"/>
  <c r="N11" i="39"/>
  <c r="M11" i="39"/>
  <c r="E11" i="39"/>
  <c r="E10" i="39"/>
  <c r="E9" i="39"/>
  <c r="E8" i="39"/>
  <c r="N42" i="38"/>
  <c r="M42" i="38"/>
  <c r="E42" i="38"/>
  <c r="N41" i="38"/>
  <c r="M41" i="38"/>
  <c r="E41" i="38"/>
  <c r="N40" i="38"/>
  <c r="M40" i="38"/>
  <c r="E40" i="38"/>
  <c r="N39" i="38"/>
  <c r="M39" i="38"/>
  <c r="E39" i="38"/>
  <c r="N38" i="38"/>
  <c r="M38" i="38"/>
  <c r="E38" i="38"/>
  <c r="N37" i="38"/>
  <c r="M37" i="38"/>
  <c r="E37" i="38"/>
  <c r="N36" i="38"/>
  <c r="M36" i="38"/>
  <c r="E36" i="38"/>
  <c r="N35" i="38"/>
  <c r="M35" i="38"/>
  <c r="E35" i="38"/>
  <c r="N34" i="38"/>
  <c r="M34" i="38"/>
  <c r="E34" i="38"/>
  <c r="N33" i="38"/>
  <c r="M33" i="38"/>
  <c r="E33" i="38"/>
  <c r="N32" i="38"/>
  <c r="M32" i="38"/>
  <c r="E32" i="38"/>
  <c r="N31" i="38"/>
  <c r="M31" i="38"/>
  <c r="E31" i="38"/>
  <c r="N30" i="38"/>
  <c r="M30" i="38"/>
  <c r="E30" i="38"/>
  <c r="N29" i="38"/>
  <c r="M29" i="38"/>
  <c r="E29" i="38"/>
  <c r="N28" i="38"/>
  <c r="M28" i="38"/>
  <c r="E28" i="38"/>
  <c r="N27" i="38"/>
  <c r="M27" i="38"/>
  <c r="E27" i="38"/>
  <c r="N26" i="38"/>
  <c r="M26" i="38"/>
  <c r="E26" i="38"/>
  <c r="N25" i="38"/>
  <c r="M25" i="38"/>
  <c r="E25" i="38"/>
  <c r="N24" i="38"/>
  <c r="M24" i="38"/>
  <c r="E24" i="38"/>
  <c r="N23" i="38"/>
  <c r="M23" i="38"/>
  <c r="E23" i="38"/>
  <c r="N22" i="38"/>
  <c r="M22" i="38"/>
  <c r="E22" i="38"/>
  <c r="N21" i="38"/>
  <c r="M21" i="38"/>
  <c r="E21" i="38"/>
  <c r="N20" i="38"/>
  <c r="M20" i="38"/>
  <c r="E20" i="38"/>
  <c r="N19" i="38"/>
  <c r="M19" i="38"/>
  <c r="E19" i="38"/>
  <c r="N18" i="38"/>
  <c r="M18" i="38"/>
  <c r="E18" i="38"/>
  <c r="N17" i="38"/>
  <c r="M17" i="38"/>
  <c r="E17" i="38"/>
  <c r="N16" i="38"/>
  <c r="M16" i="38"/>
  <c r="E16" i="38"/>
  <c r="N15" i="38"/>
  <c r="M15" i="38"/>
  <c r="E15" i="38"/>
  <c r="N14" i="38"/>
  <c r="M14" i="38"/>
  <c r="E14" i="38"/>
  <c r="N13" i="38"/>
  <c r="M13" i="38"/>
  <c r="E13" i="38"/>
  <c r="N12" i="38"/>
  <c r="M12" i="38"/>
  <c r="E12" i="38"/>
  <c r="N11" i="38"/>
  <c r="M11" i="38"/>
  <c r="E11" i="38"/>
  <c r="E10" i="38"/>
  <c r="E9" i="38"/>
  <c r="N42" i="37"/>
  <c r="M42" i="37"/>
  <c r="E42" i="37"/>
  <c r="N41" i="37"/>
  <c r="M41" i="37"/>
  <c r="E41" i="37"/>
  <c r="N40" i="37"/>
  <c r="M40" i="37"/>
  <c r="E40" i="37"/>
  <c r="N39" i="37"/>
  <c r="M39" i="37"/>
  <c r="E39" i="37"/>
  <c r="N38" i="37"/>
  <c r="M38" i="37"/>
  <c r="E38" i="37"/>
  <c r="N37" i="37"/>
  <c r="M37" i="37"/>
  <c r="E37" i="37"/>
  <c r="N36" i="37"/>
  <c r="M36" i="37"/>
  <c r="E36" i="37"/>
  <c r="N35" i="37"/>
  <c r="M35" i="37"/>
  <c r="E35" i="37"/>
  <c r="N34" i="37"/>
  <c r="M34" i="37"/>
  <c r="E34" i="37"/>
  <c r="N33" i="37"/>
  <c r="M33" i="37"/>
  <c r="E33" i="37"/>
  <c r="N32" i="37"/>
  <c r="M32" i="37"/>
  <c r="E32" i="37"/>
  <c r="N31" i="37"/>
  <c r="M31" i="37"/>
  <c r="E31" i="37"/>
  <c r="N30" i="37"/>
  <c r="M30" i="37"/>
  <c r="E30" i="37"/>
  <c r="N29" i="37"/>
  <c r="M29" i="37"/>
  <c r="E29" i="37"/>
  <c r="N28" i="37"/>
  <c r="M28" i="37"/>
  <c r="E28" i="37"/>
  <c r="N27" i="37"/>
  <c r="M27" i="37"/>
  <c r="E27" i="37"/>
  <c r="N26" i="37"/>
  <c r="M26" i="37"/>
  <c r="E26" i="37"/>
  <c r="N25" i="37"/>
  <c r="M25" i="37"/>
  <c r="E25" i="37"/>
  <c r="N24" i="37"/>
  <c r="M24" i="37"/>
  <c r="E24" i="37"/>
  <c r="N23" i="37"/>
  <c r="M23" i="37"/>
  <c r="E23" i="37"/>
  <c r="N22" i="37"/>
  <c r="M22" i="37"/>
  <c r="E22" i="37"/>
  <c r="N21" i="37"/>
  <c r="M21" i="37"/>
  <c r="E21" i="37"/>
  <c r="N20" i="37"/>
  <c r="M20" i="37"/>
  <c r="E20" i="37"/>
  <c r="N19" i="37"/>
  <c r="M19" i="37"/>
  <c r="E19" i="37"/>
  <c r="N18" i="37"/>
  <c r="M18" i="37"/>
  <c r="E18" i="37"/>
  <c r="N17" i="37"/>
  <c r="M17" i="37"/>
  <c r="E17" i="37"/>
  <c r="N16" i="37"/>
  <c r="M16" i="37"/>
  <c r="E16" i="37"/>
  <c r="N15" i="37"/>
  <c r="M15" i="37"/>
  <c r="E15" i="37"/>
  <c r="N14" i="37"/>
  <c r="M14" i="37"/>
  <c r="E14" i="37"/>
  <c r="N13" i="37"/>
  <c r="M13" i="37"/>
  <c r="E13" i="37"/>
  <c r="N12" i="37"/>
  <c r="M12" i="37"/>
  <c r="E12" i="37"/>
  <c r="N11" i="37"/>
  <c r="M11" i="37"/>
  <c r="E11" i="37"/>
  <c r="E10" i="37"/>
  <c r="E9" i="37"/>
  <c r="E8" i="37"/>
  <c r="N42" i="36"/>
  <c r="M42" i="36"/>
  <c r="E42" i="36"/>
  <c r="N41" i="36"/>
  <c r="M41" i="36"/>
  <c r="E41" i="36"/>
  <c r="N40" i="36"/>
  <c r="M40" i="36"/>
  <c r="E40" i="36"/>
  <c r="N39" i="36"/>
  <c r="M39" i="36"/>
  <c r="E39" i="36"/>
  <c r="N38" i="36"/>
  <c r="M38" i="36"/>
  <c r="E38" i="36"/>
  <c r="N37" i="36"/>
  <c r="M37" i="36"/>
  <c r="E37" i="36"/>
  <c r="N36" i="36"/>
  <c r="M36" i="36"/>
  <c r="E36" i="36"/>
  <c r="N35" i="36"/>
  <c r="M35" i="36"/>
  <c r="E35" i="36"/>
  <c r="N34" i="36"/>
  <c r="M34" i="36"/>
  <c r="E34" i="36"/>
  <c r="N33" i="36"/>
  <c r="M33" i="36"/>
  <c r="E33" i="36"/>
  <c r="N32" i="36"/>
  <c r="M32" i="36"/>
  <c r="E32" i="36"/>
  <c r="N31" i="36"/>
  <c r="M31" i="36"/>
  <c r="E31" i="36"/>
  <c r="N30" i="36"/>
  <c r="M30" i="36"/>
  <c r="E30" i="36"/>
  <c r="N29" i="36"/>
  <c r="M29" i="36"/>
  <c r="E29" i="36"/>
  <c r="N28" i="36"/>
  <c r="M28" i="36"/>
  <c r="E28" i="36"/>
  <c r="N27" i="36"/>
  <c r="M27" i="36"/>
  <c r="E27" i="36"/>
  <c r="N26" i="36"/>
  <c r="M26" i="36"/>
  <c r="E26" i="36"/>
  <c r="N25" i="36"/>
  <c r="M25" i="36"/>
  <c r="E25" i="36"/>
  <c r="N24" i="36"/>
  <c r="M24" i="36"/>
  <c r="E24" i="36"/>
  <c r="N23" i="36"/>
  <c r="M23" i="36"/>
  <c r="E23" i="36"/>
  <c r="N22" i="36"/>
  <c r="M22" i="36"/>
  <c r="E22" i="36"/>
  <c r="N21" i="36"/>
  <c r="M21" i="36"/>
  <c r="E21" i="36"/>
  <c r="N20" i="36"/>
  <c r="M20" i="36"/>
  <c r="E20" i="36"/>
  <c r="N19" i="36"/>
  <c r="M19" i="36"/>
  <c r="E19" i="36"/>
  <c r="N18" i="36"/>
  <c r="M18" i="36"/>
  <c r="E18" i="36"/>
  <c r="N17" i="36"/>
  <c r="M17" i="36"/>
  <c r="E17" i="36"/>
  <c r="N16" i="36"/>
  <c r="M16" i="36"/>
  <c r="E16" i="36"/>
  <c r="N15" i="36"/>
  <c r="M15" i="36"/>
  <c r="E15" i="36"/>
  <c r="N14" i="36"/>
  <c r="M14" i="36"/>
  <c r="E14" i="36"/>
  <c r="N13" i="36"/>
  <c r="M13" i="36"/>
  <c r="E13" i="36"/>
  <c r="N12" i="36"/>
  <c r="M12" i="36"/>
  <c r="E12" i="36"/>
  <c r="N11" i="36"/>
  <c r="M11" i="36"/>
  <c r="E11" i="36"/>
  <c r="E10" i="36"/>
  <c r="E9" i="36"/>
  <c r="E8" i="36"/>
  <c r="N42" i="35"/>
  <c r="M42" i="35"/>
  <c r="N41" i="35"/>
  <c r="M41" i="35"/>
  <c r="N40" i="35"/>
  <c r="M40" i="35"/>
  <c r="N39" i="35"/>
  <c r="M39" i="35"/>
  <c r="N38" i="35"/>
  <c r="M38" i="35"/>
  <c r="N37" i="35"/>
  <c r="M37" i="35"/>
  <c r="N36" i="35"/>
  <c r="M36" i="35"/>
  <c r="N35" i="35"/>
  <c r="M35" i="35"/>
  <c r="N34" i="35"/>
  <c r="M34" i="35"/>
  <c r="N33" i="35"/>
  <c r="M33" i="35"/>
  <c r="N32" i="35"/>
  <c r="M32" i="35"/>
  <c r="N31" i="35"/>
  <c r="M31" i="35"/>
  <c r="N30" i="35"/>
  <c r="M30" i="35"/>
  <c r="N29" i="35"/>
  <c r="M29" i="35"/>
  <c r="N28" i="35"/>
  <c r="M28" i="35"/>
  <c r="N27" i="35"/>
  <c r="M27" i="35"/>
  <c r="N26" i="35"/>
  <c r="M26" i="35"/>
  <c r="N25" i="35"/>
  <c r="M25" i="35"/>
  <c r="N24" i="35"/>
  <c r="M24" i="35"/>
  <c r="N23" i="35"/>
  <c r="M23" i="35"/>
  <c r="N22" i="35"/>
  <c r="M22" i="35"/>
  <c r="N21" i="35"/>
  <c r="M21" i="35"/>
  <c r="N20" i="35"/>
  <c r="M20" i="35"/>
  <c r="N19" i="35"/>
  <c r="M19" i="35"/>
  <c r="N18" i="35"/>
  <c r="M18" i="35"/>
  <c r="N17" i="35"/>
  <c r="M17" i="35"/>
  <c r="N16" i="35"/>
  <c r="M16" i="35"/>
  <c r="N15" i="35"/>
  <c r="M15" i="35"/>
  <c r="N14" i="35"/>
  <c r="M14" i="35"/>
  <c r="N13" i="35"/>
  <c r="M13" i="35"/>
  <c r="N12" i="35"/>
  <c r="M12" i="35"/>
  <c r="N11" i="35"/>
  <c r="M11" i="35"/>
  <c r="N42" i="34"/>
  <c r="M42" i="34"/>
  <c r="E42" i="34"/>
  <c r="N41" i="34"/>
  <c r="M41" i="34"/>
  <c r="E41" i="34"/>
  <c r="N40" i="34"/>
  <c r="M40" i="34"/>
  <c r="E40" i="34"/>
  <c r="N39" i="34"/>
  <c r="M39" i="34"/>
  <c r="E39" i="34"/>
  <c r="N38" i="34"/>
  <c r="M38" i="34"/>
  <c r="E38" i="34"/>
  <c r="N37" i="34"/>
  <c r="M37" i="34"/>
  <c r="E37" i="34"/>
  <c r="N36" i="34"/>
  <c r="M36" i="34"/>
  <c r="E36" i="34"/>
  <c r="N35" i="34"/>
  <c r="M35" i="34"/>
  <c r="E35" i="34"/>
  <c r="N34" i="34"/>
  <c r="M34" i="34"/>
  <c r="E34" i="34"/>
  <c r="N33" i="34"/>
  <c r="M33" i="34"/>
  <c r="E33" i="34"/>
  <c r="N32" i="34"/>
  <c r="M32" i="34"/>
  <c r="E32" i="34"/>
  <c r="N31" i="34"/>
  <c r="M31" i="34"/>
  <c r="E31" i="34"/>
  <c r="N30" i="34"/>
  <c r="M30" i="34"/>
  <c r="E30" i="34"/>
  <c r="N29" i="34"/>
  <c r="M29" i="34"/>
  <c r="E29" i="34"/>
  <c r="N28" i="34"/>
  <c r="M28" i="34"/>
  <c r="E28" i="34"/>
  <c r="N27" i="34"/>
  <c r="M27" i="34"/>
  <c r="E27" i="34"/>
  <c r="N26" i="34"/>
  <c r="M26" i="34"/>
  <c r="E26" i="34"/>
  <c r="N25" i="34"/>
  <c r="M25" i="34"/>
  <c r="E25" i="34"/>
  <c r="N24" i="34"/>
  <c r="M24" i="34"/>
  <c r="E24" i="34"/>
  <c r="N23" i="34"/>
  <c r="M23" i="34"/>
  <c r="E23" i="34"/>
  <c r="N22" i="34"/>
  <c r="M22" i="34"/>
  <c r="E22" i="34"/>
  <c r="N21" i="34"/>
  <c r="M21" i="34"/>
  <c r="E21" i="34"/>
  <c r="N20" i="34"/>
  <c r="M20" i="34"/>
  <c r="E20" i="34"/>
  <c r="N19" i="34"/>
  <c r="M19" i="34"/>
  <c r="E19" i="34"/>
  <c r="N18" i="34"/>
  <c r="M18" i="34"/>
  <c r="E18" i="34"/>
  <c r="N17" i="34"/>
  <c r="M17" i="34"/>
  <c r="E17" i="34"/>
  <c r="N16" i="34"/>
  <c r="M16" i="34"/>
  <c r="E16" i="34"/>
  <c r="N15" i="34"/>
  <c r="M15" i="34"/>
  <c r="E15" i="34"/>
  <c r="N14" i="34"/>
  <c r="M14" i="34"/>
  <c r="E14" i="34"/>
  <c r="N13" i="34"/>
  <c r="M13" i="34"/>
  <c r="E13" i="34"/>
  <c r="N12" i="34"/>
  <c r="M12" i="34"/>
  <c r="E12" i="34"/>
  <c r="N11" i="34"/>
  <c r="M11" i="34"/>
  <c r="E11" i="34"/>
  <c r="E10" i="34"/>
  <c r="E9" i="34"/>
  <c r="E8" i="34"/>
  <c r="N42" i="33"/>
  <c r="M42" i="33"/>
  <c r="E42" i="33"/>
  <c r="N41" i="33"/>
  <c r="M41" i="33"/>
  <c r="E41" i="33"/>
  <c r="N40" i="33"/>
  <c r="M40" i="33"/>
  <c r="E40" i="33"/>
  <c r="N39" i="33"/>
  <c r="M39" i="33"/>
  <c r="E39" i="33"/>
  <c r="N38" i="33"/>
  <c r="M38" i="33"/>
  <c r="E38" i="33"/>
  <c r="N37" i="33"/>
  <c r="M37" i="33"/>
  <c r="E37" i="33"/>
  <c r="N36" i="33"/>
  <c r="M36" i="33"/>
  <c r="E36" i="33"/>
  <c r="N35" i="33"/>
  <c r="M35" i="33"/>
  <c r="E35" i="33"/>
  <c r="N34" i="33"/>
  <c r="M34" i="33"/>
  <c r="E34" i="33"/>
  <c r="N33" i="33"/>
  <c r="M33" i="33"/>
  <c r="E33" i="33"/>
  <c r="N32" i="33"/>
  <c r="M32" i="33"/>
  <c r="E32" i="33"/>
  <c r="N31" i="33"/>
  <c r="M31" i="33"/>
  <c r="E31" i="33"/>
  <c r="N30" i="33"/>
  <c r="M30" i="33"/>
  <c r="E30" i="33"/>
  <c r="N29" i="33"/>
  <c r="M29" i="33"/>
  <c r="E29" i="33"/>
  <c r="N28" i="33"/>
  <c r="M28" i="33"/>
  <c r="E28" i="33"/>
  <c r="N27" i="33"/>
  <c r="M27" i="33"/>
  <c r="E27" i="33"/>
  <c r="N26" i="33"/>
  <c r="M26" i="33"/>
  <c r="E26" i="33"/>
  <c r="N25" i="33"/>
  <c r="M25" i="33"/>
  <c r="E25" i="33"/>
  <c r="N24" i="33"/>
  <c r="M24" i="33"/>
  <c r="E24" i="33"/>
  <c r="N23" i="33"/>
  <c r="M23" i="33"/>
  <c r="E23" i="33"/>
  <c r="N22" i="33"/>
  <c r="M22" i="33"/>
  <c r="E22" i="33"/>
  <c r="N21" i="33"/>
  <c r="M21" i="33"/>
  <c r="E21" i="33"/>
  <c r="N20" i="33"/>
  <c r="M20" i="33"/>
  <c r="E20" i="33"/>
  <c r="N19" i="33"/>
  <c r="M19" i="33"/>
  <c r="E19" i="33"/>
  <c r="N18" i="33"/>
  <c r="M18" i="33"/>
  <c r="E18" i="33"/>
  <c r="N17" i="33"/>
  <c r="M17" i="33"/>
  <c r="E17" i="33"/>
  <c r="N16" i="33"/>
  <c r="M16" i="33"/>
  <c r="E16" i="33"/>
  <c r="N15" i="33"/>
  <c r="M15" i="33"/>
  <c r="E15" i="33"/>
  <c r="N14" i="33"/>
  <c r="M14" i="33"/>
  <c r="E14" i="33"/>
  <c r="N13" i="33"/>
  <c r="M13" i="33"/>
  <c r="E13" i="33"/>
  <c r="N12" i="33"/>
  <c r="M12" i="33"/>
  <c r="E12" i="33"/>
  <c r="N11" i="33"/>
  <c r="M11" i="33"/>
  <c r="E11" i="33"/>
  <c r="E10" i="33"/>
  <c r="E9" i="33"/>
  <c r="E8" i="33"/>
  <c r="N42" i="32"/>
  <c r="M42" i="32"/>
  <c r="E42" i="32"/>
  <c r="N41" i="32"/>
  <c r="M41" i="32"/>
  <c r="E41" i="32"/>
  <c r="N40" i="32"/>
  <c r="M40" i="32"/>
  <c r="E40" i="32"/>
  <c r="N39" i="32"/>
  <c r="M39" i="32"/>
  <c r="E39" i="32"/>
  <c r="N38" i="32"/>
  <c r="M38" i="32"/>
  <c r="E38" i="32"/>
  <c r="N37" i="32"/>
  <c r="M37" i="32"/>
  <c r="E37" i="32"/>
  <c r="N36" i="32"/>
  <c r="M36" i="32"/>
  <c r="E36" i="32"/>
  <c r="N35" i="32"/>
  <c r="M35" i="32"/>
  <c r="E35" i="32"/>
  <c r="N34" i="32"/>
  <c r="M34" i="32"/>
  <c r="E34" i="32"/>
  <c r="N33" i="32"/>
  <c r="M33" i="32"/>
  <c r="E33" i="32"/>
  <c r="N32" i="32"/>
  <c r="M32" i="32"/>
  <c r="E32" i="32"/>
  <c r="N31" i="32"/>
  <c r="M31" i="32"/>
  <c r="E31" i="32"/>
  <c r="N30" i="32"/>
  <c r="M30" i="32"/>
  <c r="E30" i="32"/>
  <c r="N29" i="32"/>
  <c r="M29" i="32"/>
  <c r="E29" i="32"/>
  <c r="N28" i="32"/>
  <c r="M28" i="32"/>
  <c r="E28" i="32"/>
  <c r="N27" i="32"/>
  <c r="M27" i="32"/>
  <c r="E27" i="32"/>
  <c r="N26" i="32"/>
  <c r="M26" i="32"/>
  <c r="E26" i="32"/>
  <c r="N25" i="32"/>
  <c r="M25" i="32"/>
  <c r="E25" i="32"/>
  <c r="N24" i="32"/>
  <c r="M24" i="32"/>
  <c r="E24" i="32"/>
  <c r="N23" i="32"/>
  <c r="M23" i="32"/>
  <c r="E23" i="32"/>
  <c r="N22" i="32"/>
  <c r="M22" i="32"/>
  <c r="E22" i="32"/>
  <c r="N21" i="32"/>
  <c r="M21" i="32"/>
  <c r="E21" i="32"/>
  <c r="N20" i="32"/>
  <c r="M20" i="32"/>
  <c r="E20" i="32"/>
  <c r="N19" i="32"/>
  <c r="M19" i="32"/>
  <c r="E19" i="32"/>
  <c r="N18" i="32"/>
  <c r="M18" i="32"/>
  <c r="E18" i="32"/>
  <c r="N17" i="32"/>
  <c r="M17" i="32"/>
  <c r="E17" i="32"/>
  <c r="N16" i="32"/>
  <c r="M16" i="32"/>
  <c r="E16" i="32"/>
  <c r="N15" i="32"/>
  <c r="M15" i="32"/>
  <c r="E15" i="32"/>
  <c r="N14" i="32"/>
  <c r="M14" i="32"/>
  <c r="E14" i="32"/>
  <c r="N13" i="32"/>
  <c r="M13" i="32"/>
  <c r="E13" i="32"/>
  <c r="N12" i="32"/>
  <c r="M12" i="32"/>
  <c r="E12" i="32"/>
  <c r="N11" i="32"/>
  <c r="M11" i="32"/>
  <c r="E11" i="32"/>
  <c r="E10" i="32"/>
  <c r="E9" i="32"/>
  <c r="E8" i="32"/>
  <c r="N42" i="31"/>
  <c r="M42" i="31"/>
  <c r="E42" i="31"/>
  <c r="N41" i="31"/>
  <c r="M41" i="31"/>
  <c r="E41" i="31"/>
  <c r="N40" i="31"/>
  <c r="M40" i="31"/>
  <c r="E40" i="31"/>
  <c r="N39" i="31"/>
  <c r="M39" i="31"/>
  <c r="E39" i="31"/>
  <c r="N38" i="31"/>
  <c r="M38" i="31"/>
  <c r="E38" i="31"/>
  <c r="N37" i="31"/>
  <c r="M37" i="31"/>
  <c r="E37" i="31"/>
  <c r="N36" i="31"/>
  <c r="M36" i="31"/>
  <c r="E36" i="31"/>
  <c r="N35" i="31"/>
  <c r="M35" i="31"/>
  <c r="E35" i="31"/>
  <c r="N34" i="31"/>
  <c r="M34" i="31"/>
  <c r="E34" i="31"/>
  <c r="N33" i="31"/>
  <c r="M33" i="31"/>
  <c r="E33" i="31"/>
  <c r="N32" i="31"/>
  <c r="M32" i="31"/>
  <c r="E32" i="31"/>
  <c r="N31" i="31"/>
  <c r="M31" i="31"/>
  <c r="E31" i="31"/>
  <c r="N30" i="31"/>
  <c r="M30" i="31"/>
  <c r="E30" i="31"/>
  <c r="N29" i="31"/>
  <c r="M29" i="31"/>
  <c r="E29" i="31"/>
  <c r="N28" i="31"/>
  <c r="M28" i="31"/>
  <c r="E28" i="31"/>
  <c r="N27" i="31"/>
  <c r="M27" i="31"/>
  <c r="E27" i="31"/>
  <c r="N26" i="31"/>
  <c r="M26" i="31"/>
  <c r="E26" i="31"/>
  <c r="N25" i="31"/>
  <c r="M25" i="31"/>
  <c r="E25" i="31"/>
  <c r="N24" i="31"/>
  <c r="M24" i="31"/>
  <c r="E24" i="31"/>
  <c r="N23" i="31"/>
  <c r="M23" i="31"/>
  <c r="E23" i="31"/>
  <c r="N22" i="31"/>
  <c r="M22" i="31"/>
  <c r="E22" i="31"/>
  <c r="N21" i="31"/>
  <c r="M21" i="31"/>
  <c r="E21" i="31"/>
  <c r="N20" i="31"/>
  <c r="M20" i="31"/>
  <c r="E20" i="31"/>
  <c r="N19" i="31"/>
  <c r="M19" i="31"/>
  <c r="E19" i="31"/>
  <c r="N18" i="31"/>
  <c r="M18" i="31"/>
  <c r="E18" i="31"/>
  <c r="N17" i="31"/>
  <c r="M17" i="31"/>
  <c r="E17" i="31"/>
  <c r="N16" i="31"/>
  <c r="M16" i="31"/>
  <c r="E16" i="31"/>
  <c r="N15" i="31"/>
  <c r="M15" i="31"/>
  <c r="E15" i="31"/>
  <c r="N14" i="31"/>
  <c r="M14" i="31"/>
  <c r="E14" i="31"/>
  <c r="N13" i="31"/>
  <c r="M13" i="31"/>
  <c r="E13" i="31"/>
  <c r="N12" i="31"/>
  <c r="M12" i="31"/>
  <c r="E12" i="31"/>
  <c r="N11" i="31"/>
  <c r="M11" i="31"/>
  <c r="E11" i="31"/>
  <c r="E10" i="31"/>
  <c r="E9" i="31"/>
  <c r="E8" i="31"/>
  <c r="N42" i="30"/>
  <c r="M42" i="30"/>
  <c r="E42" i="30"/>
  <c r="N41" i="30"/>
  <c r="M41" i="30"/>
  <c r="E41" i="30"/>
  <c r="N40" i="30"/>
  <c r="M40" i="30"/>
  <c r="E40" i="30"/>
  <c r="N39" i="30"/>
  <c r="M39" i="30"/>
  <c r="E39" i="30"/>
  <c r="N38" i="30"/>
  <c r="M38" i="30"/>
  <c r="E38" i="30"/>
  <c r="N37" i="30"/>
  <c r="M37" i="30"/>
  <c r="E37" i="30"/>
  <c r="N36" i="30"/>
  <c r="M36" i="30"/>
  <c r="E36" i="30"/>
  <c r="N35" i="30"/>
  <c r="M35" i="30"/>
  <c r="E35" i="30"/>
  <c r="N34" i="30"/>
  <c r="M34" i="30"/>
  <c r="E34" i="30"/>
  <c r="N33" i="30"/>
  <c r="M33" i="30"/>
  <c r="E33" i="30"/>
  <c r="N32" i="30"/>
  <c r="M32" i="30"/>
  <c r="E32" i="30"/>
  <c r="N31" i="30"/>
  <c r="M31" i="30"/>
  <c r="E31" i="30"/>
  <c r="N30" i="30"/>
  <c r="M30" i="30"/>
  <c r="E30" i="30"/>
  <c r="N29" i="30"/>
  <c r="M29" i="30"/>
  <c r="E29" i="30"/>
  <c r="N28" i="30"/>
  <c r="M28" i="30"/>
  <c r="E28" i="30"/>
  <c r="N27" i="30"/>
  <c r="M27" i="30"/>
  <c r="E27" i="30"/>
  <c r="N26" i="30"/>
  <c r="M26" i="30"/>
  <c r="E26" i="30"/>
  <c r="N25" i="30"/>
  <c r="M25" i="30"/>
  <c r="E25" i="30"/>
  <c r="N24" i="30"/>
  <c r="M24" i="30"/>
  <c r="E24" i="30"/>
  <c r="N23" i="30"/>
  <c r="M23" i="30"/>
  <c r="E23" i="30"/>
  <c r="N22" i="30"/>
  <c r="M22" i="30"/>
  <c r="E22" i="30"/>
  <c r="N21" i="30"/>
  <c r="M21" i="30"/>
  <c r="E21" i="30"/>
  <c r="N20" i="30"/>
  <c r="M20" i="30"/>
  <c r="E20" i="30"/>
  <c r="N19" i="30"/>
  <c r="M19" i="30"/>
  <c r="E19" i="30"/>
  <c r="N18" i="30"/>
  <c r="M18" i="30"/>
  <c r="E18" i="30"/>
  <c r="N17" i="30"/>
  <c r="M17" i="30"/>
  <c r="E17" i="30"/>
  <c r="N16" i="30"/>
  <c r="M16" i="30"/>
  <c r="E16" i="30"/>
  <c r="N15" i="30"/>
  <c r="M15" i="30"/>
  <c r="E15" i="30"/>
  <c r="N14" i="30"/>
  <c r="M14" i="30"/>
  <c r="E14" i="30"/>
  <c r="N13" i="30"/>
  <c r="M13" i="30"/>
  <c r="E13" i="30"/>
  <c r="N12" i="30"/>
  <c r="M12" i="30"/>
  <c r="E12" i="30"/>
  <c r="N11" i="30"/>
  <c r="M11" i="30"/>
  <c r="E11" i="30"/>
  <c r="E10" i="30"/>
  <c r="E9" i="30"/>
  <c r="E8" i="30"/>
  <c r="E8"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J9" i="2"/>
  <c r="E9" i="1"/>
  <c r="J4" i="2"/>
  <c r="J5" i="2"/>
  <c r="J6" i="2"/>
  <c r="J7" i="2"/>
  <c r="J8"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E10"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O10" i="18" l="1" a="1"/>
  <c r="O10" i="18" s="1"/>
  <c r="O22" i="18" a="1"/>
  <c r="O22" i="18" s="1"/>
  <c r="U10" i="18" a="1"/>
  <c r="U10" i="18" s="1"/>
  <c r="S10" i="18" a="1"/>
  <c r="S10" i="18" s="1"/>
  <c r="V10" i="18" a="1"/>
  <c r="V10" i="18" s="1"/>
  <c r="T10" i="18" a="1"/>
  <c r="T10" i="18" s="1"/>
  <c r="R10" i="18" a="1"/>
  <c r="R10" i="18" s="1"/>
  <c r="V22" i="18" a="1"/>
  <c r="V22" i="18" s="1"/>
  <c r="T22" i="18" a="1"/>
  <c r="T22" i="18" s="1"/>
  <c r="R22" i="18" a="1"/>
  <c r="R22" i="18" s="1"/>
  <c r="U22" i="18" a="1"/>
  <c r="U22" i="18" s="1"/>
  <c r="S22" i="18" a="1"/>
  <c r="S22" i="18" s="1"/>
  <c r="Q22" i="18" a="1"/>
  <c r="Q22" i="18" s="1"/>
  <c r="Q10" i="18" a="1"/>
  <c r="Q10" i="18" s="1"/>
  <c r="P22" i="18" a="1"/>
  <c r="P22" i="18" s="1"/>
  <c r="P10" i="18" a="1"/>
  <c r="P10" i="18" s="1"/>
  <c r="H9" i="32" a="1"/>
  <c r="H9" i="32" s="1"/>
  <c r="M8" i="38"/>
  <c r="N8" i="38" s="1"/>
  <c r="N22" i="18" a="1"/>
  <c r="N22" i="18" s="1"/>
  <c r="N10" i="18" a="1"/>
  <c r="N10" i="18" s="1"/>
  <c r="G8" i="30"/>
  <c r="F8" i="30"/>
  <c r="G9" i="30"/>
  <c r="F9" i="30"/>
  <c r="O8" i="18"/>
  <c r="Q8" i="18"/>
  <c r="N8" i="18"/>
  <c r="V8" i="18"/>
  <c r="S8" i="18"/>
  <c r="P8" i="18"/>
  <c r="R8" i="18"/>
  <c r="T8" i="18"/>
  <c r="U8" i="18"/>
  <c r="F11" i="18"/>
  <c r="E14" i="18" a="1"/>
  <c r="E14" i="18" s="1"/>
  <c r="F14" i="18" a="1"/>
  <c r="F14" i="18" s="1"/>
  <c r="D14" i="18" a="1"/>
  <c r="D14" i="18" s="1"/>
  <c r="F13" i="18"/>
  <c r="D19" i="18"/>
  <c r="F22" i="18" a="1"/>
  <c r="F22" i="18" s="1"/>
  <c r="D22" i="18" a="1"/>
  <c r="D22" i="18" s="1"/>
  <c r="E22" i="18" a="1"/>
  <c r="E22" i="18" s="1"/>
  <c r="E10" i="18" a="1"/>
  <c r="E10" i="18" s="1"/>
  <c r="D10" i="18" a="1"/>
  <c r="D10" i="18" s="1"/>
  <c r="F10" i="18" a="1"/>
  <c r="F10" i="18" s="1"/>
  <c r="F16" i="18"/>
  <c r="D16" i="18"/>
  <c r="D18" i="18" a="1"/>
  <c r="D18" i="18" s="1"/>
  <c r="F15" i="18"/>
  <c r="D15" i="18"/>
  <c r="F18" i="18" a="1"/>
  <c r="F18" i="18" s="1"/>
  <c r="E18" i="18" a="1"/>
  <c r="E18" i="18" s="1"/>
  <c r="D20" i="18"/>
  <c r="F12" i="18"/>
  <c r="D17" i="18"/>
  <c r="F17" i="18"/>
  <c r="G8" i="39"/>
  <c r="F8" i="39"/>
  <c r="M14" i="1"/>
  <c r="N14" i="1" s="1"/>
  <c r="M13" i="1"/>
  <c r="N13" i="1" s="1"/>
  <c r="E9" i="18"/>
  <c r="D9" i="18"/>
  <c r="F9" i="18"/>
  <c r="E21" i="18"/>
  <c r="D21" i="18"/>
  <c r="F21" i="18"/>
  <c r="E13" i="18"/>
  <c r="D13" i="18"/>
  <c r="E19" i="18"/>
  <c r="F19" i="18"/>
  <c r="D11" i="18"/>
  <c r="E11" i="18"/>
  <c r="D7" i="18"/>
  <c r="E7" i="18"/>
  <c r="F7" i="18"/>
  <c r="E16" i="18"/>
  <c r="E15" i="18"/>
  <c r="E8" i="18"/>
  <c r="D8" i="18"/>
  <c r="F8" i="18"/>
  <c r="E20" i="18"/>
  <c r="F20" i="18"/>
  <c r="E12" i="18"/>
  <c r="D12" i="18"/>
  <c r="E17" i="18"/>
  <c r="M10" i="40"/>
  <c r="N10" i="40" s="1"/>
  <c r="M9" i="40"/>
  <c r="N9" i="40" s="1"/>
  <c r="M8" i="40"/>
  <c r="M9" i="39"/>
  <c r="N9" i="39" s="1"/>
  <c r="M8" i="39"/>
  <c r="M10" i="39"/>
  <c r="N10" i="39" s="1"/>
  <c r="M10" i="38"/>
  <c r="N10" i="38" s="1"/>
  <c r="M9" i="38"/>
  <c r="N9" i="38" s="1"/>
  <c r="M10" i="37"/>
  <c r="N10" i="37" s="1"/>
  <c r="M8" i="37"/>
  <c r="M9" i="37"/>
  <c r="N9" i="37" s="1"/>
  <c r="M10" i="36"/>
  <c r="N10" i="36" s="1"/>
  <c r="M9" i="36"/>
  <c r="N9" i="36" s="1"/>
  <c r="M8" i="36"/>
  <c r="M9" i="34"/>
  <c r="N9" i="34" s="1"/>
  <c r="M8" i="35"/>
  <c r="M8" i="34"/>
  <c r="M10" i="35"/>
  <c r="N10" i="35" s="1"/>
  <c r="M10" i="33"/>
  <c r="N10" i="33" s="1"/>
  <c r="M9" i="35"/>
  <c r="N9" i="35" s="1"/>
  <c r="M9" i="33"/>
  <c r="N9" i="33" s="1"/>
  <c r="M8" i="32"/>
  <c r="M10" i="32"/>
  <c r="N10" i="32" s="1"/>
  <c r="M8" i="33"/>
  <c r="M10" i="34"/>
  <c r="N10" i="34" s="1"/>
  <c r="M8" i="31"/>
  <c r="M10" i="31"/>
  <c r="N10" i="31" s="1"/>
  <c r="M9" i="31"/>
  <c r="N9" i="31" s="1"/>
  <c r="M10" i="30"/>
  <c r="N10" i="30" s="1"/>
  <c r="M8" i="30"/>
  <c r="M9" i="30"/>
  <c r="N9" i="30" s="1"/>
  <c r="I9" i="32" l="1"/>
  <c r="J9" i="32" s="1"/>
  <c r="O14" i="18" s="1" a="1"/>
  <c r="O14" i="18" s="1"/>
  <c r="H18" i="18" a="1"/>
  <c r="H18" i="18" s="1"/>
  <c r="G18" i="18" a="1"/>
  <c r="G18" i="18" s="1"/>
  <c r="I18" i="18" a="1"/>
  <c r="I18" i="18" s="1"/>
  <c r="H22" i="18" a="1"/>
  <c r="H22" i="18" s="1"/>
  <c r="I22" i="18" a="1"/>
  <c r="I22" i="18" s="1"/>
  <c r="G22" i="18" a="1"/>
  <c r="G22" i="18" s="1"/>
  <c r="N8" i="35"/>
  <c r="G15" i="18"/>
  <c r="I15" i="18"/>
  <c r="H15" i="18"/>
  <c r="N8" i="39"/>
  <c r="H20" i="18"/>
  <c r="G20" i="18"/>
  <c r="I20" i="18"/>
  <c r="N8" i="34"/>
  <c r="H13" i="18"/>
  <c r="G13" i="18"/>
  <c r="I13" i="18"/>
  <c r="N8" i="33"/>
  <c r="H12" i="18"/>
  <c r="G12" i="18"/>
  <c r="I12" i="18"/>
  <c r="N8" i="30"/>
  <c r="I8" i="18"/>
  <c r="H8" i="18"/>
  <c r="G8" i="18"/>
  <c r="N8" i="36"/>
  <c r="G16" i="18"/>
  <c r="I16" i="18"/>
  <c r="H16" i="18"/>
  <c r="N8" i="37"/>
  <c r="I17" i="18"/>
  <c r="H17" i="18"/>
  <c r="G17" i="18"/>
  <c r="I19" i="18"/>
  <c r="H19" i="18"/>
  <c r="G19" i="18"/>
  <c r="N8" i="40"/>
  <c r="H21" i="18"/>
  <c r="G21" i="18"/>
  <c r="I21" i="18"/>
  <c r="N8" i="31"/>
  <c r="H9" i="18"/>
  <c r="G9" i="18"/>
  <c r="I9" i="18"/>
  <c r="N8" i="32"/>
  <c r="S14" i="18" l="1" a="1"/>
  <c r="S14" i="18" s="1"/>
  <c r="R14" i="18" a="1"/>
  <c r="R14" i="18" s="1"/>
  <c r="U14" i="18" a="1"/>
  <c r="U14" i="18" s="1"/>
  <c r="T14" i="18" a="1"/>
  <c r="T14" i="18" s="1"/>
  <c r="V14" i="18" a="1"/>
  <c r="V14" i="18" s="1"/>
  <c r="Q14" i="18" a="1"/>
  <c r="Q14" i="18" s="1"/>
  <c r="P14" i="18" a="1"/>
  <c r="P14" i="18" s="1"/>
  <c r="R11" i="18"/>
  <c r="S11" i="18"/>
  <c r="N11" i="18"/>
  <c r="N14" i="18" a="1"/>
  <c r="N14" i="18" s="1"/>
  <c r="U11" i="18"/>
  <c r="M9" i="32"/>
  <c r="O11" i="18"/>
  <c r="P11" i="18"/>
  <c r="Q11" i="18"/>
  <c r="T11" i="18"/>
  <c r="M10" i="1"/>
  <c r="S7" i="18"/>
  <c r="V7" i="18"/>
  <c r="T7" i="18"/>
  <c r="P7" i="18"/>
  <c r="R7" i="18"/>
  <c r="U7" i="18"/>
  <c r="Q7" i="18"/>
  <c r="M9" i="1"/>
  <c r="N7" i="18"/>
  <c r="O7" i="18"/>
  <c r="M8" i="1"/>
  <c r="N9" i="32" l="1"/>
  <c r="H11" i="18"/>
  <c r="I11" i="18"/>
  <c r="G11" i="18"/>
  <c r="G14" i="18" a="1"/>
  <c r="G14" i="18" s="1"/>
  <c r="I14" i="18" a="1"/>
  <c r="I14" i="18" s="1"/>
  <c r="H14" i="18" a="1"/>
  <c r="H14" i="18" s="1"/>
  <c r="H10" i="18" a="1"/>
  <c r="H10" i="18" s="1"/>
  <c r="G10" i="18" a="1"/>
  <c r="G10" i="18" s="1"/>
  <c r="I10" i="18" a="1"/>
  <c r="I10" i="18" s="1"/>
  <c r="H7" i="18"/>
  <c r="I7" i="18"/>
  <c r="G7" i="18"/>
  <c r="N10" i="1"/>
  <c r="N8" i="1"/>
  <c r="N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<sst xmlns="http://schemas.openxmlformats.org/spreadsheetml/2006/main" count="577" uniqueCount="254">
  <si>
    <t>Name</t>
  </si>
  <si>
    <t xml:space="preserve">Month: </t>
  </si>
  <si>
    <t>Year:</t>
  </si>
  <si>
    <t>Enter Year Here</t>
  </si>
  <si>
    <t>November</t>
  </si>
  <si>
    <t>October</t>
  </si>
  <si>
    <t>January</t>
  </si>
  <si>
    <t>February</t>
  </si>
  <si>
    <t>March</t>
  </si>
  <si>
    <t>April</t>
  </si>
  <si>
    <t>May</t>
  </si>
  <si>
    <t>June</t>
  </si>
  <si>
    <t>July</t>
  </si>
  <si>
    <t>August</t>
  </si>
  <si>
    <t>September</t>
  </si>
  <si>
    <t>December</t>
  </si>
  <si>
    <t xml:space="preserve">Medium </t>
  </si>
  <si>
    <t>Low</t>
  </si>
  <si>
    <t>Comments</t>
  </si>
  <si>
    <t>No</t>
  </si>
  <si>
    <t>Yes</t>
  </si>
  <si>
    <t>High</t>
  </si>
  <si>
    <t xml:space="preserve">Service Name: </t>
  </si>
  <si>
    <t>Adults Name</t>
  </si>
  <si>
    <t>What Month Triggered Action?</t>
  </si>
  <si>
    <t xml:space="preserve">Date Action Completed </t>
  </si>
  <si>
    <t xml:space="preserve">Review of Actions Taken </t>
  </si>
  <si>
    <t>Details of results seen following action:</t>
  </si>
  <si>
    <t>Date Action Reviewed</t>
  </si>
  <si>
    <r>
      <t>Was further action required? (Y/N)</t>
    </r>
    <r>
      <rPr>
        <sz val="8"/>
        <color theme="1"/>
        <rFont val="Calibri"/>
        <family val="2"/>
        <scheme val="minor"/>
      </rPr>
      <t xml:space="preserve"> 
(If Y, detail in new row)</t>
    </r>
  </si>
  <si>
    <t>Was Improvement Seen Following Action? (Y/N)</t>
  </si>
  <si>
    <t xml:space="preserve">April </t>
  </si>
  <si>
    <t>Additional Action</t>
  </si>
  <si>
    <t xml:space="preserve">Date Identified </t>
  </si>
  <si>
    <t>Responsible Person</t>
  </si>
  <si>
    <t>Weight Comparison Action Plan</t>
  </si>
  <si>
    <t>Malnutrition Risk Monitoring</t>
  </si>
  <si>
    <t>Height (cm)</t>
  </si>
  <si>
    <t>BMI Score</t>
  </si>
  <si>
    <t>+</t>
  </si>
  <si>
    <t xml:space="preserve">Unplanned Weight Loss Score </t>
  </si>
  <si>
    <t>MUST Score Calculation Process</t>
  </si>
  <si>
    <t>= 0</t>
  </si>
  <si>
    <t>= 1</t>
  </si>
  <si>
    <t>= 2</t>
  </si>
  <si>
    <t>If BMI is between 18.5 and 20</t>
  </si>
  <si>
    <t>If BMI is greater than (&gt;) 20</t>
  </si>
  <si>
    <t>If BMI is less than (&lt;) 18.5</t>
  </si>
  <si>
    <t>If weight loss greater than (&gt;) 10%</t>
  </si>
  <si>
    <t>If weight loss is between 5% and 10%</t>
  </si>
  <si>
    <t>Is weight loss is less than (&lt;) 5%</t>
  </si>
  <si>
    <t>MUST Risk</t>
  </si>
  <si>
    <t>RAG Rating</t>
  </si>
  <si>
    <t>2 or More</t>
  </si>
  <si>
    <t>Total Must Score</t>
  </si>
  <si>
    <t>Medium</t>
  </si>
  <si>
    <t>Green</t>
  </si>
  <si>
    <t>Amber</t>
  </si>
  <si>
    <t>Red</t>
  </si>
  <si>
    <t>Date Care Plan &amp; Any Relevent Risk Assessments Last Updated</t>
  </si>
  <si>
    <t xml:space="preserve">Weekly </t>
  </si>
  <si>
    <t xml:space="preserve">Monthly </t>
  </si>
  <si>
    <t>Fortnightly</t>
  </si>
  <si>
    <r>
      <t xml:space="preserve">Is Action Required? (Yes/No)
</t>
    </r>
    <r>
      <rPr>
        <sz val="8"/>
        <color theme="1"/>
        <rFont val="Calibri"/>
        <family val="2"/>
        <scheme val="minor"/>
      </rPr>
      <t>(If Y, please complete Action Plan tab)</t>
    </r>
  </si>
  <si>
    <t>Is the adults weight stable?
(Yes/No)</t>
  </si>
  <si>
    <t xml:space="preserve">Is this BMI/Weight/MUST typical for the adult? (Yes/No) </t>
  </si>
  <si>
    <t>If Yes, what would indicate a concern/is atypical for this adult?</t>
  </si>
  <si>
    <t>If Weight has been lost, is this Planned? (Yes/No)</t>
  </si>
  <si>
    <t>Weight History</t>
  </si>
  <si>
    <t>MUST</t>
  </si>
  <si>
    <t>Weight (kg) Difference from Highest Weight in Past 3 - 6 Months (Current Month - Highest Month)</t>
  </si>
  <si>
    <t>Weight (kg) Difference from Highest Weight in 3 - 6 months as %</t>
  </si>
  <si>
    <t>Highest Weight in the Past 3 - 6 Months</t>
  </si>
  <si>
    <t>1 - Slightly Thick</t>
  </si>
  <si>
    <t>2 - Mildly Thick</t>
  </si>
  <si>
    <t>3 - Moderately Thick</t>
  </si>
  <si>
    <t>4 - Extremely Thick</t>
  </si>
  <si>
    <t>0 - Thin</t>
  </si>
  <si>
    <t>3 - Liquidised</t>
  </si>
  <si>
    <t>4 - Pureed</t>
  </si>
  <si>
    <t>5 - Minced &amp; Moist</t>
  </si>
  <si>
    <t>6 - Soft &amp; Bite‑Sized</t>
  </si>
  <si>
    <t>7 - Regular / Easy to Chew</t>
  </si>
  <si>
    <t>Weight Considerations</t>
  </si>
  <si>
    <t>Diet Considerations</t>
  </si>
  <si>
    <t>Current  Weight</t>
  </si>
  <si>
    <t>If Yes, please detail</t>
  </si>
  <si>
    <t>If Yes, give details</t>
  </si>
  <si>
    <t xml:space="preserve">Is there any explanation for BMI/Weight/MUST changes? 
(Yes/No) </t>
  </si>
  <si>
    <t>Is the adult on a special/fortified diet? 
(e.g. cultural, dietary restrictions, fortified etc)
(Yes/No)</t>
  </si>
  <si>
    <t>If the adult has been assessed for texture-modified Food, please record the level below</t>
  </si>
  <si>
    <t>If the adult has been assessed for texture-modified Fluid, please record the level below</t>
  </si>
  <si>
    <t>Weight Overview</t>
  </si>
  <si>
    <t>Previous Year</t>
  </si>
  <si>
    <t>Current Year</t>
  </si>
  <si>
    <t>January Weight (kg)</t>
  </si>
  <si>
    <t>February Weight (kg)</t>
  </si>
  <si>
    <r>
      <t>January BMI (kg/m</t>
    </r>
    <r>
      <rPr>
        <vertAlign val="superscript"/>
        <sz val="11"/>
        <color theme="1"/>
        <rFont val="Calibri"/>
        <family val="2"/>
        <scheme val="minor"/>
      </rPr>
      <t>2</t>
    </r>
    <r>
      <rPr>
        <sz val="11"/>
        <color theme="1"/>
        <rFont val="Calibri"/>
        <family val="2"/>
        <scheme val="minor"/>
      </rPr>
      <t>)</t>
    </r>
  </si>
  <si>
    <t>July Weight (kg)</t>
  </si>
  <si>
    <t>November Weight (kg)</t>
  </si>
  <si>
    <t>August Weight (kg)</t>
  </si>
  <si>
    <t>September Weight (kg)</t>
  </si>
  <si>
    <t>October Weight (kg)</t>
  </si>
  <si>
    <t>Weight (kg) Difference Between Dec &amp; Jan as %</t>
  </si>
  <si>
    <t xml:space="preserve">January MUST Score </t>
  </si>
  <si>
    <t>January MUST Risk</t>
  </si>
  <si>
    <r>
      <t>February BMI (kg/m</t>
    </r>
    <r>
      <rPr>
        <vertAlign val="superscript"/>
        <sz val="11"/>
        <color theme="1"/>
        <rFont val="Calibri"/>
        <family val="2"/>
        <scheme val="minor"/>
      </rPr>
      <t>2</t>
    </r>
    <r>
      <rPr>
        <sz val="11"/>
        <color theme="1"/>
        <rFont val="Calibri"/>
        <family val="2"/>
        <scheme val="minor"/>
      </rPr>
      <t>)</t>
    </r>
  </si>
  <si>
    <t xml:space="preserve">February MUST Score </t>
  </si>
  <si>
    <t>February MUST Risk</t>
  </si>
  <si>
    <t>March Weight (kg)</t>
  </si>
  <si>
    <r>
      <t>March BMI (kg/m</t>
    </r>
    <r>
      <rPr>
        <vertAlign val="superscript"/>
        <sz val="11"/>
        <color theme="1"/>
        <rFont val="Calibri"/>
        <family val="2"/>
        <scheme val="minor"/>
      </rPr>
      <t>2</t>
    </r>
    <r>
      <rPr>
        <sz val="11"/>
        <color theme="1"/>
        <rFont val="Calibri"/>
        <family val="2"/>
        <scheme val="minor"/>
      </rPr>
      <t>)</t>
    </r>
  </si>
  <si>
    <t xml:space="preserve">March MUST Score </t>
  </si>
  <si>
    <t>March MUST Risk</t>
  </si>
  <si>
    <t>April Weight (kg)</t>
  </si>
  <si>
    <r>
      <t>April BMI (kg/m</t>
    </r>
    <r>
      <rPr>
        <vertAlign val="superscript"/>
        <sz val="11"/>
        <color theme="1"/>
        <rFont val="Calibri"/>
        <family val="2"/>
        <scheme val="minor"/>
      </rPr>
      <t>2</t>
    </r>
    <r>
      <rPr>
        <sz val="11"/>
        <color theme="1"/>
        <rFont val="Calibri"/>
        <family val="2"/>
        <scheme val="minor"/>
      </rPr>
      <t>)</t>
    </r>
  </si>
  <si>
    <t xml:space="preserve">April MUST Score </t>
  </si>
  <si>
    <t>April MUST Risk</t>
  </si>
  <si>
    <t>May Weight (kg)</t>
  </si>
  <si>
    <r>
      <t>May BMI (kg/m</t>
    </r>
    <r>
      <rPr>
        <vertAlign val="superscript"/>
        <sz val="11"/>
        <color theme="1"/>
        <rFont val="Calibri"/>
        <family val="2"/>
        <scheme val="minor"/>
      </rPr>
      <t>2</t>
    </r>
    <r>
      <rPr>
        <sz val="11"/>
        <color theme="1"/>
        <rFont val="Calibri"/>
        <family val="2"/>
        <scheme val="minor"/>
      </rPr>
      <t>)</t>
    </r>
  </si>
  <si>
    <t xml:space="preserve">May MUST Score </t>
  </si>
  <si>
    <t>May MUST Risk</t>
  </si>
  <si>
    <t>June Weight (kg)</t>
  </si>
  <si>
    <t>Date June Weight Taken</t>
  </si>
  <si>
    <t>Date January Weight Taken</t>
  </si>
  <si>
    <t>Date March Weight Taken</t>
  </si>
  <si>
    <t>Date April Weight Taken</t>
  </si>
  <si>
    <t>Date May Weight Taken</t>
  </si>
  <si>
    <t xml:space="preserve">June MUST Score </t>
  </si>
  <si>
    <t>June MUST Risk</t>
  </si>
  <si>
    <t>Weight (kg) Difference Between Dec &amp; Jan</t>
  </si>
  <si>
    <t>Weight (kg) Difference Between Jan &amp; Feb</t>
  </si>
  <si>
    <t>Weight (kg) Difference Between Jan &amp; Feb as %</t>
  </si>
  <si>
    <t>Weight (kg) Difference Between Feb &amp; Mar</t>
  </si>
  <si>
    <t>Weight (kg) Difference Between Feb &amp; Mar as %</t>
  </si>
  <si>
    <t>Weight (kg) Difference Between Mar &amp; Apr</t>
  </si>
  <si>
    <t>Weight (kg) Difference Between Mar &amp; Apr as %</t>
  </si>
  <si>
    <t>Weight (kg) Difference Between Apr &amp; May</t>
  </si>
  <si>
    <t>Weight (kg) Difference Between May &amp; Jun</t>
  </si>
  <si>
    <t>Weight (kg) Difference Between May &amp; Jun as %</t>
  </si>
  <si>
    <t>Weight (kg) Difference Between Apr &amp; May as %</t>
  </si>
  <si>
    <t>Date July Weight Taken</t>
  </si>
  <si>
    <r>
      <t>July BMI (kg/m</t>
    </r>
    <r>
      <rPr>
        <vertAlign val="superscript"/>
        <sz val="11"/>
        <color theme="1"/>
        <rFont val="Calibri"/>
        <family val="2"/>
        <scheme val="minor"/>
      </rPr>
      <t>2</t>
    </r>
    <r>
      <rPr>
        <sz val="11"/>
        <color theme="1"/>
        <rFont val="Calibri"/>
        <family val="2"/>
        <scheme val="minor"/>
      </rPr>
      <t>)</t>
    </r>
  </si>
  <si>
    <t>Weight (kg) Difference Between Jun &amp; Jul</t>
  </si>
  <si>
    <t>Weight (kg) Difference Between Jun &amp; Jul as %</t>
  </si>
  <si>
    <t xml:space="preserve">July MUST Score </t>
  </si>
  <si>
    <t>July MUST Risk</t>
  </si>
  <si>
    <t>Date August Weight Taken</t>
  </si>
  <si>
    <r>
      <t>August BMI (kg/m</t>
    </r>
    <r>
      <rPr>
        <vertAlign val="superscript"/>
        <sz val="11"/>
        <color theme="1"/>
        <rFont val="Calibri"/>
        <family val="2"/>
        <scheme val="minor"/>
      </rPr>
      <t>2</t>
    </r>
    <r>
      <rPr>
        <sz val="11"/>
        <color theme="1"/>
        <rFont val="Calibri"/>
        <family val="2"/>
        <scheme val="minor"/>
      </rPr>
      <t>)</t>
    </r>
  </si>
  <si>
    <t>Weight (kg) Difference Between Jul &amp; Aug</t>
  </si>
  <si>
    <t>Weight (kg) Difference Between Jul &amp; Aug as %</t>
  </si>
  <si>
    <t xml:space="preserve">August MUST Score </t>
  </si>
  <si>
    <t>August MUST Risk</t>
  </si>
  <si>
    <t>Date September Weight Taken</t>
  </si>
  <si>
    <r>
      <t>September BMI (kg/m</t>
    </r>
    <r>
      <rPr>
        <vertAlign val="superscript"/>
        <sz val="11"/>
        <color theme="1"/>
        <rFont val="Calibri"/>
        <family val="2"/>
        <scheme val="minor"/>
      </rPr>
      <t>2</t>
    </r>
    <r>
      <rPr>
        <sz val="11"/>
        <color theme="1"/>
        <rFont val="Calibri"/>
        <family val="2"/>
        <scheme val="minor"/>
      </rPr>
      <t>)</t>
    </r>
  </si>
  <si>
    <t xml:space="preserve">September MUST Score </t>
  </si>
  <si>
    <t>September MUST Risk</t>
  </si>
  <si>
    <t>Weight (kg) Difference Between Aug &amp; Sep</t>
  </si>
  <si>
    <t>Weight (kg) Difference Between Aug &amp; Sep as %</t>
  </si>
  <si>
    <r>
      <t>October BMI (kg/m</t>
    </r>
    <r>
      <rPr>
        <vertAlign val="superscript"/>
        <sz val="11"/>
        <color theme="1"/>
        <rFont val="Calibri"/>
        <family val="2"/>
        <scheme val="minor"/>
      </rPr>
      <t>2</t>
    </r>
    <r>
      <rPr>
        <sz val="11"/>
        <color theme="1"/>
        <rFont val="Calibri"/>
        <family val="2"/>
        <scheme val="minor"/>
      </rPr>
      <t>)</t>
    </r>
  </si>
  <si>
    <t>Weight (kg) Difference Between Sep &amp; Oct</t>
  </si>
  <si>
    <t>Weight (kg) Difference Between Sep &amp; Oct as %</t>
  </si>
  <si>
    <t xml:space="preserve">October MUST Score </t>
  </si>
  <si>
    <t>October MUST Risk</t>
  </si>
  <si>
    <r>
      <t>November BMI (kg/m</t>
    </r>
    <r>
      <rPr>
        <vertAlign val="superscript"/>
        <sz val="11"/>
        <color theme="1"/>
        <rFont val="Calibri"/>
        <family val="2"/>
        <scheme val="minor"/>
      </rPr>
      <t>2</t>
    </r>
    <r>
      <rPr>
        <sz val="11"/>
        <color theme="1"/>
        <rFont val="Calibri"/>
        <family val="2"/>
        <scheme val="minor"/>
      </rPr>
      <t>)</t>
    </r>
  </si>
  <si>
    <t>Weight (kg) Difference Between Oct &amp; Nov as %</t>
  </si>
  <si>
    <t xml:space="preserve">November MUST Score </t>
  </si>
  <si>
    <t>November MUST Risk</t>
  </si>
  <si>
    <t>December Weight (kg)</t>
  </si>
  <si>
    <t>Date December Weight Taken</t>
  </si>
  <si>
    <r>
      <t>December BMI (kg/m</t>
    </r>
    <r>
      <rPr>
        <vertAlign val="superscript"/>
        <sz val="11"/>
        <color theme="1"/>
        <rFont val="Calibri"/>
        <family val="2"/>
        <scheme val="minor"/>
      </rPr>
      <t>2</t>
    </r>
    <r>
      <rPr>
        <sz val="11"/>
        <color theme="1"/>
        <rFont val="Calibri"/>
        <family val="2"/>
        <scheme val="minor"/>
      </rPr>
      <t>)</t>
    </r>
  </si>
  <si>
    <t>Weight (kg) Difference Between Nov &amp; Dec</t>
  </si>
  <si>
    <t>Weight (kg) Difference Between Nov &amp; Dec as %</t>
  </si>
  <si>
    <t xml:space="preserve">December MUST Score </t>
  </si>
  <si>
    <t>December MUST Risk</t>
  </si>
  <si>
    <r>
      <t>The "[Month] MUST Score" (</t>
    </r>
    <r>
      <rPr>
        <i/>
        <sz val="11"/>
        <color theme="1"/>
        <rFont val="Calibri"/>
        <family val="2"/>
        <scheme val="minor"/>
      </rPr>
      <t>Column M</t>
    </r>
    <r>
      <rPr>
        <sz val="11"/>
        <color theme="1"/>
        <rFont val="Calibri"/>
        <family val="2"/>
        <scheme val="minor"/>
      </rPr>
      <t>) has a formula in place to calculate the score. It is important for this to work correctly that the "Is this Weight Loss Planned? (Yes/No)" (</t>
    </r>
    <r>
      <rPr>
        <i/>
        <sz val="11"/>
        <color theme="1"/>
        <rFont val="Calibri"/>
        <family val="2"/>
        <scheme val="minor"/>
      </rPr>
      <t>Column L</t>
    </r>
    <r>
      <rPr>
        <sz val="11"/>
        <color theme="1"/>
        <rFont val="Calibri"/>
        <family val="2"/>
        <scheme val="minor"/>
      </rPr>
      <t>) contains appropriate "Yes" or "No" response. 
if a "Yes" response is recorded in</t>
    </r>
    <r>
      <rPr>
        <i/>
        <sz val="11"/>
        <color theme="1"/>
        <rFont val="Calibri"/>
        <family val="2"/>
        <scheme val="minor"/>
      </rPr>
      <t xml:space="preserve"> Column L</t>
    </r>
    <r>
      <rPr>
        <sz val="11"/>
        <color theme="1"/>
        <rFont val="Calibri"/>
        <family val="2"/>
        <scheme val="minor"/>
      </rPr>
      <t>, this will give the Unplanned Weight Loss section of the below calculation a 0 score. If there is weight gain instead of loss, this column can be kept blank.</t>
    </r>
  </si>
  <si>
    <t>The "[Month] MUST Risk" column (N) is formatted to automatically populate level of Risk based off of the "[Month] MUST Score" (M)
Both "MUST Score" (M) and "MUST Risk" (N) have conditional formatting in place to RAG Rate the cells based on the calculated value as follows:</t>
  </si>
  <si>
    <t xml:space="preserve">September Weight (kg) </t>
  </si>
  <si>
    <t xml:space="preserve">November Weight (kg) </t>
  </si>
  <si>
    <t xml:space="preserve">December Weight (kg) </t>
  </si>
  <si>
    <t>July 
Weight (kg)</t>
  </si>
  <si>
    <t>March 
Weight (kg)</t>
  </si>
  <si>
    <t>April 
Weight (kg)</t>
  </si>
  <si>
    <t>May 
Weight (kg)</t>
  </si>
  <si>
    <t>June 
Weight (kg)</t>
  </si>
  <si>
    <t xml:space="preserve">July 
Weight (kg) </t>
  </si>
  <si>
    <t>October 
Weight (kg)</t>
  </si>
  <si>
    <t>August 
Weight (kg)</t>
  </si>
  <si>
    <t>January 
Weight (kg)</t>
  </si>
  <si>
    <t xml:space="preserve">August 
Weight (kg) </t>
  </si>
  <si>
    <t xml:space="preserve">October 
Weight (kg) </t>
  </si>
  <si>
    <t>Date February Weight Taken</t>
  </si>
  <si>
    <r>
      <t>June BMI (kg/m</t>
    </r>
    <r>
      <rPr>
        <vertAlign val="superscript"/>
        <sz val="11"/>
        <color theme="1"/>
        <rFont val="Calibri"/>
        <family val="2"/>
        <scheme val="minor"/>
      </rPr>
      <t>2</t>
    </r>
    <r>
      <rPr>
        <sz val="11"/>
        <color theme="1"/>
        <rFont val="Calibri"/>
        <family val="2"/>
        <scheme val="minor"/>
      </rPr>
      <t>)</t>
    </r>
  </si>
  <si>
    <t>Date October Weight Taken</t>
  </si>
  <si>
    <t>Date November Weight Taken</t>
  </si>
  <si>
    <t>Weight (kg) Difference Between Oct &amp; Nov</t>
  </si>
  <si>
    <t>Tab protection has no Password</t>
  </si>
  <si>
    <t xml:space="preserve">February </t>
  </si>
  <si>
    <t>Q1 Jan - Mar</t>
  </si>
  <si>
    <t>Q2 Apr - Jun</t>
  </si>
  <si>
    <t>Q3 Jul - Sep</t>
  </si>
  <si>
    <t>Q4 Oct - Dec</t>
  </si>
  <si>
    <t>Overview</t>
  </si>
  <si>
    <t>Is the adult on a special/fortified diet? (e.g. cultural, dietary restrictions, fortified etc) (Yes/No)</t>
  </si>
  <si>
    <t>Month</t>
  </si>
  <si>
    <t xml:space="preserve">Total Number of Adults Weighed </t>
  </si>
  <si>
    <t>Number of Adults with a BMI Over 20</t>
  </si>
  <si>
    <t>Number of Adults with a BMI Between 18.5 &amp; 20</t>
  </si>
  <si>
    <t>Number of Adults with a MUST Score of 0</t>
  </si>
  <si>
    <t>Number of Adults with a MUST Score of  1</t>
  </si>
  <si>
    <t>Number of Adults with a MUST Score of 2 or more</t>
  </si>
  <si>
    <t xml:space="preserve">Number of Adults with Texture-Modified Food </t>
  </si>
  <si>
    <t>Number of Adults with Texture-Modified Fluid</t>
  </si>
  <si>
    <t>Number of Adults with a BMI Under 18.5</t>
  </si>
  <si>
    <t>Number of Adults with Special/Fortifed Diet</t>
  </si>
  <si>
    <t xml:space="preserve">Unplanned Weight Loss </t>
  </si>
  <si>
    <t>Compared to Highest Weight in the Last 3 to 6 Months</t>
  </si>
  <si>
    <t>How many have  Special/Fortifed Diet</t>
  </si>
  <si>
    <t xml:space="preserve">How many have Texture-Modified Food </t>
  </si>
  <si>
    <t>How many have Texture-Modified Fluid</t>
  </si>
  <si>
    <t>How many have Texture-Modified Food</t>
  </si>
  <si>
    <t xml:space="preserve">How many have  Special/Fortifed Diet </t>
  </si>
  <si>
    <t xml:space="preserve">How many have Texture-Modified Fluid </t>
  </si>
  <si>
    <t>Trends</t>
  </si>
  <si>
    <t xml:space="preserve">Are there any known considerations to be aware of that may have an effect on any weight loss seen?
(Change of kitchen staff, menu, appitite, weather etc) </t>
  </si>
  <si>
    <t>What trends have been identied in any overall weight loss seen?</t>
  </si>
  <si>
    <t>What actions have been identifed as needed, to address any trends noted for unplanned weight loss</t>
  </si>
  <si>
    <t>If last months/quarter trend anayslis had actions identifed, review these and comment on if they have had an effect or if further action is needed</t>
  </si>
  <si>
    <t>Of Those with Unplanned Weight Loss Between 5% &amp; 10%</t>
  </si>
  <si>
    <t>Of Those with Unplanned Weight Loss over 10%</t>
  </si>
  <si>
    <t>Total Number of Adults with Unplanned Weight Loss</t>
  </si>
  <si>
    <t xml:space="preserve">Number of those under 5% </t>
  </si>
  <si>
    <t>Number of those Over 10%</t>
  </si>
  <si>
    <t>Number of those between 5% &amp; 10%</t>
  </si>
  <si>
    <t>BMI</t>
  </si>
  <si>
    <t>Actions Taken
(e.g. Documentation reveiwed, meals observed, ensured fortified/special accomdations provided as expected etc.)</t>
  </si>
  <si>
    <r>
      <t>Please Note</t>
    </r>
    <r>
      <rPr>
        <sz val="11"/>
        <color theme="1"/>
        <rFont val="Calibri"/>
        <family val="2"/>
        <scheme val="minor"/>
      </rPr>
      <t>: For Quaterly calculations, these are calculated for individual adults. For example, if adult AB is recorded in Jan, Feb &amp; Mar as having a BMI Under 18.5, AB will only be counted once in the appropriate column instead of 3 times. If AB has a BMI between 18.5 &amp; 20 in Jan, then in Feb &amp; Mar has a BMI under 18.5 they will be counted as 1 in the Q1 Jan - Mar row for both columns of BMI Between and Under</t>
    </r>
  </si>
  <si>
    <r>
      <t xml:space="preserve">The </t>
    </r>
    <r>
      <rPr>
        <b/>
        <sz val="11"/>
        <color theme="1"/>
        <rFont val="Calibri"/>
        <family val="2"/>
        <scheme val="minor"/>
      </rPr>
      <t>Weight Overview</t>
    </r>
    <r>
      <rPr>
        <sz val="11"/>
        <color theme="1"/>
        <rFont val="Calibri"/>
        <family val="2"/>
        <scheme val="minor"/>
      </rPr>
      <t xml:space="preserve"> tab is for the adults weight from the previous years last 6 months to be recorded to allow for the "Highest Weight in the past 3-6 months" (</t>
    </r>
    <r>
      <rPr>
        <i/>
        <sz val="11"/>
        <color theme="1"/>
        <rFont val="Calibri"/>
        <family val="2"/>
        <scheme val="minor"/>
      </rPr>
      <t>Column H</t>
    </r>
    <r>
      <rPr>
        <sz val="11"/>
        <color theme="1"/>
        <rFont val="Calibri"/>
        <family val="2"/>
        <scheme val="minor"/>
      </rPr>
      <t xml:space="preserve">) comparison to work in the current years January to June Tabs. 
Once weights are entered into the January to December tabs, these will automatically populate the Current Year information on the </t>
    </r>
    <r>
      <rPr>
        <b/>
        <sz val="11"/>
        <color theme="1"/>
        <rFont val="Calibri"/>
        <family val="2"/>
        <scheme val="minor"/>
      </rPr>
      <t>Weight Overview</t>
    </r>
    <r>
      <rPr>
        <sz val="11"/>
        <color theme="1"/>
        <rFont val="Calibri"/>
        <family val="2"/>
        <scheme val="minor"/>
      </rPr>
      <t xml:space="preserve"> tab. This allows for the and "Weight Difference Between [Current] &amp; [Previous Month]" (</t>
    </r>
    <r>
      <rPr>
        <i/>
        <sz val="11"/>
        <color theme="1"/>
        <rFont val="Calibri"/>
        <family val="2"/>
        <scheme val="minor"/>
      </rPr>
      <t>Column F</t>
    </r>
    <r>
      <rPr>
        <sz val="11"/>
        <color theme="1"/>
        <rFont val="Calibri"/>
        <family val="2"/>
        <scheme val="minor"/>
      </rPr>
      <t>) and "Highest Weight in the past 3-6 months" (</t>
    </r>
    <r>
      <rPr>
        <i/>
        <sz val="11"/>
        <color theme="1"/>
        <rFont val="Calibri"/>
        <family val="2"/>
        <scheme val="minor"/>
      </rPr>
      <t>Column H</t>
    </r>
    <r>
      <rPr>
        <sz val="11"/>
        <color theme="1"/>
        <rFont val="Calibri"/>
        <family val="2"/>
        <scheme val="minor"/>
      </rPr>
      <t>). The Current Year information does not need any manual data entry and the cells are protected to ensure formulas are not accidently deleted. 
If the weight history if unknown, these cells can remain blank, or you can write "Unknown". The calculations for the following months weight comparisions will N/A. Without at least 3 months of weight history the MUST score will be calculated on BMI only</t>
    </r>
  </si>
  <si>
    <t xml:space="preserve">The monthly tabs are protected to ensure formulas are not accidently deleted or edited. If additional rows are needed the sheet needs to be unprotected. To do this, Right Click on the Tab &gt;  Select Unprotect Sheet. The protection does not include a password. 
Once the tab is unprotected please highlight an already existing row in the table &gt; Right Click &gt; 'Insert' &gt; 'Table Rows Above'.
Alternatively, you can highlight an already existing row in the table and select the 'Insert' option from the 'Home' ribbon at the top of the document. 
This method should ensure that any formulas copy down into the new rows appropriately. If this does not happen, please click the bottom right hand corner of the last cell with a formula present when you see a '+' cursor and drag down until all new cells are filled. Repeat this action for all columns that have a formula present.
Once changes have been made, please remember to reportect the tabs by once again Right Click on the Tab &gt; Select Protect Sheet &gt; Select OK. </t>
  </si>
  <si>
    <r>
      <t xml:space="preserve">The </t>
    </r>
    <r>
      <rPr>
        <b/>
        <sz val="11"/>
        <color theme="1"/>
        <rFont val="Calibri"/>
        <family val="2"/>
        <scheme val="minor"/>
      </rPr>
      <t>Monthly Data Tabs</t>
    </r>
    <r>
      <rPr>
        <sz val="11"/>
        <color theme="1"/>
        <rFont val="Calibri"/>
        <family val="2"/>
        <scheme val="minor"/>
      </rPr>
      <t xml:space="preserve"> have 1 tab for each month of the year. Each worksheet requires data to be entered into the following columns: 
- "Name" (</t>
    </r>
    <r>
      <rPr>
        <i/>
        <sz val="11"/>
        <color theme="1"/>
        <rFont val="Calibri"/>
        <family val="2"/>
        <scheme val="minor"/>
      </rPr>
      <t>Column B</t>
    </r>
    <r>
      <rPr>
        <sz val="11"/>
        <color theme="1"/>
        <rFont val="Calibri"/>
        <family val="2"/>
        <scheme val="minor"/>
      </rPr>
      <t>) (Selected via drop down list (see above note 3)) 
- "[Month] weight (kg)" (</t>
    </r>
    <r>
      <rPr>
        <i/>
        <sz val="11"/>
        <color theme="1"/>
        <rFont val="Calibri"/>
        <family val="2"/>
        <scheme val="minor"/>
      </rPr>
      <t>Column C</t>
    </r>
    <r>
      <rPr>
        <sz val="11"/>
        <color theme="1"/>
        <rFont val="Calibri"/>
        <family val="2"/>
        <scheme val="minor"/>
      </rPr>
      <t>)
- "Date [Month] Weight Taken" (</t>
    </r>
    <r>
      <rPr>
        <i/>
        <sz val="11"/>
        <color theme="1"/>
        <rFont val="Calibri"/>
        <family val="2"/>
        <scheme val="minor"/>
      </rPr>
      <t xml:space="preserve">Column D)
- </t>
    </r>
    <r>
      <rPr>
        <sz val="11"/>
        <color theme="1"/>
        <rFont val="Calibri"/>
        <family val="2"/>
        <scheme val="minor"/>
      </rPr>
      <t>"Is the adults weight stable? (Yes/No) (</t>
    </r>
    <r>
      <rPr>
        <i/>
        <sz val="11"/>
        <color theme="1"/>
        <rFont val="Calibri"/>
        <family val="2"/>
        <scheme val="minor"/>
      </rPr>
      <t>Column K)</t>
    </r>
    <r>
      <rPr>
        <sz val="11"/>
        <color theme="1"/>
        <rFont val="Calibri"/>
        <family val="2"/>
        <scheme val="minor"/>
      </rPr>
      <t xml:space="preserve">
- "If Weight has been lost, is this Planned? (Yes/No)" (</t>
    </r>
    <r>
      <rPr>
        <i/>
        <sz val="11"/>
        <color theme="1"/>
        <rFont val="Calibri"/>
        <family val="2"/>
        <scheme val="minor"/>
      </rPr>
      <t>Column L</t>
    </r>
    <r>
      <rPr>
        <sz val="11"/>
        <color theme="1"/>
        <rFont val="Calibri"/>
        <family val="2"/>
        <scheme val="minor"/>
      </rPr>
      <t xml:space="preserve">)
- "Is this BMI/Weight/MUST typical for the adult? (Yes/No)" </t>
    </r>
    <r>
      <rPr>
        <i/>
        <sz val="11"/>
        <color theme="1"/>
        <rFont val="Calibri"/>
        <family val="2"/>
        <scheme val="minor"/>
      </rPr>
      <t xml:space="preserve">(Column O) 
- "If Yes, what would indicate a concern/is atypical for this adult?" (Column P) </t>
    </r>
    <r>
      <rPr>
        <sz val="11"/>
        <color theme="1"/>
        <rFont val="Calibri"/>
        <family val="2"/>
        <scheme val="minor"/>
      </rPr>
      <t xml:space="preserve">
- "Is there any explanation for BMI/Weight/MUST changes? (Yes/No)" </t>
    </r>
    <r>
      <rPr>
        <i/>
        <sz val="11"/>
        <color theme="1"/>
        <rFont val="Calibri"/>
        <family val="2"/>
        <scheme val="minor"/>
      </rPr>
      <t>(Column Q)</t>
    </r>
    <r>
      <rPr>
        <sz val="11"/>
        <color theme="1"/>
        <rFont val="Calibri"/>
        <family val="2"/>
        <scheme val="minor"/>
      </rPr>
      <t xml:space="preserve">
- "If Yes, please detail" </t>
    </r>
    <r>
      <rPr>
        <i/>
        <sz val="11"/>
        <color theme="1"/>
        <rFont val="Calibri"/>
        <family val="2"/>
        <scheme val="minor"/>
      </rPr>
      <t>(Column R)</t>
    </r>
    <r>
      <rPr>
        <sz val="11"/>
        <color theme="1"/>
        <rFont val="Calibri"/>
        <family val="2"/>
        <scheme val="minor"/>
      </rPr>
      <t xml:space="preserve">
- "Is the adult on a special/fortified diet? (e.g. cultural, dietary restrictions, fortified etc) (Yes/No)" </t>
    </r>
    <r>
      <rPr>
        <i/>
        <sz val="11"/>
        <color theme="1"/>
        <rFont val="Calibri"/>
        <family val="2"/>
        <scheme val="minor"/>
      </rPr>
      <t xml:space="preserve">(Column S) </t>
    </r>
    <r>
      <rPr>
        <sz val="11"/>
        <color theme="1"/>
        <rFont val="Calibri"/>
        <family val="2"/>
        <scheme val="minor"/>
      </rPr>
      <t xml:space="preserve">
- "If Yes, give details" </t>
    </r>
    <r>
      <rPr>
        <i/>
        <sz val="11"/>
        <color theme="1"/>
        <rFont val="Calibri"/>
        <family val="2"/>
        <scheme val="minor"/>
      </rPr>
      <t xml:space="preserve">(Column T) </t>
    </r>
    <r>
      <rPr>
        <sz val="11"/>
        <color theme="1"/>
        <rFont val="Calibri"/>
        <family val="2"/>
        <scheme val="minor"/>
      </rPr>
      <t xml:space="preserve">
- "If the adult has been assessed for texture-modified Fluid, please record the level below" </t>
    </r>
    <r>
      <rPr>
        <i/>
        <sz val="11"/>
        <color theme="1"/>
        <rFont val="Calibri"/>
        <family val="2"/>
        <scheme val="minor"/>
      </rPr>
      <t xml:space="preserve">(Column U) </t>
    </r>
    <r>
      <rPr>
        <sz val="11"/>
        <color theme="1"/>
        <rFont val="Calibri"/>
        <family val="2"/>
        <scheme val="minor"/>
      </rPr>
      <t xml:space="preserve">
- "If the adult has been assessed for texture-modified Food, please record the level below" </t>
    </r>
    <r>
      <rPr>
        <i/>
        <sz val="11"/>
        <color theme="1"/>
        <rFont val="Calibri"/>
        <family val="2"/>
        <scheme val="minor"/>
      </rPr>
      <t xml:space="preserve">(Column V) </t>
    </r>
    <r>
      <rPr>
        <sz val="11"/>
        <color theme="1"/>
        <rFont val="Calibri"/>
        <family val="2"/>
        <scheme val="minor"/>
      </rPr>
      <t xml:space="preserve">
- "Is action required? (Yes/No)" (</t>
    </r>
    <r>
      <rPr>
        <i/>
        <sz val="11"/>
        <color theme="1"/>
        <rFont val="Calibri"/>
        <family val="2"/>
        <scheme val="minor"/>
      </rPr>
      <t>Column W</t>
    </r>
    <r>
      <rPr>
        <sz val="11"/>
        <color theme="1"/>
        <rFont val="Calibri"/>
        <family val="2"/>
        <scheme val="minor"/>
      </rPr>
      <t xml:space="preserve">)
- "Date Care Plan &amp; Any Relevent Risk Assessments Last Updated" </t>
    </r>
    <r>
      <rPr>
        <i/>
        <sz val="11"/>
        <color theme="1"/>
        <rFont val="Calibri"/>
        <family val="2"/>
        <scheme val="minor"/>
      </rPr>
      <t xml:space="preserve">(Column X) </t>
    </r>
    <r>
      <rPr>
        <sz val="11"/>
        <color theme="1"/>
        <rFont val="Calibri"/>
        <family val="2"/>
        <scheme val="minor"/>
      </rPr>
      <t xml:space="preserve">
- "Comments" (</t>
    </r>
    <r>
      <rPr>
        <i/>
        <sz val="11"/>
        <color theme="1"/>
        <rFont val="Calibri"/>
        <family val="2"/>
        <scheme val="minor"/>
      </rPr>
      <t>Column Y</t>
    </r>
    <r>
      <rPr>
        <sz val="11"/>
        <color theme="1"/>
        <rFont val="Calibri"/>
        <family val="2"/>
        <scheme val="minor"/>
      </rPr>
      <t xml:space="preserve">)
</t>
    </r>
    <r>
      <rPr>
        <i/>
        <sz val="11"/>
        <color theme="1"/>
        <rFont val="Calibri"/>
        <family val="2"/>
        <scheme val="minor"/>
      </rPr>
      <t xml:space="preserve">Columns O, Q &amp; S </t>
    </r>
    <r>
      <rPr>
        <sz val="11"/>
        <color theme="1"/>
        <rFont val="Calibri"/>
        <family val="2"/>
        <scheme val="minor"/>
      </rPr>
      <t>are validated to provide a "Yes" or "No" response. This is most important for</t>
    </r>
    <r>
      <rPr>
        <i/>
        <sz val="11"/>
        <color theme="1"/>
        <rFont val="Calibri"/>
        <family val="2"/>
        <scheme val="minor"/>
      </rPr>
      <t xml:space="preserve"> Column L</t>
    </r>
    <r>
      <rPr>
        <sz val="11"/>
        <color theme="1"/>
        <rFont val="Calibri"/>
        <family val="2"/>
        <scheme val="minor"/>
      </rPr>
      <t xml:space="preserve"> as it effects the "[Month] MUST Risk Score"</t>
    </r>
    <r>
      <rPr>
        <i/>
        <sz val="11"/>
        <color theme="1"/>
        <rFont val="Calibri"/>
        <family val="2"/>
        <scheme val="minor"/>
      </rPr>
      <t xml:space="preserve"> (Column M) </t>
    </r>
    <r>
      <rPr>
        <sz val="11"/>
        <color theme="1"/>
        <rFont val="Calibri"/>
        <family val="2"/>
        <scheme val="minor"/>
      </rPr>
      <t>calculation and the calculations on the Trend Analysis tab.</t>
    </r>
    <r>
      <rPr>
        <i/>
        <sz val="11"/>
        <color theme="1"/>
        <rFont val="Calibri"/>
        <family val="2"/>
        <scheme val="minor"/>
      </rPr>
      <t xml:space="preserve"> Columns U &amp; V </t>
    </r>
    <r>
      <rPr>
        <sz val="11"/>
        <color theme="1"/>
        <rFont val="Calibri"/>
        <family val="2"/>
        <scheme val="minor"/>
      </rPr>
      <t xml:space="preserve">are validated to provide the IDDSI levels in a dropdown list. 
All other columns do not require editing as they contain formulas, which will populate them automatically based off of current &amp; previous sheet inputs. These cells are protected and will not allow editing, this is to ensure the formulas are not accidently altered or deleted. </t>
    </r>
  </si>
  <si>
    <r>
      <t xml:space="preserve">It is important that all adults are listed on the </t>
    </r>
    <r>
      <rPr>
        <b/>
        <sz val="11"/>
        <color theme="1"/>
        <rFont val="Calibri"/>
        <family val="2"/>
        <scheme val="minor"/>
      </rPr>
      <t>Weight Overview</t>
    </r>
    <r>
      <rPr>
        <sz val="11"/>
        <color theme="1"/>
        <rFont val="Calibri"/>
        <family val="2"/>
        <scheme val="minor"/>
      </rPr>
      <t xml:space="preserve"> worksheet, </t>
    </r>
    <r>
      <rPr>
        <b/>
        <i/>
        <u/>
        <sz val="11"/>
        <color theme="1"/>
        <rFont val="Calibri"/>
        <family val="2"/>
        <scheme val="minor"/>
      </rPr>
      <t>even if they were not in the service for the previous year</t>
    </r>
    <r>
      <rPr>
        <sz val="11"/>
        <color theme="1"/>
        <rFont val="Calibri"/>
        <family val="2"/>
        <scheme val="minor"/>
      </rPr>
      <t>. This is due to how the names effect the formulas and they must be uniform across worksheets. The "Name" column (</t>
    </r>
    <r>
      <rPr>
        <i/>
        <sz val="11"/>
        <color theme="1"/>
        <rFont val="Calibri"/>
        <family val="2"/>
        <scheme val="minor"/>
      </rPr>
      <t>B</t>
    </r>
    <r>
      <rPr>
        <sz val="11"/>
        <color theme="1"/>
        <rFont val="Calibri"/>
        <family val="2"/>
        <scheme val="minor"/>
      </rPr>
      <t xml:space="preserve">) on the Monthly Data Tabs will offer a drop down selection of the names that exist on the </t>
    </r>
    <r>
      <rPr>
        <b/>
        <sz val="11"/>
        <color theme="1"/>
        <rFont val="Calibri"/>
        <family val="2"/>
        <scheme val="minor"/>
      </rPr>
      <t xml:space="preserve">Weight Overview </t>
    </r>
    <r>
      <rPr>
        <sz val="11"/>
        <color theme="1"/>
        <rFont val="Calibri"/>
        <family val="2"/>
        <scheme val="minor"/>
      </rPr>
      <t>tab.
If you have 2 adults with the same name, please ensure there is something unique to each one, such as two John Smiths could include their room numbers e.g "John Smith Rm1" and "John Smith Rm7"</t>
    </r>
  </si>
  <si>
    <t xml:space="preserve">Actions to take based of MUST Risk Rating </t>
  </si>
  <si>
    <t>https://www.bapen.org.uk/must-and-self-screening/introducing-must/</t>
  </si>
  <si>
    <t>BAPEN</t>
  </si>
  <si>
    <t xml:space="preserve">This tool has been created based off of BAPEN Guidance. For more details, please see: </t>
  </si>
  <si>
    <t xml:space="preserve">Malnutrition Risk Monitoring Tool Guidance Sheet </t>
  </si>
  <si>
    <r>
      <t xml:space="preserve">The Malnutrition Risk Monitoring Tool is made up of </t>
    </r>
    <r>
      <rPr>
        <b/>
        <sz val="11"/>
        <color theme="1"/>
        <rFont val="Calibri"/>
        <family val="2"/>
        <scheme val="minor"/>
      </rPr>
      <t>4</t>
    </r>
    <r>
      <rPr>
        <sz val="11"/>
        <color theme="1"/>
        <rFont val="Calibri"/>
        <family val="2"/>
        <scheme val="minor"/>
      </rPr>
      <t xml:space="preserve"> types of worksheets; </t>
    </r>
    <r>
      <rPr>
        <b/>
        <sz val="11"/>
        <color theme="1"/>
        <rFont val="Calibri"/>
        <family val="2"/>
        <scheme val="minor"/>
      </rPr>
      <t>Weight Overview</t>
    </r>
    <r>
      <rPr>
        <sz val="11"/>
        <color theme="1"/>
        <rFont val="Calibri"/>
        <family val="2"/>
        <scheme val="minor"/>
      </rPr>
      <t>, Monthly Data Tabs (</t>
    </r>
    <r>
      <rPr>
        <b/>
        <sz val="11"/>
        <color theme="1"/>
        <rFont val="Calibri"/>
        <family val="2"/>
        <scheme val="minor"/>
      </rPr>
      <t>Jan - Dec</t>
    </r>
    <r>
      <rPr>
        <sz val="11"/>
        <color theme="1"/>
        <rFont val="Calibri"/>
        <family val="2"/>
        <scheme val="minor"/>
      </rPr>
      <t xml:space="preserve">), an </t>
    </r>
    <r>
      <rPr>
        <b/>
        <sz val="11"/>
        <color theme="1"/>
        <rFont val="Calibri"/>
        <family val="2"/>
        <scheme val="minor"/>
      </rPr>
      <t>Action Plan</t>
    </r>
    <r>
      <rPr>
        <sz val="11"/>
        <color theme="1"/>
        <rFont val="Calibri"/>
        <family val="2"/>
        <scheme val="minor"/>
      </rPr>
      <t xml:space="preserve"> tab, and a </t>
    </r>
    <r>
      <rPr>
        <b/>
        <sz val="11"/>
        <color theme="1"/>
        <rFont val="Calibri"/>
        <family val="2"/>
        <scheme val="minor"/>
      </rPr>
      <t xml:space="preserve">Trend Analysis </t>
    </r>
    <r>
      <rPr>
        <sz val="11"/>
        <color theme="1"/>
        <rFont val="Calibri"/>
        <family val="2"/>
        <scheme val="minor"/>
      </rPr>
      <t xml:space="preserve">tab. </t>
    </r>
  </si>
  <si>
    <t>Routine Care</t>
  </si>
  <si>
    <t>Observe</t>
  </si>
  <si>
    <t>Repeat screening - monthly</t>
  </si>
  <si>
    <r>
      <t xml:space="preserve">Document dietary intake for 3 days:
If </t>
    </r>
    <r>
      <rPr>
        <b/>
        <sz val="11"/>
        <color theme="1"/>
        <rFont val="Calibri"/>
        <family val="2"/>
        <scheme val="minor"/>
      </rPr>
      <t>Adequate</t>
    </r>
    <r>
      <rPr>
        <sz val="11"/>
        <color theme="1"/>
        <rFont val="Calibri"/>
        <family val="2"/>
        <scheme val="minor"/>
      </rPr>
      <t xml:space="preserve"> – Little concern – Repeat screening at least monthly
If </t>
    </r>
    <r>
      <rPr>
        <b/>
        <sz val="11"/>
        <color theme="1"/>
        <rFont val="Calibri"/>
        <family val="2"/>
        <scheme val="minor"/>
      </rPr>
      <t>Inadequate</t>
    </r>
    <r>
      <rPr>
        <sz val="11"/>
        <color theme="1"/>
        <rFont val="Calibri"/>
        <family val="2"/>
        <scheme val="minor"/>
      </rPr>
      <t xml:space="preserve"> – Clinical concern – Follow local policy, set goals, improve and increase overall nutritional intake, monitor and review care plan regularly</t>
    </r>
  </si>
  <si>
    <r>
      <rPr>
        <b/>
        <sz val="11"/>
        <rFont val="Calibri"/>
        <family val="2"/>
        <scheme val="minor"/>
      </rPr>
      <t>Treat</t>
    </r>
    <r>
      <rPr>
        <sz val="11"/>
        <color theme="1"/>
        <rFont val="Calibri"/>
        <family val="2"/>
        <scheme val="minor"/>
      </rPr>
      <t xml:space="preserve">
</t>
    </r>
    <r>
      <rPr>
        <sz val="8"/>
        <color theme="1"/>
        <rFont val="Calibri"/>
        <family val="2"/>
        <scheme val="minor"/>
      </rPr>
      <t>(Unless detrimental or no benefit is
expected from nutritional support
e.g. imminent death.)</t>
    </r>
  </si>
  <si>
    <r>
      <t xml:space="preserve">- Set goals, improve and increase overall nutritional intake.
- Monitor and review care plan monthly
- Implement local policy
- Consider if referral to Nutritional Support Team or Dietican is appropriate:
If </t>
    </r>
    <r>
      <rPr>
        <b/>
        <sz val="11"/>
        <color theme="1"/>
        <rFont val="Calibri"/>
        <family val="2"/>
        <scheme val="minor"/>
      </rPr>
      <t>Yes</t>
    </r>
    <r>
      <rPr>
        <sz val="11"/>
        <color theme="1"/>
        <rFont val="Calibri"/>
        <family val="2"/>
        <scheme val="minor"/>
      </rPr>
      <t xml:space="preserve">, complete referral and document. 
If </t>
    </r>
    <r>
      <rPr>
        <b/>
        <sz val="11"/>
        <color theme="1"/>
        <rFont val="Calibri"/>
        <family val="2"/>
        <scheme val="minor"/>
      </rPr>
      <t>No</t>
    </r>
    <r>
      <rPr>
        <sz val="11"/>
        <color theme="1"/>
        <rFont val="Calibri"/>
        <family val="2"/>
        <scheme val="minor"/>
      </rPr>
      <t>, document reasoning.</t>
    </r>
  </si>
  <si>
    <r>
      <t xml:space="preserve">At the end of the tabs for all months of the year there is an </t>
    </r>
    <r>
      <rPr>
        <b/>
        <sz val="11"/>
        <color theme="1"/>
        <rFont val="Calibri"/>
        <family val="2"/>
        <scheme val="minor"/>
      </rPr>
      <t xml:space="preserve">Action Plan </t>
    </r>
    <r>
      <rPr>
        <sz val="11"/>
        <color theme="1"/>
        <rFont val="Calibri"/>
        <family val="2"/>
        <scheme val="minor"/>
      </rPr>
      <t>tab. This should be completed when a required action is identified, and later reviewed.</t>
    </r>
  </si>
  <si>
    <r>
      <t xml:space="preserve">The last tab in this tool is the </t>
    </r>
    <r>
      <rPr>
        <b/>
        <sz val="11"/>
        <color theme="1"/>
        <rFont val="Calibri"/>
        <family val="2"/>
        <scheme val="minor"/>
      </rPr>
      <t xml:space="preserve">Trend Analysis </t>
    </r>
    <r>
      <rPr>
        <sz val="11"/>
        <color theme="1"/>
        <rFont val="Calibri"/>
        <family val="2"/>
        <scheme val="minor"/>
      </rPr>
      <t xml:space="preserve">Tab. This has been formulated to count, for each month: 
- The number of adults weighed
- Those within the different BMI threseholds
- Those within different MUST Risk Scores
- Those with diet considerations in place 
- Those with unplanned weight loss meeting various criteria (BMI/MUST/Diet Considerations)
The data for these is pulled from the corresponding columns on each Months tab. 
There is also a calulation of these catagories per Quater, to enable a greater timeframe reveiw of any potential trends. These formulas are designed only to count an adult once if they appear in more than one month of the Quater. 
The </t>
    </r>
    <r>
      <rPr>
        <b/>
        <sz val="11"/>
        <color theme="1"/>
        <rFont val="Calibri"/>
        <family val="2"/>
        <scheme val="minor"/>
      </rPr>
      <t>Trend Analaysis</t>
    </r>
    <r>
      <rPr>
        <sz val="11"/>
        <color theme="1"/>
        <rFont val="Calibri"/>
        <family val="2"/>
        <scheme val="minor"/>
      </rPr>
      <t xml:space="preserve"> tab has 4 columns which the will need to be completed manually to show the Trend Analysis process is being completed and considered. These are: 
- "Are there any known considerations to be aware of that may have an effect on any weight loss seen? (Change of kitchen staff, menu, appitite, weather etc)" </t>
    </r>
    <r>
      <rPr>
        <i/>
        <sz val="11"/>
        <color theme="1"/>
        <rFont val="Calibri"/>
        <family val="2"/>
        <scheme val="minor"/>
      </rPr>
      <t>(Column W)</t>
    </r>
    <r>
      <rPr>
        <sz val="11"/>
        <color theme="1"/>
        <rFont val="Calibri"/>
        <family val="2"/>
        <scheme val="minor"/>
      </rPr>
      <t xml:space="preserve">
- "What trends have been identied in any overall weight loss seen?" </t>
    </r>
    <r>
      <rPr>
        <i/>
        <sz val="11"/>
        <color theme="1"/>
        <rFont val="Calibri"/>
        <family val="2"/>
        <scheme val="minor"/>
      </rPr>
      <t xml:space="preserve">(Column X)
</t>
    </r>
    <r>
      <rPr>
        <sz val="11"/>
        <color theme="1"/>
        <rFont val="Calibri"/>
        <family val="2"/>
        <scheme val="minor"/>
      </rPr>
      <t xml:space="preserve">- "What actions have been identifed as needed, to address any trends noted for unplanned weight loss" </t>
    </r>
    <r>
      <rPr>
        <i/>
        <sz val="11"/>
        <color theme="1"/>
        <rFont val="Calibri"/>
        <family val="2"/>
        <scheme val="minor"/>
      </rPr>
      <t xml:space="preserve">(Column Y)
</t>
    </r>
    <r>
      <rPr>
        <sz val="11"/>
        <color theme="1"/>
        <rFont val="Calibri"/>
        <family val="2"/>
        <scheme val="minor"/>
      </rPr>
      <t>- "If last months/quarter trend anayslis had actions identifed, review these and comment on if they have had an effect or if further action is needed"</t>
    </r>
    <r>
      <rPr>
        <i/>
        <sz val="11"/>
        <color theme="1"/>
        <rFont val="Calibri"/>
        <family val="2"/>
        <scheme val="minor"/>
      </rPr>
      <t xml:space="preserve"> (Column Z)
</t>
    </r>
    <r>
      <rPr>
        <b/>
        <sz val="11"/>
        <color theme="1"/>
        <rFont val="Calibri"/>
        <family val="2"/>
        <scheme val="minor"/>
      </rPr>
      <t xml:space="preserve">Please note: </t>
    </r>
    <r>
      <rPr>
        <sz val="11"/>
        <color theme="1"/>
        <rFont val="Calibri"/>
        <family val="2"/>
        <scheme val="minor"/>
      </rPr>
      <t>Some of the Quarter formulas will show a</t>
    </r>
    <r>
      <rPr>
        <i/>
        <sz val="11"/>
        <color theme="1"/>
        <rFont val="Calibri"/>
        <family val="2"/>
        <scheme val="minor"/>
      </rPr>
      <t xml:space="preserve"> #CALC!</t>
    </r>
    <r>
      <rPr>
        <sz val="11"/>
        <color theme="1"/>
        <rFont val="Calibri"/>
        <family val="2"/>
        <scheme val="minor"/>
      </rPr>
      <t xml:space="preserve"> error, this should only show if there is no data in the applicable months tabs. Once data is entered, the formula should count the entered data. </t>
    </r>
    <r>
      <rPr>
        <i/>
        <sz val="11"/>
        <color theme="1"/>
        <rFont val="Calibri"/>
        <family val="2"/>
        <scheme val="minor"/>
      </rPr>
      <t xml:space="preserve">
</t>
    </r>
    <r>
      <rPr>
        <sz val="11"/>
        <color theme="1"/>
        <rFont val="Calibri"/>
        <family val="2"/>
        <scheme val="minor"/>
      </rPr>
      <t>Any Column with a formula present is protected to ensure the formulas are not accidently deleted or edited.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</si>
</sst>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8"/>
      <name val="Calibri"/>
      <family val="2"/>
      <scheme val="minor"/>
    </font>
    <font>
      <sz val="11"/>
      <name val="Calibri"/>
      <family val="2"/>
      <scheme val="minor"/>
    </font>
    <font>
      <sz val="8"/>
      <color theme="1"/>
      <name val="Calibri"/>
      <family val="2"/>
      <scheme val="minor"/>
    </font>
    <font>
      <b/>
      <sz val="11"/>
      <color indexed="9"/>
      <name val="Calibri"/>
      <family val="2"/>
      <scheme val="minor"/>
    </font>
    <font>
      <vertAlign val="superscript"/>
      <sz val="11"/>
      <color theme="1"/>
      <name val="Calibri"/>
      <family val="2"/>
      <scheme val="minor"/>
    </font>
    <font>
      <b/>
      <i/>
      <u/>
      <sz val="11"/>
      <color theme="1"/>
      <name val="Calibri"/>
      <family val="2"/>
      <scheme val="minor"/>
    </font>
    <font>
      <b/>
      <sz val="11"/>
      <name val="Calibri"/>
      <family val="2"/>
      <scheme val="minor"/>
    </font>
    <font>
      <u/>
      <sz val="11"/>
      <color theme="10"/>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rgb="FF7030A0"/>
        <bgColor indexed="64"/>
      </patternFill>
    </fill>
    <fill>
      <patternFill patternType="solid">
        <fgColor theme="5"/>
        <bgColor indexed="64"/>
      </patternFill>
    </fill>
    <fill>
      <patternFill patternType="solid">
        <fgColor rgb="FFFF66CC"/>
        <bgColor indexed="64"/>
      </patternFill>
    </fill>
    <fill>
      <patternFill patternType="solid">
        <fgColor rgb="FF92D050"/>
        <bgColor indexed="64"/>
      </patternFill>
    </fill>
    <fill>
      <patternFill patternType="solid">
        <fgColor rgb="FFFF7979"/>
        <bgColor indexed="64"/>
      </patternFill>
    </fill>
    <fill>
      <patternFill patternType="solid">
        <fgColor theme="5" tint="0.39997558519241921"/>
        <bgColor indexed="64"/>
      </patternFill>
    </fill>
    <fill>
      <patternFill patternType="solid">
        <fgColor rgb="FF00B0F0"/>
        <bgColor indexed="64"/>
      </patternFill>
    </fill>
    <fill>
      <patternFill patternType="solid">
        <fgColor theme="8"/>
        <bgColor indexed="64"/>
      </patternFill>
    </fill>
    <fill>
      <patternFill patternType="solid">
        <fgColor theme="5" tint="0.79998168889431442"/>
        <bgColor indexed="64"/>
      </patternFill>
    </fill>
  </fills>
  <borders count="67">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auto="1"/>
      </right>
      <top style="thin">
        <color auto="1"/>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indexed="64"/>
      </left>
      <right/>
      <top/>
      <bottom style="medium">
        <color indexed="64"/>
      </bottom>
      <diagonal/>
    </border>
    <border>
      <left style="medium">
        <color indexed="64"/>
      </left>
      <right style="thin">
        <color auto="1"/>
      </right>
      <top/>
      <bottom style="medium">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thin">
        <color auto="1"/>
      </left>
      <right style="thin">
        <color auto="1"/>
      </right>
      <top/>
      <bottom/>
      <diagonal/>
    </border>
    <border>
      <left/>
      <right style="medium">
        <color indexed="64"/>
      </right>
      <top style="medium">
        <color indexed="64"/>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auto="1"/>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bottom/>
      <diagonal/>
    </border>
    <border>
      <left style="medium">
        <color indexed="64"/>
      </left>
      <right style="thin">
        <color auto="1"/>
      </right>
      <top/>
      <bottom/>
      <diagonal/>
    </border>
    <border>
      <left/>
      <right style="medium">
        <color indexed="64"/>
      </right>
      <top style="medium">
        <color indexed="64"/>
      </top>
      <bottom style="thin">
        <color indexed="64"/>
      </bottom>
      <diagonal/>
    </border>
    <border>
      <left/>
      <right style="medium">
        <color indexed="64"/>
      </right>
      <top/>
      <bottom/>
      <diagonal/>
    </border>
    <border>
      <left style="thin">
        <color auto="1"/>
      </left>
      <right style="medium">
        <color indexed="64"/>
      </right>
      <top/>
      <bottom/>
      <diagonal/>
    </border>
  </borders>
  <cellStyleXfs count="3">
    <xf numFmtId="0" fontId="0" fillId="0" borderId="0"/>
    <xf numFmtId="9" fontId="1" fillId="0" borderId="0" applyFont="0" applyFill="0" applyBorder="0" applyAlignment="0" applyProtection="0"/>
    <xf numFmtId="0" fontId="13" fillId="0" borderId="0" applyNumberFormat="0" applyFill="0" applyBorder="0" applyAlignment="0" applyProtection="0"/>
  </cellStyleXfs>
  <cellXfs count="355">
    <xf numFmtId="0" fontId="0" fillId="0" borderId="0" xfId="0"/>
    <xf numFmtId="0" fontId="0" fillId="0" borderId="0" xfId="0" applyProtection="1">
      <protection locked="0"/>
    </xf>
    <xf numFmtId="0" fontId="5" fillId="0" borderId="0" xfId="0" applyFont="1" applyAlignment="1" applyProtection="1">
      <alignment horizontal="center"/>
      <protection locked="0"/>
    </xf>
    <xf numFmtId="0" fontId="0" fillId="0" borderId="18" xfId="0" applyBorder="1" applyAlignment="1" applyProtection="1">
      <alignment horizontal="center" vertical="center" wrapText="1"/>
      <protection locked="0"/>
    </xf>
    <xf numFmtId="0" fontId="0" fillId="0" borderId="19" xfId="0" applyBorder="1" applyAlignment="1" applyProtection="1">
      <alignment horizontal="center" vertical="center" wrapText="1"/>
      <protection locked="0"/>
    </xf>
    <xf numFmtId="0" fontId="0" fillId="0" borderId="20" xfId="0" applyBorder="1"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0" fillId="0" borderId="38" xfId="0" applyBorder="1" applyAlignment="1" applyProtection="1">
      <alignment horizontal="center" vertical="center" wrapText="1"/>
      <protection locked="0"/>
    </xf>
    <xf numFmtId="0" fontId="0" fillId="0" borderId="25" xfId="0" applyBorder="1" applyAlignment="1" applyProtection="1">
      <alignment horizontal="center" vertical="center" wrapText="1"/>
      <protection locked="0"/>
    </xf>
    <xf numFmtId="0" fontId="0" fillId="0" borderId="28" xfId="0" applyBorder="1" applyAlignment="1" applyProtection="1">
      <alignment horizontal="center" vertical="center" wrapText="1"/>
      <protection locked="0"/>
    </xf>
    <xf numFmtId="0" fontId="0" fillId="0" borderId="33" xfId="0"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0" fillId="0" borderId="23" xfId="0" applyBorder="1" applyAlignment="1" applyProtection="1">
      <alignment horizontal="center" vertical="center" wrapText="1"/>
      <protection locked="0"/>
    </xf>
    <xf numFmtId="0" fontId="0" fillId="0" borderId="34" xfId="0"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29"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22"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0" xfId="0" applyAlignment="1" applyProtection="1">
      <alignment horizontal="center"/>
      <protection locked="0"/>
    </xf>
    <xf numFmtId="0" fontId="0" fillId="0" borderId="39" xfId="0" applyBorder="1" applyAlignment="1" applyProtection="1">
      <alignment horizontal="center" vertical="center" wrapText="1"/>
      <protection locked="0"/>
    </xf>
    <xf numFmtId="0" fontId="0" fillId="0" borderId="1" xfId="0" applyBorder="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2" fillId="3" borderId="1" xfId="0" applyFont="1" applyFill="1" applyBorder="1" applyAlignment="1">
      <alignment horizontal="center" vertical="center"/>
    </xf>
    <xf numFmtId="0" fontId="0" fillId="0" borderId="21" xfId="0" applyBorder="1" applyAlignment="1">
      <alignment horizontal="center" vertical="center" wrapText="1"/>
    </xf>
    <xf numFmtId="0" fontId="0" fillId="0" borderId="13"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27" xfId="0" applyBorder="1" applyAlignment="1">
      <alignment horizontal="center" vertical="center" wrapText="1"/>
    </xf>
    <xf numFmtId="14" fontId="0" fillId="0" borderId="3" xfId="0" applyNumberFormat="1" applyBorder="1" applyAlignment="1">
      <alignment horizontal="center" vertical="center" wrapText="1"/>
    </xf>
    <xf numFmtId="0" fontId="0" fillId="0" borderId="47" xfId="0" applyBorder="1" applyAlignment="1" applyProtection="1">
      <alignment horizontal="center" vertical="center" wrapText="1"/>
      <protection locked="0"/>
    </xf>
    <xf numFmtId="0" fontId="0" fillId="5" borderId="18" xfId="0" applyFill="1" applyBorder="1" applyAlignment="1" applyProtection="1">
      <alignment horizontal="center" vertical="center" wrapText="1"/>
      <protection locked="0"/>
    </xf>
    <xf numFmtId="0" fontId="0" fillId="5" borderId="19" xfId="0" applyFill="1" applyBorder="1" applyAlignment="1" applyProtection="1">
      <alignment horizontal="center" vertical="center" wrapText="1"/>
      <protection locked="0"/>
    </xf>
    <xf numFmtId="0" fontId="0" fillId="5" borderId="20" xfId="0" applyFill="1" applyBorder="1" applyAlignment="1" applyProtection="1">
      <alignment horizontal="center" vertical="center" wrapText="1"/>
      <protection locked="0"/>
    </xf>
    <xf numFmtId="0" fontId="0" fillId="5" borderId="32" xfId="0" applyFill="1" applyBorder="1" applyAlignment="1" applyProtection="1">
      <alignment horizontal="center" vertical="center" wrapText="1"/>
      <protection locked="0"/>
    </xf>
    <xf numFmtId="0" fontId="0" fillId="6" borderId="18" xfId="0" applyFill="1" applyBorder="1" applyAlignment="1" applyProtection="1">
      <alignment horizontal="center" vertical="center" wrapText="1"/>
      <protection locked="0"/>
    </xf>
    <xf numFmtId="0" fontId="0" fillId="6" borderId="19" xfId="0" applyFill="1" applyBorder="1" applyAlignment="1" applyProtection="1">
      <alignment horizontal="center" vertical="center" wrapText="1"/>
      <protection locked="0"/>
    </xf>
    <xf numFmtId="0" fontId="0" fillId="6" borderId="20" xfId="0" applyFill="1" applyBorder="1" applyAlignment="1" applyProtection="1">
      <alignment horizontal="center" vertical="center" wrapText="1"/>
      <protection locked="0"/>
    </xf>
    <xf numFmtId="0" fontId="0" fillId="6" borderId="32" xfId="0" applyFill="1" applyBorder="1" applyAlignment="1" applyProtection="1">
      <alignment horizontal="center" vertical="center" wrapText="1"/>
      <protection locked="0"/>
    </xf>
    <xf numFmtId="0" fontId="0" fillId="7" borderId="18" xfId="0" applyFill="1" applyBorder="1" applyAlignment="1" applyProtection="1">
      <alignment horizontal="center" vertical="center" wrapText="1"/>
      <protection locked="0"/>
    </xf>
    <xf numFmtId="0" fontId="0" fillId="7" borderId="19" xfId="0" applyFill="1" applyBorder="1" applyAlignment="1" applyProtection="1">
      <alignment horizontal="center" vertical="center" wrapText="1"/>
      <protection locked="0"/>
    </xf>
    <xf numFmtId="0" fontId="0" fillId="7" borderId="20" xfId="0" applyFill="1" applyBorder="1" applyAlignment="1" applyProtection="1">
      <alignment horizontal="center" vertical="center" wrapText="1"/>
      <protection locked="0"/>
    </xf>
    <xf numFmtId="0" fontId="0" fillId="7" borderId="32" xfId="0" applyFill="1" applyBorder="1" applyAlignment="1" applyProtection="1">
      <alignment horizontal="center" vertical="center" wrapText="1"/>
      <protection locked="0"/>
    </xf>
    <xf numFmtId="164" fontId="0" fillId="0" borderId="3" xfId="0" applyNumberFormat="1" applyBorder="1" applyAlignment="1" applyProtection="1">
      <alignment horizontal="center" vertical="center" wrapText="1"/>
    </xf>
    <xf numFmtId="164" fontId="0" fillId="0" borderId="1" xfId="0" applyNumberFormat="1" applyBorder="1" applyAlignment="1" applyProtection="1">
      <alignment horizontal="center" vertical="center" wrapText="1"/>
    </xf>
    <xf numFmtId="0" fontId="0" fillId="0" borderId="48" xfId="0" applyBorder="1" applyAlignment="1" applyProtection="1">
      <alignment horizontal="center" vertical="center" wrapText="1"/>
      <protection locked="0"/>
    </xf>
    <xf numFmtId="164" fontId="0" fillId="0" borderId="36" xfId="0" applyNumberFormat="1" applyBorder="1" applyAlignment="1" applyProtection="1">
      <alignment horizontal="center" vertical="center" wrapText="1"/>
    </xf>
    <xf numFmtId="1" fontId="0" fillId="0" borderId="21" xfId="1" applyNumberFormat="1" applyFont="1" applyBorder="1" applyAlignment="1" applyProtection="1">
      <alignment horizontal="center" vertical="center" wrapText="1"/>
    </xf>
    <xf numFmtId="0" fontId="5" fillId="0" borderId="0" xfId="0" applyFont="1" applyBorder="1" applyAlignment="1" applyProtection="1">
      <alignment horizontal="center"/>
      <protection locked="0"/>
    </xf>
    <xf numFmtId="0" fontId="0" fillId="0" borderId="0" xfId="0" applyBorder="1" applyProtection="1">
      <protection locked="0"/>
    </xf>
    <xf numFmtId="1" fontId="0" fillId="0" borderId="22" xfId="1" applyNumberFormat="1" applyFont="1" applyBorder="1" applyAlignment="1" applyProtection="1">
      <alignment horizontal="center" vertical="center" wrapText="1"/>
    </xf>
    <xf numFmtId="0" fontId="0" fillId="0" borderId="0" xfId="0" applyFont="1" applyBorder="1" applyAlignment="1" applyProtection="1">
      <protection locked="0"/>
    </xf>
    <xf numFmtId="0" fontId="0" fillId="0" borderId="3" xfId="0" applyBorder="1" applyAlignment="1" applyProtection="1">
      <alignment horizontal="center" vertical="center" wrapText="1"/>
      <protection locked="0"/>
    </xf>
    <xf numFmtId="0" fontId="0" fillId="2" borderId="31" xfId="0" applyFill="1" applyBorder="1" applyAlignment="1" applyProtection="1">
      <alignment horizontal="center" vertical="center" wrapText="1"/>
      <protection locked="0"/>
    </xf>
    <xf numFmtId="0" fontId="0" fillId="2" borderId="32" xfId="0" applyFill="1" applyBorder="1" applyAlignment="1" applyProtection="1">
      <alignment horizontal="center" vertical="center" wrapText="1"/>
      <protection locked="0"/>
    </xf>
    <xf numFmtId="0" fontId="0" fillId="0" borderId="26"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2" borderId="18" xfId="0" applyFill="1" applyBorder="1" applyAlignment="1" applyProtection="1">
      <alignment horizontal="center" vertical="center" wrapText="1"/>
      <protection locked="0"/>
    </xf>
    <xf numFmtId="0" fontId="0" fillId="2" borderId="19" xfId="0" applyFill="1" applyBorder="1" applyAlignment="1" applyProtection="1">
      <alignment horizontal="center" vertical="center" wrapText="1"/>
      <protection locked="0"/>
    </xf>
    <xf numFmtId="0" fontId="0" fillId="0" borderId="0" xfId="0" applyFont="1" applyBorder="1" applyAlignment="1" applyProtection="1">
      <alignment horizontal="center"/>
      <protection locked="0"/>
    </xf>
    <xf numFmtId="0" fontId="9" fillId="0" borderId="0" xfId="0" applyFont="1" applyFill="1" applyBorder="1" applyAlignment="1" applyProtection="1">
      <alignment horizontal="center"/>
      <protection locked="0"/>
    </xf>
    <xf numFmtId="1" fontId="0" fillId="0" borderId="26" xfId="1" applyNumberFormat="1" applyFont="1" applyBorder="1" applyAlignment="1" applyProtection="1">
      <alignment horizontal="center" vertical="center" wrapText="1"/>
    </xf>
    <xf numFmtId="1" fontId="0" fillId="0" borderId="1" xfId="1" applyNumberFormat="1" applyFont="1" applyBorder="1" applyAlignment="1" applyProtection="1">
      <alignment horizontal="center" vertical="center" wrapText="1"/>
    </xf>
    <xf numFmtId="1" fontId="0" fillId="0" borderId="36" xfId="1" applyNumberFormat="1" applyFont="1" applyBorder="1" applyAlignment="1" applyProtection="1">
      <alignment horizontal="center" vertical="center" wrapText="1"/>
    </xf>
    <xf numFmtId="0" fontId="0" fillId="3" borderId="18" xfId="0" applyFill="1" applyBorder="1" applyAlignment="1" applyProtection="1">
      <alignment horizontal="center" vertical="center" wrapText="1"/>
      <protection locked="0"/>
    </xf>
    <xf numFmtId="0" fontId="0" fillId="3" borderId="19" xfId="0" applyFill="1" applyBorder="1" applyAlignment="1" applyProtection="1">
      <alignment horizontal="center" vertical="center" wrapText="1"/>
      <protection locked="0"/>
    </xf>
    <xf numFmtId="0" fontId="0" fillId="2" borderId="20" xfId="0" applyFill="1" applyBorder="1" applyAlignment="1" applyProtection="1">
      <alignment horizontal="center" vertical="center" wrapText="1"/>
      <protection locked="0"/>
    </xf>
    <xf numFmtId="0" fontId="0" fillId="0" borderId="0" xfId="0" applyFill="1" applyProtection="1">
      <protection locked="0"/>
    </xf>
    <xf numFmtId="0" fontId="0" fillId="0" borderId="36" xfId="0" applyBorder="1" applyAlignment="1" applyProtection="1">
      <alignment horizontal="center" vertical="center" wrapText="1"/>
      <protection locked="0"/>
    </xf>
    <xf numFmtId="0" fontId="0" fillId="3" borderId="32" xfId="0" applyFill="1" applyBorder="1" applyAlignment="1" applyProtection="1">
      <alignment horizontal="center" vertical="center" wrapText="1"/>
      <protection locked="0"/>
    </xf>
    <xf numFmtId="0" fontId="0" fillId="3" borderId="20" xfId="0" applyFill="1" applyBorder="1" applyAlignment="1" applyProtection="1">
      <alignment horizontal="center" vertical="center" wrapText="1"/>
      <protection locked="0"/>
    </xf>
    <xf numFmtId="0" fontId="0" fillId="3" borderId="48" xfId="0" applyFill="1" applyBorder="1" applyAlignment="1" applyProtection="1">
      <alignment horizontal="center" vertical="center" wrapText="1"/>
      <protection locked="0"/>
    </xf>
    <xf numFmtId="0" fontId="0" fillId="0" borderId="0" xfId="0" applyFill="1" applyAlignment="1" applyProtection="1">
      <alignment horizontal="center"/>
      <protection locked="0"/>
    </xf>
    <xf numFmtId="0" fontId="9" fillId="3" borderId="18" xfId="0" applyFont="1" applyFill="1" applyBorder="1" applyAlignment="1" applyProtection="1">
      <alignment horizontal="center"/>
      <protection locked="0"/>
    </xf>
    <xf numFmtId="0" fontId="5" fillId="0" borderId="20" xfId="0" applyFont="1" applyBorder="1" applyAlignment="1" applyProtection="1">
      <alignment horizontal="center"/>
      <protection locked="0"/>
    </xf>
    <xf numFmtId="0" fontId="9" fillId="3" borderId="18" xfId="0" applyFont="1" applyFill="1" applyBorder="1" applyAlignment="1" applyProtection="1">
      <alignment horizontal="center" vertical="center"/>
      <protection locked="0"/>
    </xf>
    <xf numFmtId="0" fontId="0" fillId="0" borderId="20" xfId="0" applyFont="1" applyBorder="1" applyAlignment="1" applyProtection="1">
      <alignment horizontal="center" vertical="center"/>
      <protection locked="0"/>
    </xf>
    <xf numFmtId="0" fontId="3" fillId="0" borderId="0" xfId="0" applyFont="1" applyAlignment="1" applyProtection="1">
      <protection locked="0"/>
    </xf>
    <xf numFmtId="0" fontId="0" fillId="2" borderId="16" xfId="0" applyFill="1" applyBorder="1" applyAlignment="1" applyProtection="1">
      <alignment horizontal="center" vertical="center" wrapText="1"/>
      <protection locked="0"/>
    </xf>
    <xf numFmtId="0" fontId="0" fillId="0" borderId="30"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3" borderId="50" xfId="0" applyFill="1" applyBorder="1" applyAlignment="1" applyProtection="1">
      <alignment horizontal="center" vertical="center" wrapText="1"/>
      <protection locked="0"/>
    </xf>
    <xf numFmtId="0" fontId="0" fillId="7" borderId="48" xfId="0" applyFill="1" applyBorder="1" applyAlignment="1" applyProtection="1">
      <alignment horizontal="center" vertical="center" wrapText="1"/>
      <protection locked="0"/>
    </xf>
    <xf numFmtId="0" fontId="0" fillId="7" borderId="50" xfId="0" applyFill="1" applyBorder="1" applyAlignment="1" applyProtection="1">
      <alignment horizontal="center" vertical="center" wrapText="1"/>
      <protection locked="0"/>
    </xf>
    <xf numFmtId="0" fontId="9" fillId="7" borderId="18" xfId="0" applyFont="1" applyFill="1" applyBorder="1" applyAlignment="1" applyProtection="1">
      <alignment horizontal="center"/>
      <protection locked="0"/>
    </xf>
    <xf numFmtId="0" fontId="9" fillId="7" borderId="18" xfId="0" applyFont="1" applyFill="1" applyBorder="1" applyAlignment="1" applyProtection="1">
      <alignment horizontal="center" vertical="center"/>
      <protection locked="0"/>
    </xf>
    <xf numFmtId="0" fontId="0" fillId="11" borderId="32" xfId="0" applyFill="1" applyBorder="1" applyAlignment="1" applyProtection="1">
      <alignment horizontal="center" vertical="center" wrapText="1"/>
      <protection locked="0"/>
    </xf>
    <xf numFmtId="0" fontId="0" fillId="11" borderId="20" xfId="0" applyFill="1" applyBorder="1" applyAlignment="1" applyProtection="1">
      <alignment horizontal="center" vertical="center" wrapText="1"/>
      <protection locked="0"/>
    </xf>
    <xf numFmtId="0" fontId="0" fillId="11" borderId="18" xfId="0" applyFill="1" applyBorder="1" applyAlignment="1" applyProtection="1">
      <alignment horizontal="center" vertical="center" wrapText="1"/>
      <protection locked="0"/>
    </xf>
    <xf numFmtId="0" fontId="0" fillId="11" borderId="19" xfId="0" applyFill="1" applyBorder="1" applyAlignment="1" applyProtection="1">
      <alignment horizontal="center" vertical="center" wrapText="1"/>
      <protection locked="0"/>
    </xf>
    <xf numFmtId="0" fontId="9" fillId="6" borderId="18" xfId="0" applyFont="1" applyFill="1" applyBorder="1" applyAlignment="1" applyProtection="1">
      <alignment horizontal="center" vertical="center"/>
      <protection locked="0"/>
    </xf>
    <xf numFmtId="0" fontId="9" fillId="6" borderId="18" xfId="0" applyFont="1" applyFill="1" applyBorder="1" applyAlignment="1" applyProtection="1">
      <alignment horizontal="center"/>
      <protection locked="0"/>
    </xf>
    <xf numFmtId="0" fontId="0" fillId="6" borderId="48" xfId="0" applyFill="1" applyBorder="1" applyAlignment="1" applyProtection="1">
      <alignment horizontal="center" vertical="center" wrapText="1"/>
      <protection locked="0"/>
    </xf>
    <xf numFmtId="0" fontId="0" fillId="6" borderId="50" xfId="0" applyFill="1" applyBorder="1" applyAlignment="1" applyProtection="1">
      <alignment horizontal="center" vertical="center" wrapText="1"/>
      <protection locked="0"/>
    </xf>
    <xf numFmtId="0" fontId="9" fillId="5" borderId="18" xfId="0" applyFont="1" applyFill="1" applyBorder="1" applyAlignment="1" applyProtection="1">
      <alignment horizontal="center" vertical="center"/>
      <protection locked="0"/>
    </xf>
    <xf numFmtId="0" fontId="9" fillId="5" borderId="18" xfId="0" applyFont="1" applyFill="1" applyBorder="1" applyAlignment="1" applyProtection="1">
      <alignment horizontal="center"/>
      <protection locked="0"/>
    </xf>
    <xf numFmtId="0" fontId="0" fillId="5" borderId="48" xfId="0" applyFill="1" applyBorder="1" applyAlignment="1" applyProtection="1">
      <alignment horizontal="center" vertical="center" wrapText="1"/>
      <protection locked="0"/>
    </xf>
    <xf numFmtId="0" fontId="0" fillId="5" borderId="50" xfId="0" applyFill="1" applyBorder="1" applyAlignment="1" applyProtection="1">
      <alignment horizontal="center" vertical="center" wrapText="1"/>
      <protection locked="0"/>
    </xf>
    <xf numFmtId="0" fontId="9" fillId="12" borderId="18" xfId="0" applyFont="1" applyFill="1" applyBorder="1" applyAlignment="1" applyProtection="1">
      <alignment horizontal="center" vertical="center"/>
      <protection locked="0"/>
    </xf>
    <xf numFmtId="0" fontId="9" fillId="12" borderId="18" xfId="0" applyFont="1" applyFill="1" applyBorder="1" applyAlignment="1" applyProtection="1">
      <alignment horizontal="center"/>
      <protection locked="0"/>
    </xf>
    <xf numFmtId="0" fontId="0" fillId="12" borderId="18" xfId="0" applyFill="1" applyBorder="1" applyAlignment="1" applyProtection="1">
      <alignment horizontal="center" vertical="center" wrapText="1"/>
      <protection locked="0"/>
    </xf>
    <xf numFmtId="0" fontId="0" fillId="12" borderId="32" xfId="0" applyFill="1" applyBorder="1" applyAlignment="1" applyProtection="1">
      <alignment horizontal="center" vertical="center" wrapText="1"/>
      <protection locked="0"/>
    </xf>
    <xf numFmtId="0" fontId="0" fillId="12" borderId="19" xfId="0" applyFill="1" applyBorder="1" applyAlignment="1" applyProtection="1">
      <alignment horizontal="center" vertical="center" wrapText="1"/>
      <protection locked="0"/>
    </xf>
    <xf numFmtId="0" fontId="0" fillId="12" borderId="20" xfId="0" applyFill="1" applyBorder="1" applyAlignment="1" applyProtection="1">
      <alignment horizontal="center" vertical="center" wrapText="1"/>
      <protection locked="0"/>
    </xf>
    <xf numFmtId="0" fontId="0" fillId="12" borderId="48" xfId="0" applyFill="1" applyBorder="1" applyAlignment="1" applyProtection="1">
      <alignment horizontal="center" vertical="center" wrapText="1"/>
      <protection locked="0"/>
    </xf>
    <xf numFmtId="0" fontId="0" fillId="12" borderId="50" xfId="0" applyFill="1" applyBorder="1" applyAlignment="1" applyProtection="1">
      <alignment horizontal="center" vertical="center" wrapText="1"/>
      <protection locked="0"/>
    </xf>
    <xf numFmtId="0" fontId="0" fillId="11" borderId="48" xfId="0" applyFill="1" applyBorder="1" applyAlignment="1" applyProtection="1">
      <alignment horizontal="center" vertical="center" wrapText="1"/>
      <protection locked="0"/>
    </xf>
    <xf numFmtId="0" fontId="9" fillId="11" borderId="18" xfId="0" applyFont="1" applyFill="1" applyBorder="1" applyAlignment="1" applyProtection="1">
      <alignment horizontal="center" vertical="center"/>
      <protection locked="0"/>
    </xf>
    <xf numFmtId="0" fontId="9" fillId="11" borderId="18" xfId="0" applyFont="1" applyFill="1" applyBorder="1" applyAlignment="1" applyProtection="1">
      <alignment horizontal="center"/>
      <protection locked="0"/>
    </xf>
    <xf numFmtId="0" fontId="0" fillId="11" borderId="50" xfId="0" applyFill="1" applyBorder="1" applyAlignment="1" applyProtection="1">
      <alignment horizontal="center" vertical="center" wrapText="1"/>
      <protection locked="0"/>
    </xf>
    <xf numFmtId="0" fontId="0" fillId="0" borderId="21" xfId="0" applyBorder="1" applyAlignment="1" applyProtection="1">
      <alignment horizontal="center" vertical="center" wrapText="1"/>
      <protection locked="0"/>
    </xf>
    <xf numFmtId="14" fontId="0" fillId="0" borderId="2" xfId="0" applyNumberFormat="1" applyBorder="1" applyAlignment="1" applyProtection="1">
      <alignment horizontal="center" vertical="center" wrapText="1"/>
      <protection locked="0"/>
    </xf>
    <xf numFmtId="164" fontId="0" fillId="0" borderId="22" xfId="1" applyNumberFormat="1" applyFont="1" applyBorder="1" applyAlignment="1" applyProtection="1">
      <alignment horizontal="center" vertical="center" wrapText="1"/>
      <protection locked="0"/>
    </xf>
    <xf numFmtId="9" fontId="0" fillId="0" borderId="47" xfId="1" applyFont="1"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164" fontId="0" fillId="0" borderId="14" xfId="1" applyNumberFormat="1" applyFont="1" applyBorder="1" applyAlignment="1" applyProtection="1">
      <alignment horizontal="center" vertical="center" wrapText="1"/>
      <protection locked="0"/>
    </xf>
    <xf numFmtId="9" fontId="0" fillId="0" borderId="33" xfId="1" applyFont="1" applyBorder="1" applyAlignment="1" applyProtection="1">
      <alignment horizontal="center" vertical="center" wrapText="1"/>
      <protection locked="0"/>
    </xf>
    <xf numFmtId="0" fontId="0" fillId="0" borderId="35" xfId="0" applyBorder="1" applyAlignment="1" applyProtection="1">
      <alignment horizontal="center" vertical="center" wrapText="1"/>
      <protection locked="0"/>
    </xf>
    <xf numFmtId="164" fontId="0" fillId="0" borderId="15" xfId="1" applyNumberFormat="1" applyFont="1" applyBorder="1" applyAlignment="1" applyProtection="1">
      <alignment horizontal="center" vertical="center" wrapText="1"/>
      <protection locked="0"/>
    </xf>
    <xf numFmtId="9" fontId="0" fillId="0" borderId="34" xfId="1" applyFont="1" applyBorder="1" applyAlignment="1" applyProtection="1">
      <alignment horizontal="center" vertical="center" wrapText="1"/>
      <protection locked="0"/>
    </xf>
    <xf numFmtId="0" fontId="4" fillId="5" borderId="12" xfId="0" applyFont="1" applyFill="1" applyBorder="1" applyAlignment="1" applyProtection="1">
      <alignment horizontal="center" vertical="center" wrapText="1"/>
      <protection locked="0"/>
    </xf>
    <xf numFmtId="0" fontId="4" fillId="0" borderId="46" xfId="0" applyFont="1" applyFill="1" applyBorder="1" applyAlignment="1" applyProtection="1">
      <alignment horizontal="center" vertical="center" wrapText="1"/>
      <protection locked="0"/>
    </xf>
    <xf numFmtId="0" fontId="4" fillId="0" borderId="44" xfId="0" applyFont="1" applyFill="1" applyBorder="1" applyAlignment="1" applyProtection="1">
      <alignment horizontal="center" vertical="center" wrapText="1"/>
      <protection locked="0"/>
    </xf>
    <xf numFmtId="0" fontId="4" fillId="0" borderId="51" xfId="0" applyFont="1" applyFill="1" applyBorder="1" applyAlignment="1" applyProtection="1">
      <alignment horizontal="center" vertical="center" wrapText="1"/>
      <protection locked="0"/>
    </xf>
    <xf numFmtId="0" fontId="7" fillId="0" borderId="24" xfId="0" applyFont="1" applyFill="1" applyBorder="1" applyAlignment="1" applyProtection="1">
      <alignment horizontal="center" vertical="center"/>
      <protection locked="0"/>
    </xf>
    <xf numFmtId="0" fontId="7" fillId="0" borderId="26" xfId="0" applyFont="1" applyFill="1" applyBorder="1" applyAlignment="1" applyProtection="1">
      <alignment horizontal="center" vertical="center"/>
      <protection locked="0"/>
    </xf>
    <xf numFmtId="0" fontId="7" fillId="0" borderId="28" xfId="0" applyFont="1" applyFill="1" applyBorder="1" applyAlignment="1" applyProtection="1">
      <alignment horizontal="center" vertical="center"/>
      <protection locked="0"/>
    </xf>
    <xf numFmtId="0" fontId="7" fillId="0" borderId="29" xfId="0" applyFont="1" applyFill="1" applyBorder="1" applyAlignment="1" applyProtection="1">
      <alignment horizontal="center" vertical="center"/>
      <protection locked="0"/>
    </xf>
    <xf numFmtId="0" fontId="0" fillId="0" borderId="21" xfId="0" applyBorder="1" applyAlignment="1" applyProtection="1">
      <alignment horizontal="center" vertical="center"/>
    </xf>
    <xf numFmtId="0" fontId="0" fillId="0" borderId="3" xfId="0" applyBorder="1" applyAlignment="1" applyProtection="1">
      <alignment horizontal="center" vertical="center"/>
    </xf>
    <xf numFmtId="0" fontId="0" fillId="0" borderId="22" xfId="0" applyBorder="1" applyAlignment="1" applyProtection="1">
      <alignment horizontal="center" vertical="center"/>
    </xf>
    <xf numFmtId="0" fontId="7" fillId="0" borderId="13" xfId="0"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protection locked="0"/>
    </xf>
    <xf numFmtId="0" fontId="7" fillId="0" borderId="23" xfId="0" applyFont="1" applyFill="1" applyBorder="1" applyAlignment="1" applyProtection="1">
      <alignment horizontal="center" vertical="center"/>
      <protection locked="0"/>
    </xf>
    <xf numFmtId="0" fontId="7" fillId="0" borderId="6" xfId="0" applyFont="1" applyFill="1" applyBorder="1" applyAlignment="1" applyProtection="1">
      <alignment horizontal="center" vertical="center"/>
      <protection locked="0"/>
    </xf>
    <xf numFmtId="0" fontId="0" fillId="0" borderId="13" xfId="0" applyBorder="1" applyAlignment="1" applyProtection="1">
      <alignment horizontal="center" vertical="center"/>
    </xf>
    <xf numFmtId="0" fontId="0" fillId="0" borderId="1" xfId="0" applyBorder="1" applyAlignment="1" applyProtection="1">
      <alignment horizontal="center" vertical="center"/>
    </xf>
    <xf numFmtId="0" fontId="0" fillId="0" borderId="14" xfId="0" applyBorder="1" applyAlignment="1" applyProtection="1">
      <alignment horizontal="center" vertical="center"/>
    </xf>
    <xf numFmtId="0" fontId="7" fillId="0" borderId="21" xfId="0" applyFont="1" applyFill="1" applyBorder="1" applyAlignment="1" applyProtection="1">
      <alignment horizontal="center" vertical="center"/>
      <protection locked="0"/>
    </xf>
    <xf numFmtId="0" fontId="7" fillId="0" borderId="3" xfId="0" applyFont="1" applyFill="1" applyBorder="1" applyAlignment="1" applyProtection="1">
      <alignment horizontal="center" vertical="center"/>
      <protection locked="0"/>
    </xf>
    <xf numFmtId="0" fontId="7" fillId="0" borderId="11" xfId="0" applyFont="1" applyFill="1" applyBorder="1" applyAlignment="1" applyProtection="1">
      <alignment horizontal="center" vertical="center"/>
      <protection locked="0"/>
    </xf>
    <xf numFmtId="0" fontId="7" fillId="0" borderId="4" xfId="0" applyFont="1" applyFill="1" applyBorder="1" applyAlignment="1" applyProtection="1">
      <alignment horizontal="center" vertical="center"/>
      <protection locked="0"/>
    </xf>
    <xf numFmtId="0" fontId="7" fillId="0" borderId="35" xfId="0" applyFont="1" applyFill="1" applyBorder="1" applyAlignment="1" applyProtection="1">
      <alignment horizontal="center" vertical="center"/>
      <protection locked="0"/>
    </xf>
    <xf numFmtId="0" fontId="7" fillId="0" borderId="36" xfId="0" applyFont="1" applyFill="1" applyBorder="1" applyAlignment="1" applyProtection="1">
      <alignment horizontal="center" vertical="center"/>
      <protection locked="0"/>
    </xf>
    <xf numFmtId="0" fontId="7" fillId="0" borderId="37" xfId="0" applyFont="1" applyFill="1" applyBorder="1" applyAlignment="1" applyProtection="1">
      <alignment horizontal="center" vertical="center"/>
      <protection locked="0"/>
    </xf>
    <xf numFmtId="0" fontId="7" fillId="0" borderId="39" xfId="0" applyFont="1" applyFill="1" applyBorder="1" applyAlignment="1" applyProtection="1">
      <alignment horizontal="center" vertical="center"/>
      <protection locked="0"/>
    </xf>
    <xf numFmtId="0" fontId="0" fillId="0" borderId="35" xfId="0" applyBorder="1" applyAlignment="1" applyProtection="1">
      <alignment horizontal="center" vertical="center"/>
    </xf>
    <xf numFmtId="0" fontId="0" fillId="0" borderId="36" xfId="0" applyBorder="1" applyAlignment="1" applyProtection="1">
      <alignment horizontal="center" vertical="center"/>
    </xf>
    <xf numFmtId="0" fontId="0" fillId="0" borderId="15" xfId="0" applyBorder="1" applyAlignment="1" applyProtection="1">
      <alignment horizontal="center" vertical="center"/>
    </xf>
    <xf numFmtId="0" fontId="0" fillId="0" borderId="47" xfId="0" applyFont="1" applyBorder="1" applyAlignment="1" applyProtection="1">
      <alignment horizontal="center" vertical="center"/>
      <protection locked="0"/>
    </xf>
    <xf numFmtId="0" fontId="0" fillId="0" borderId="22" xfId="0" applyFont="1" applyBorder="1" applyAlignment="1" applyProtection="1">
      <alignment horizontal="center" vertical="center"/>
      <protection locked="0"/>
    </xf>
    <xf numFmtId="0" fontId="0" fillId="0" borderId="33" xfId="0" applyFont="1" applyBorder="1" applyAlignment="1" applyProtection="1">
      <alignment horizontal="center" vertical="center"/>
      <protection locked="0"/>
    </xf>
    <xf numFmtId="0" fontId="0" fillId="0" borderId="14" xfId="0" applyFont="1" applyBorder="1" applyAlignment="1" applyProtection="1">
      <alignment horizontal="center" vertical="center"/>
      <protection locked="0"/>
    </xf>
    <xf numFmtId="0" fontId="3" fillId="0" borderId="48"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0" fillId="0" borderId="2"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165" fontId="0" fillId="0" borderId="4" xfId="1" applyNumberFormat="1" applyFont="1" applyBorder="1" applyAlignment="1" applyProtection="1">
      <alignment horizontal="center" vertical="center" wrapText="1"/>
    </xf>
    <xf numFmtId="165" fontId="0" fillId="0" borderId="22" xfId="1" applyNumberFormat="1" applyFont="1" applyBorder="1" applyAlignment="1" applyProtection="1">
      <alignment horizontal="center" vertical="center" wrapText="1"/>
    </xf>
    <xf numFmtId="165" fontId="0" fillId="0" borderId="14" xfId="1" applyNumberFormat="1" applyFont="1" applyBorder="1" applyAlignment="1" applyProtection="1">
      <alignment horizontal="center" vertical="center" wrapText="1"/>
    </xf>
    <xf numFmtId="165" fontId="0" fillId="0" borderId="15" xfId="1" applyNumberFormat="1" applyFont="1" applyBorder="1" applyAlignment="1" applyProtection="1">
      <alignment horizontal="center" vertical="center" wrapText="1"/>
    </xf>
    <xf numFmtId="164" fontId="0" fillId="0" borderId="14" xfId="1" applyNumberFormat="1" applyFont="1" applyBorder="1" applyAlignment="1" applyProtection="1">
      <alignment horizontal="center" vertical="center" wrapText="1"/>
    </xf>
    <xf numFmtId="164" fontId="0" fillId="0" borderId="15" xfId="1" applyNumberFormat="1" applyFont="1" applyBorder="1" applyAlignment="1" applyProtection="1">
      <alignment horizontal="center" vertical="center" wrapText="1"/>
    </xf>
    <xf numFmtId="164" fontId="0" fillId="0" borderId="4" xfId="1" applyNumberFormat="1" applyFont="1" applyBorder="1" applyAlignment="1" applyProtection="1">
      <alignment horizontal="center" vertical="center" wrapText="1"/>
    </xf>
    <xf numFmtId="0" fontId="0" fillId="0" borderId="1" xfId="0" applyBorder="1" applyAlignment="1" applyProtection="1">
      <alignment horizontal="center" vertical="center" wrapText="1"/>
    </xf>
    <xf numFmtId="0" fontId="0" fillId="0" borderId="8" xfId="0" applyBorder="1" applyAlignment="1" applyProtection="1">
      <alignment horizontal="center" vertical="center" wrapText="1"/>
    </xf>
    <xf numFmtId="0" fontId="0" fillId="0" borderId="6" xfId="0" applyBorder="1" applyAlignment="1" applyProtection="1">
      <alignment horizontal="center" vertical="center" wrapText="1"/>
    </xf>
    <xf numFmtId="0" fontId="0" fillId="0" borderId="9" xfId="0" applyBorder="1" applyAlignment="1" applyProtection="1">
      <alignment horizontal="center" vertical="center" wrapText="1"/>
    </xf>
    <xf numFmtId="0" fontId="0" fillId="0" borderId="5" xfId="0" applyBorder="1" applyAlignment="1" applyProtection="1">
      <alignment horizontal="center" vertical="center" wrapText="1"/>
    </xf>
    <xf numFmtId="0" fontId="0" fillId="0" borderId="7" xfId="0" applyBorder="1" applyAlignment="1" applyProtection="1">
      <alignment horizontal="center" vertical="center" wrapText="1"/>
    </xf>
    <xf numFmtId="0" fontId="0" fillId="0" borderId="13" xfId="0" applyBorder="1" applyAlignment="1" applyProtection="1">
      <alignment horizontal="center" vertical="center" wrapText="1"/>
    </xf>
    <xf numFmtId="0" fontId="0" fillId="0" borderId="14" xfId="0" applyBorder="1" applyAlignment="1" applyProtection="1">
      <alignment horizontal="center" vertical="center" wrapText="1"/>
    </xf>
    <xf numFmtId="0" fontId="0" fillId="0" borderId="56" xfId="0" applyBorder="1" applyAlignment="1" applyProtection="1">
      <alignment horizontal="center" vertical="center" wrapText="1"/>
      <protection locked="0"/>
    </xf>
    <xf numFmtId="0" fontId="0" fillId="0" borderId="57" xfId="0" applyBorder="1" applyAlignment="1" applyProtection="1">
      <alignment horizontal="center" vertical="center" wrapText="1"/>
      <protection locked="0"/>
    </xf>
    <xf numFmtId="0" fontId="0" fillId="0" borderId="58" xfId="0" applyBorder="1" applyAlignment="1" applyProtection="1">
      <alignment horizontal="center" vertical="center" wrapText="1"/>
      <protection locked="0"/>
    </xf>
    <xf numFmtId="0" fontId="0" fillId="0" borderId="27" xfId="0" applyBorder="1" applyAlignment="1" applyProtection="1">
      <alignment horizontal="center" vertical="center" wrapText="1"/>
    </xf>
    <xf numFmtId="0" fontId="0" fillId="0" borderId="59" xfId="0" applyBorder="1" applyAlignment="1" applyProtection="1">
      <alignment horizontal="center" vertical="center" wrapText="1"/>
    </xf>
    <xf numFmtId="0" fontId="0" fillId="0" borderId="2" xfId="0" applyBorder="1" applyAlignment="1" applyProtection="1">
      <alignment horizontal="center" vertical="center" wrapText="1"/>
    </xf>
    <xf numFmtId="0" fontId="0" fillId="0" borderId="3" xfId="0" applyBorder="1" applyAlignment="1" applyProtection="1">
      <alignment horizontal="center" vertical="center" wrapText="1"/>
    </xf>
    <xf numFmtId="0" fontId="0" fillId="0" borderId="4" xfId="0" applyBorder="1" applyAlignment="1" applyProtection="1">
      <alignment horizontal="center" vertical="center" wrapText="1"/>
    </xf>
    <xf numFmtId="0" fontId="0" fillId="0" borderId="21" xfId="0" applyBorder="1" applyAlignment="1" applyProtection="1">
      <alignment horizontal="center" vertical="center" wrapText="1"/>
    </xf>
    <xf numFmtId="0" fontId="0" fillId="0" borderId="22" xfId="0" applyBorder="1" applyAlignment="1" applyProtection="1">
      <alignment horizontal="center" vertical="center" wrapText="1"/>
    </xf>
    <xf numFmtId="0" fontId="0" fillId="0" borderId="54" xfId="0" applyBorder="1" applyAlignment="1" applyProtection="1">
      <alignment horizontal="center" vertical="center" wrapText="1"/>
      <protection locked="0"/>
    </xf>
    <xf numFmtId="0" fontId="0" fillId="0" borderId="31" xfId="0" applyBorder="1" applyAlignment="1" applyProtection="1">
      <alignment horizontal="center" vertical="center" wrapText="1"/>
      <protection locked="0"/>
    </xf>
    <xf numFmtId="0" fontId="2" fillId="2" borderId="54" xfId="0" applyFont="1" applyFill="1" applyBorder="1" applyAlignment="1" applyProtection="1">
      <alignment vertical="center"/>
      <protection locked="0"/>
    </xf>
    <xf numFmtId="0" fontId="0" fillId="0" borderId="60" xfId="0" applyBorder="1" applyAlignment="1" applyProtection="1">
      <alignment horizontal="center" vertical="center" wrapText="1"/>
    </xf>
    <xf numFmtId="0" fontId="0" fillId="0" borderId="55" xfId="0" applyBorder="1" applyAlignment="1" applyProtection="1">
      <alignment horizontal="center" vertical="center" wrapText="1"/>
    </xf>
    <xf numFmtId="0" fontId="0" fillId="0" borderId="61" xfId="0" applyBorder="1" applyAlignment="1" applyProtection="1">
      <alignment horizontal="center" vertical="center" wrapText="1"/>
    </xf>
    <xf numFmtId="0" fontId="0" fillId="0" borderId="34" xfId="0" applyFont="1" applyBorder="1" applyAlignment="1" applyProtection="1">
      <alignment horizontal="center" vertical="center"/>
      <protection locked="0"/>
    </xf>
    <xf numFmtId="0" fontId="0" fillId="0" borderId="15" xfId="0" applyFont="1" applyBorder="1" applyAlignment="1" applyProtection="1">
      <alignment horizontal="center" vertical="center"/>
      <protection locked="0"/>
    </xf>
    <xf numFmtId="9" fontId="0" fillId="0" borderId="4" xfId="1" applyFont="1" applyBorder="1" applyAlignment="1" applyProtection="1">
      <alignment horizontal="center" vertical="center" wrapText="1"/>
    </xf>
    <xf numFmtId="0" fontId="0" fillId="0" borderId="13" xfId="0" applyNumberFormat="1" applyBorder="1" applyAlignment="1" applyProtection="1">
      <alignment horizontal="center" vertical="center" wrapText="1"/>
      <protection locked="0"/>
    </xf>
    <xf numFmtId="1" fontId="0" fillId="0" borderId="13" xfId="1" applyNumberFormat="1" applyFont="1" applyBorder="1" applyAlignment="1" applyProtection="1">
      <alignment horizontal="center" vertical="center" wrapText="1"/>
    </xf>
    <xf numFmtId="165" fontId="0" fillId="0" borderId="1" xfId="1" applyNumberFormat="1" applyFont="1" applyBorder="1" applyAlignment="1" applyProtection="1">
      <alignment horizontal="center" vertical="center" wrapText="1"/>
    </xf>
    <xf numFmtId="164" fontId="0" fillId="0" borderId="57" xfId="1" applyNumberFormat="1" applyFont="1" applyBorder="1" applyAlignment="1" applyProtection="1">
      <alignment horizontal="center" vertical="center" wrapText="1"/>
      <protection locked="0"/>
    </xf>
    <xf numFmtId="9" fontId="0" fillId="0" borderId="55" xfId="1" applyFont="1" applyBorder="1" applyAlignment="1" applyProtection="1">
      <alignment horizontal="center" vertical="center" wrapText="1"/>
      <protection locked="0"/>
    </xf>
    <xf numFmtId="1" fontId="0" fillId="0" borderId="6" xfId="1" applyNumberFormat="1" applyFont="1" applyBorder="1" applyAlignment="1" applyProtection="1">
      <alignment horizontal="center" vertical="center" wrapText="1"/>
    </xf>
    <xf numFmtId="1" fontId="0" fillId="0" borderId="4" xfId="1" applyNumberFormat="1" applyFont="1" applyBorder="1" applyAlignment="1" applyProtection="1">
      <alignment horizontal="center" vertical="center" wrapText="1"/>
    </xf>
    <xf numFmtId="0" fontId="13" fillId="0" borderId="0" xfId="2"/>
    <xf numFmtId="0" fontId="0" fillId="4" borderId="18" xfId="0" applyFill="1" applyBorder="1" applyAlignment="1">
      <alignment horizontal="center" vertical="center"/>
    </xf>
    <xf numFmtId="0" fontId="0" fillId="0" borderId="63" xfId="0" applyFill="1" applyBorder="1" applyAlignment="1">
      <alignment horizontal="center" vertical="center"/>
    </xf>
    <xf numFmtId="0" fontId="0" fillId="0" borderId="1" xfId="0" quotePrefix="1" applyFont="1" applyFill="1" applyBorder="1" applyAlignment="1">
      <alignment horizontal="center" vertical="center" wrapText="1"/>
    </xf>
    <xf numFmtId="0" fontId="0" fillId="0" borderId="14" xfId="0" quotePrefix="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36" xfId="0" applyFont="1" applyFill="1" applyBorder="1" applyAlignment="1">
      <alignment horizontal="center" vertical="center" wrapText="1"/>
    </xf>
    <xf numFmtId="0" fontId="0" fillId="0" borderId="15" xfId="0" quotePrefix="1" applyFill="1" applyBorder="1" applyAlignment="1">
      <alignment horizontal="center" vertical="center"/>
    </xf>
    <xf numFmtId="0" fontId="0" fillId="0" borderId="18" xfId="0" applyFill="1" applyBorder="1" applyAlignment="1">
      <alignment horizontal="center" vertical="center"/>
    </xf>
    <xf numFmtId="0" fontId="7" fillId="4" borderId="63" xfId="0" applyFont="1" applyFill="1" applyBorder="1" applyAlignment="1">
      <alignment horizontal="center" vertical="center"/>
    </xf>
    <xf numFmtId="0" fontId="0" fillId="4" borderId="63" xfId="0" applyFill="1" applyBorder="1" applyAlignment="1">
      <alignment horizontal="center" vertical="center"/>
    </xf>
    <xf numFmtId="0" fontId="3" fillId="9" borderId="36"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7" fillId="4" borderId="62" xfId="0" applyFont="1" applyFill="1" applyBorder="1" applyAlignment="1">
      <alignment horizontal="center" vertical="center" wrapText="1"/>
    </xf>
    <xf numFmtId="0" fontId="7" fillId="4" borderId="0" xfId="0" applyFont="1" applyFill="1" applyBorder="1" applyAlignment="1">
      <alignment horizontal="center" vertical="center" wrapText="1"/>
    </xf>
    <xf numFmtId="0" fontId="13" fillId="4" borderId="0" xfId="2" applyFill="1" applyBorder="1" applyAlignment="1">
      <alignment horizontal="center" vertical="center"/>
    </xf>
    <xf numFmtId="0" fontId="7" fillId="4" borderId="65" xfId="0" applyFont="1" applyFill="1" applyBorder="1" applyAlignment="1">
      <alignment horizontal="center" vertical="center"/>
    </xf>
    <xf numFmtId="0" fontId="0" fillId="0" borderId="40" xfId="0" applyFill="1" applyBorder="1" applyAlignment="1">
      <alignment horizontal="center" vertical="center"/>
    </xf>
    <xf numFmtId="0" fontId="0" fillId="0" borderId="63" xfId="0" applyFill="1" applyBorder="1" applyAlignment="1">
      <alignment horizontal="center" vertical="center"/>
    </xf>
    <xf numFmtId="0" fontId="0" fillId="0" borderId="46" xfId="0" applyFill="1" applyBorder="1" applyAlignment="1">
      <alignment horizontal="center" vertical="center"/>
    </xf>
    <xf numFmtId="0" fontId="0" fillId="9" borderId="36" xfId="0" applyFill="1" applyBorder="1" applyAlignment="1">
      <alignment horizontal="center" vertical="center" wrapText="1"/>
    </xf>
    <xf numFmtId="0" fontId="3" fillId="10" borderId="1" xfId="0" applyFont="1" applyFill="1" applyBorder="1" applyAlignment="1">
      <alignment horizontal="center" vertical="center"/>
    </xf>
    <xf numFmtId="0" fontId="3" fillId="8" borderId="1" xfId="0" applyFont="1" applyFill="1" applyBorder="1" applyAlignment="1">
      <alignment horizontal="center" vertical="center"/>
    </xf>
    <xf numFmtId="0" fontId="0" fillId="8" borderId="1" xfId="0" applyFill="1" applyBorder="1" applyAlignment="1">
      <alignment horizontal="center" vertical="center"/>
    </xf>
    <xf numFmtId="0" fontId="0" fillId="8" borderId="14" xfId="0" applyFill="1" applyBorder="1" applyAlignment="1">
      <alignment horizontal="center" vertical="center"/>
    </xf>
    <xf numFmtId="0" fontId="0" fillId="10" borderId="1" xfId="0" quotePrefix="1" applyFill="1" applyBorder="1" applyAlignment="1">
      <alignment horizontal="center" vertical="center" wrapText="1"/>
    </xf>
    <xf numFmtId="0" fontId="0" fillId="10" borderId="14" xfId="0" quotePrefix="1" applyFill="1" applyBorder="1" applyAlignment="1">
      <alignment horizontal="center" vertical="center" wrapText="1"/>
    </xf>
    <xf numFmtId="0" fontId="0" fillId="9" borderId="36" xfId="0" quotePrefix="1" applyFill="1" applyBorder="1" applyAlignment="1">
      <alignment horizontal="center" vertical="center" wrapText="1"/>
    </xf>
    <xf numFmtId="0" fontId="0" fillId="9" borderId="36" xfId="0" applyFill="1" applyBorder="1" applyAlignment="1">
      <alignment horizontal="center" vertical="center"/>
    </xf>
    <xf numFmtId="0" fontId="0" fillId="9" borderId="15" xfId="0"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0" fillId="4" borderId="4"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56" xfId="0" applyFill="1" applyBorder="1" applyAlignment="1">
      <alignment horizontal="center" vertical="center" wrapText="1"/>
    </xf>
    <xf numFmtId="0" fontId="3" fillId="0" borderId="26" xfId="0" applyFont="1" applyFill="1" applyBorder="1" applyAlignment="1">
      <alignment horizontal="center" vertical="center" wrapText="1"/>
    </xf>
    <xf numFmtId="0" fontId="3" fillId="0" borderId="25" xfId="0" applyFont="1" applyFill="1" applyBorder="1" applyAlignment="1">
      <alignment horizontal="center" vertical="center" wrapText="1"/>
    </xf>
    <xf numFmtId="0" fontId="0" fillId="4" borderId="49" xfId="0" applyFill="1" applyBorder="1" applyAlignment="1">
      <alignment horizontal="left" vertical="center" wrapText="1"/>
    </xf>
    <xf numFmtId="0" fontId="0" fillId="4" borderId="66" xfId="0" applyFill="1" applyBorder="1" applyAlignment="1">
      <alignment horizontal="left" vertical="center" wrapText="1"/>
    </xf>
    <xf numFmtId="0" fontId="0" fillId="0" borderId="19" xfId="0" applyFill="1" applyBorder="1" applyAlignment="1">
      <alignment horizontal="left" vertical="center" wrapText="1"/>
    </xf>
    <xf numFmtId="0" fontId="0" fillId="0" borderId="20" xfId="0" applyFill="1" applyBorder="1" applyAlignment="1">
      <alignment horizontal="left" vertical="center" wrapText="1"/>
    </xf>
    <xf numFmtId="0" fontId="0" fillId="4" borderId="63" xfId="0" applyFill="1" applyBorder="1" applyAlignment="1">
      <alignment horizontal="center" vertical="center"/>
    </xf>
    <xf numFmtId="0" fontId="0" fillId="0" borderId="1" xfId="0" applyFill="1" applyBorder="1" applyAlignment="1">
      <alignment horizontal="center" vertical="center" wrapText="1"/>
    </xf>
    <xf numFmtId="0" fontId="0" fillId="0" borderId="36" xfId="0" applyFill="1" applyBorder="1" applyAlignment="1">
      <alignment horizontal="center" vertical="center"/>
    </xf>
    <xf numFmtId="0" fontId="0" fillId="8" borderId="6" xfId="0" applyFill="1" applyBorder="1" applyAlignment="1">
      <alignment horizontal="center" vertical="center" wrapText="1"/>
    </xf>
    <xf numFmtId="0" fontId="0" fillId="8" borderId="5" xfId="0" applyFill="1" applyBorder="1" applyAlignment="1">
      <alignment horizontal="center" vertical="center" wrapText="1"/>
    </xf>
    <xf numFmtId="0" fontId="0" fillId="9" borderId="9" xfId="0" applyFill="1" applyBorder="1" applyAlignment="1">
      <alignment horizontal="center" vertical="center"/>
    </xf>
    <xf numFmtId="0" fontId="0" fillId="9" borderId="58" xfId="0" applyFill="1" applyBorder="1" applyAlignment="1">
      <alignment horizontal="center" vertical="center"/>
    </xf>
    <xf numFmtId="0" fontId="0" fillId="10" borderId="6" xfId="0" applyFill="1" applyBorder="1" applyAlignment="1">
      <alignment horizontal="center" vertical="center"/>
    </xf>
    <xf numFmtId="0" fontId="0" fillId="10" borderId="57" xfId="0" applyFill="1" applyBorder="1" applyAlignment="1">
      <alignment horizontal="center" vertical="center"/>
    </xf>
    <xf numFmtId="0" fontId="0" fillId="10" borderId="6" xfId="0" applyFill="1" applyBorder="1" applyAlignment="1">
      <alignment horizontal="center" vertical="center" wrapText="1"/>
    </xf>
    <xf numFmtId="0" fontId="0" fillId="10" borderId="5" xfId="0" applyFill="1" applyBorder="1" applyAlignment="1">
      <alignment horizontal="center" vertical="center" wrapText="1"/>
    </xf>
    <xf numFmtId="0" fontId="0" fillId="9" borderId="9" xfId="0" applyFill="1" applyBorder="1" applyAlignment="1">
      <alignment horizontal="center" vertical="center" wrapText="1"/>
    </xf>
    <xf numFmtId="0" fontId="0" fillId="9" borderId="7" xfId="0" applyFill="1" applyBorder="1" applyAlignment="1">
      <alignment horizontal="center" vertical="center" wrapText="1"/>
    </xf>
    <xf numFmtId="0" fontId="0" fillId="8" borderId="6" xfId="0" applyFill="1" applyBorder="1" applyAlignment="1">
      <alignment horizontal="center" vertical="center"/>
    </xf>
    <xf numFmtId="0" fontId="0" fillId="8" borderId="57" xfId="0" applyFill="1" applyBorder="1" applyAlignment="1">
      <alignment horizontal="center" vertical="center"/>
    </xf>
    <xf numFmtId="0" fontId="3" fillId="0" borderId="1"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0" fillId="4" borderId="31" xfId="0" applyFill="1" applyBorder="1" applyAlignment="1">
      <alignment horizontal="left" vertical="center" wrapText="1"/>
    </xf>
    <xf numFmtId="0" fontId="0" fillId="4" borderId="16" xfId="0" applyFill="1" applyBorder="1" applyAlignment="1">
      <alignment horizontal="left" vertical="center" wrapText="1"/>
    </xf>
    <xf numFmtId="0" fontId="0" fillId="4" borderId="50" xfId="0" applyFill="1" applyBorder="1" applyAlignment="1">
      <alignment horizontal="left" vertical="center" wrapText="1"/>
    </xf>
    <xf numFmtId="0" fontId="0" fillId="0" borderId="1" xfId="0" applyFill="1" applyBorder="1" applyAlignment="1">
      <alignment horizontal="center" vertical="center"/>
    </xf>
    <xf numFmtId="0" fontId="3" fillId="0" borderId="1"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 xfId="0" quotePrefix="1" applyFont="1" applyFill="1" applyBorder="1" applyAlignment="1">
      <alignment horizontal="center" vertical="center"/>
    </xf>
    <xf numFmtId="0" fontId="3" fillId="0" borderId="36" xfId="0" quotePrefix="1" applyFont="1" applyFill="1" applyBorder="1" applyAlignment="1">
      <alignment horizontal="center" vertical="center"/>
    </xf>
    <xf numFmtId="0" fontId="3" fillId="4" borderId="6" xfId="0" applyFont="1" applyFill="1" applyBorder="1" applyAlignment="1">
      <alignment horizontal="center" vertical="center"/>
    </xf>
    <xf numFmtId="0" fontId="3" fillId="4" borderId="57"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5" xfId="0" applyFont="1" applyFill="1" applyBorder="1" applyAlignment="1">
      <alignment horizontal="center" vertical="center"/>
    </xf>
    <xf numFmtId="0" fontId="0" fillId="0" borderId="49" xfId="0" applyFill="1" applyBorder="1" applyAlignment="1">
      <alignment horizontal="left" vertical="center" wrapText="1"/>
    </xf>
    <xf numFmtId="0" fontId="0" fillId="0" borderId="66" xfId="0" applyFill="1" applyBorder="1" applyAlignment="1">
      <alignment horizontal="left" vertical="center" wrapText="1"/>
    </xf>
    <xf numFmtId="0" fontId="3" fillId="9" borderId="9" xfId="0" applyFont="1" applyFill="1" applyBorder="1" applyAlignment="1">
      <alignment horizontal="center" vertical="center"/>
    </xf>
    <xf numFmtId="0" fontId="3" fillId="9" borderId="10" xfId="0" applyFont="1" applyFill="1" applyBorder="1" applyAlignment="1">
      <alignment horizontal="center" vertical="center"/>
    </xf>
    <xf numFmtId="0" fontId="3" fillId="9" borderId="7" xfId="0" applyFont="1" applyFill="1" applyBorder="1" applyAlignment="1">
      <alignment horizontal="center" vertical="center"/>
    </xf>
    <xf numFmtId="0" fontId="3" fillId="10" borderId="6" xfId="0" applyFont="1" applyFill="1" applyBorder="1" applyAlignment="1">
      <alignment horizontal="center" vertical="center"/>
    </xf>
    <xf numFmtId="0" fontId="3" fillId="10" borderId="23" xfId="0" applyFont="1" applyFill="1" applyBorder="1" applyAlignment="1">
      <alignment horizontal="center" vertical="center"/>
    </xf>
    <xf numFmtId="0" fontId="3" fillId="10" borderId="5" xfId="0" applyFont="1" applyFill="1" applyBorder="1" applyAlignment="1">
      <alignment horizontal="center" vertical="center"/>
    </xf>
    <xf numFmtId="0" fontId="3" fillId="8" borderId="6" xfId="0" applyFont="1" applyFill="1" applyBorder="1" applyAlignment="1">
      <alignment horizontal="center" vertical="center"/>
    </xf>
    <xf numFmtId="0" fontId="3" fillId="8" borderId="23" xfId="0" applyFont="1" applyFill="1" applyBorder="1" applyAlignment="1">
      <alignment horizontal="center" vertical="center"/>
    </xf>
    <xf numFmtId="0" fontId="3" fillId="8" borderId="5" xfId="0" applyFont="1" applyFill="1" applyBorder="1" applyAlignment="1">
      <alignment horizontal="center" vertical="center"/>
    </xf>
    <xf numFmtId="0" fontId="3" fillId="0" borderId="29"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3" fillId="0" borderId="64" xfId="0" applyFont="1" applyFill="1" applyBorder="1" applyAlignment="1">
      <alignment horizontal="center" vertical="center" wrapText="1"/>
    </xf>
    <xf numFmtId="0" fontId="2" fillId="5" borderId="48" xfId="0" applyFont="1" applyFill="1" applyBorder="1" applyAlignment="1" applyProtection="1">
      <alignment horizontal="center"/>
      <protection locked="0"/>
    </xf>
    <xf numFmtId="0" fontId="2" fillId="5" borderId="16" xfId="0" applyFont="1" applyFill="1" applyBorder="1" applyAlignment="1" applyProtection="1">
      <alignment horizontal="center"/>
      <protection locked="0"/>
    </xf>
    <xf numFmtId="0" fontId="2" fillId="5" borderId="50" xfId="0" applyFont="1" applyFill="1" applyBorder="1" applyAlignment="1" applyProtection="1">
      <alignment horizontal="center"/>
      <protection locked="0"/>
    </xf>
    <xf numFmtId="0" fontId="2" fillId="2" borderId="48" xfId="0" applyFont="1" applyFill="1" applyBorder="1" applyAlignment="1" applyProtection="1">
      <alignment horizontal="center"/>
      <protection locked="0"/>
    </xf>
    <xf numFmtId="0" fontId="2" fillId="2" borderId="16" xfId="0" applyFont="1" applyFill="1" applyBorder="1" applyAlignment="1" applyProtection="1">
      <alignment horizontal="center"/>
      <protection locked="0"/>
    </xf>
    <xf numFmtId="0" fontId="2" fillId="2" borderId="50" xfId="0" applyFont="1" applyFill="1" applyBorder="1" applyAlignment="1" applyProtection="1">
      <alignment horizontal="center"/>
      <protection locked="0"/>
    </xf>
    <xf numFmtId="0" fontId="2" fillId="2" borderId="48" xfId="0" applyFont="1" applyFill="1" applyBorder="1" applyAlignment="1" applyProtection="1">
      <alignment horizontal="center" vertical="center"/>
      <protection locked="0"/>
    </xf>
    <xf numFmtId="0" fontId="2" fillId="2" borderId="50" xfId="0" applyFont="1" applyFill="1" applyBorder="1" applyAlignment="1" applyProtection="1">
      <alignment horizontal="center" vertical="center"/>
      <protection locked="0"/>
    </xf>
    <xf numFmtId="0" fontId="2" fillId="3" borderId="48" xfId="0" applyFont="1" applyFill="1" applyBorder="1" applyAlignment="1" applyProtection="1">
      <alignment horizontal="center"/>
      <protection locked="0"/>
    </xf>
    <xf numFmtId="0" fontId="2" fillId="3" borderId="16" xfId="0" applyFont="1" applyFill="1" applyBorder="1" applyAlignment="1" applyProtection="1">
      <alignment horizontal="center"/>
      <protection locked="0"/>
    </xf>
    <xf numFmtId="0" fontId="2" fillId="3" borderId="50" xfId="0" applyFont="1" applyFill="1" applyBorder="1" applyAlignment="1" applyProtection="1">
      <alignment horizontal="center"/>
      <protection locked="0"/>
    </xf>
    <xf numFmtId="0" fontId="3" fillId="0" borderId="0" xfId="0" applyFont="1" applyAlignment="1" applyProtection="1">
      <alignment horizontal="center"/>
      <protection locked="0"/>
    </xf>
    <xf numFmtId="0" fontId="2" fillId="12" borderId="48" xfId="0" applyFont="1" applyFill="1" applyBorder="1" applyAlignment="1" applyProtection="1">
      <alignment horizontal="center"/>
      <protection locked="0"/>
    </xf>
    <xf numFmtId="0" fontId="2" fillId="12" borderId="16" xfId="0" applyFont="1" applyFill="1" applyBorder="1" applyAlignment="1" applyProtection="1">
      <alignment horizontal="center"/>
      <protection locked="0"/>
    </xf>
    <xf numFmtId="0" fontId="2" fillId="12" borderId="50" xfId="0" applyFont="1" applyFill="1" applyBorder="1" applyAlignment="1" applyProtection="1">
      <alignment horizontal="center"/>
      <protection locked="0"/>
    </xf>
    <xf numFmtId="0" fontId="2" fillId="6" borderId="48" xfId="0" applyFont="1" applyFill="1" applyBorder="1" applyAlignment="1" applyProtection="1">
      <alignment horizontal="center"/>
      <protection locked="0"/>
    </xf>
    <xf numFmtId="0" fontId="2" fillId="6" borderId="16" xfId="0" applyFont="1" applyFill="1" applyBorder="1" applyAlignment="1" applyProtection="1">
      <alignment horizontal="center"/>
      <protection locked="0"/>
    </xf>
    <xf numFmtId="0" fontId="2" fillId="6" borderId="50" xfId="0" applyFont="1" applyFill="1" applyBorder="1" applyAlignment="1" applyProtection="1">
      <alignment horizontal="center"/>
      <protection locked="0"/>
    </xf>
    <xf numFmtId="0" fontId="2" fillId="11" borderId="48" xfId="0" applyFont="1" applyFill="1" applyBorder="1" applyAlignment="1" applyProtection="1">
      <alignment horizontal="center"/>
      <protection locked="0"/>
    </xf>
    <xf numFmtId="0" fontId="2" fillId="11" borderId="16" xfId="0" applyFont="1" applyFill="1" applyBorder="1" applyAlignment="1" applyProtection="1">
      <alignment horizontal="center"/>
      <protection locked="0"/>
    </xf>
    <xf numFmtId="0" fontId="2" fillId="11" borderId="50" xfId="0" applyFont="1" applyFill="1" applyBorder="1" applyAlignment="1" applyProtection="1">
      <alignment horizontal="center"/>
      <protection locked="0"/>
    </xf>
    <xf numFmtId="0" fontId="2" fillId="7" borderId="48" xfId="0" applyFont="1" applyFill="1" applyBorder="1" applyAlignment="1" applyProtection="1">
      <alignment horizontal="center"/>
      <protection locked="0"/>
    </xf>
    <xf numFmtId="0" fontId="2" fillId="7" borderId="16" xfId="0" applyFont="1" applyFill="1" applyBorder="1" applyAlignment="1" applyProtection="1">
      <alignment horizontal="center"/>
      <protection locked="0"/>
    </xf>
    <xf numFmtId="0" fontId="2" fillId="7" borderId="50" xfId="0" applyFont="1" applyFill="1" applyBorder="1" applyAlignment="1" applyProtection="1">
      <alignment horizontal="center"/>
      <protection locked="0"/>
    </xf>
    <xf numFmtId="0" fontId="2" fillId="3" borderId="40"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42" xfId="0" applyFont="1" applyFill="1" applyBorder="1" applyAlignment="1">
      <alignment horizontal="center" vertical="center"/>
    </xf>
    <xf numFmtId="0" fontId="3" fillId="0" borderId="0" xfId="0" applyFont="1" applyAlignment="1">
      <alignment horizontal="center"/>
    </xf>
    <xf numFmtId="0" fontId="0" fillId="0" borderId="1" xfId="0" applyBorder="1" applyAlignment="1">
      <alignment horizontal="center"/>
    </xf>
    <xf numFmtId="0" fontId="3" fillId="0" borderId="48"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0" fontId="3" fillId="0" borderId="50" xfId="0" applyFont="1" applyBorder="1" applyAlignment="1" applyProtection="1">
      <alignment horizontal="center" vertical="center" wrapText="1"/>
      <protection locked="0"/>
    </xf>
    <xf numFmtId="0" fontId="2" fillId="2" borderId="16" xfId="0" applyFont="1" applyFill="1" applyBorder="1" applyAlignment="1" applyProtection="1">
      <alignment horizontal="center" vertical="center"/>
      <protection locked="0"/>
    </xf>
    <xf numFmtId="0" fontId="2" fillId="2" borderId="52" xfId="0" applyFont="1" applyFill="1" applyBorder="1" applyAlignment="1" applyProtection="1">
      <alignment horizontal="center" vertical="center" wrapText="1"/>
      <protection locked="0"/>
    </xf>
    <xf numFmtId="0" fontId="2" fillId="2" borderId="12" xfId="0" applyFont="1" applyFill="1" applyBorder="1" applyAlignment="1" applyProtection="1">
      <alignment horizontal="center" vertical="center" wrapText="1"/>
      <protection locked="0"/>
    </xf>
    <xf numFmtId="0" fontId="2" fillId="2" borderId="53" xfId="0" applyFont="1" applyFill="1" applyBorder="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0" fontId="2" fillId="2" borderId="52" xfId="0" applyFont="1" applyFill="1" applyBorder="1" applyAlignment="1" applyProtection="1">
      <alignment horizontal="center" vertical="center"/>
      <protection locked="0"/>
    </xf>
    <xf numFmtId="0" fontId="2" fillId="2" borderId="12" xfId="0" applyFont="1" applyFill="1" applyBorder="1" applyAlignment="1" applyProtection="1">
      <alignment horizontal="center" vertical="center"/>
      <protection locked="0"/>
    </xf>
    <xf numFmtId="0" fontId="2" fillId="2" borderId="53" xfId="0" applyFont="1" applyFill="1" applyBorder="1" applyAlignment="1" applyProtection="1">
      <alignment horizontal="center" vertical="center"/>
      <protection locked="0"/>
    </xf>
    <xf numFmtId="0" fontId="0" fillId="0" borderId="24" xfId="0" applyBorder="1" applyAlignment="1" applyProtection="1">
      <alignment horizontal="center" vertical="center" wrapText="1"/>
    </xf>
    <xf numFmtId="0" fontId="0" fillId="0" borderId="26" xfId="0" applyBorder="1" applyAlignment="1" applyProtection="1">
      <alignment horizontal="center" vertical="center" wrapText="1"/>
    </xf>
    <xf numFmtId="0" fontId="0" fillId="0" borderId="25" xfId="0" applyBorder="1" applyAlignment="1" applyProtection="1">
      <alignment horizontal="center" vertical="center" wrapText="1"/>
    </xf>
    <xf numFmtId="0" fontId="0" fillId="13" borderId="54" xfId="0" applyFill="1" applyBorder="1" applyAlignment="1" applyProtection="1">
      <alignment horizontal="center" vertical="center" wrapText="1"/>
      <protection locked="0"/>
    </xf>
    <xf numFmtId="0" fontId="0" fillId="13" borderId="54" xfId="0" applyFill="1" applyBorder="1" applyAlignment="1" applyProtection="1">
      <alignment horizontal="center" vertical="center" wrapText="1"/>
    </xf>
    <xf numFmtId="0" fontId="0" fillId="13" borderId="32" xfId="0" applyFill="1" applyBorder="1" applyAlignment="1" applyProtection="1">
      <alignment horizontal="center" vertical="center" wrapText="1"/>
    </xf>
    <xf numFmtId="0" fontId="0" fillId="13" borderId="19" xfId="0" applyFill="1" applyBorder="1" applyAlignment="1" applyProtection="1">
      <alignment horizontal="center" vertical="center" wrapText="1"/>
    </xf>
    <xf numFmtId="0" fontId="0" fillId="13" borderId="48" xfId="0" applyFill="1" applyBorder="1" applyAlignment="1" applyProtection="1">
      <alignment horizontal="center" vertical="center" wrapText="1"/>
    </xf>
    <xf numFmtId="0" fontId="0" fillId="13" borderId="31" xfId="0" applyFill="1" applyBorder="1" applyAlignment="1" applyProtection="1">
      <alignment horizontal="center" vertical="center" wrapText="1"/>
    </xf>
    <xf numFmtId="0" fontId="0" fillId="13" borderId="18" xfId="0" applyFill="1" applyBorder="1" applyAlignment="1" applyProtection="1">
      <alignment horizontal="center" vertical="center" wrapText="1"/>
    </xf>
    <xf numFmtId="0" fontId="0" fillId="13" borderId="20" xfId="0" applyFill="1" applyBorder="1" applyAlignment="1" applyProtection="1">
      <alignment horizontal="center" vertical="center" wrapText="1"/>
    </xf>
    <xf numFmtId="0" fontId="0" fillId="13" borderId="32" xfId="0" applyFill="1" applyBorder="1" applyAlignment="1" applyProtection="1">
      <alignment horizontal="center" vertical="center" wrapText="1"/>
      <protection locked="0"/>
    </xf>
    <xf numFmtId="0" fontId="0" fillId="13" borderId="19" xfId="0" applyFill="1" applyBorder="1" applyAlignment="1" applyProtection="1">
      <alignment horizontal="center" vertical="center" wrapText="1"/>
      <protection locked="0"/>
    </xf>
    <xf numFmtId="0" fontId="0" fillId="13" borderId="20" xfId="0" applyFill="1" applyBorder="1" applyAlignment="1" applyProtection="1">
      <alignment horizontal="center" vertical="center" wrapText="1"/>
      <protection locked="0"/>
    </xf>
  </cellXfs>
  <cellStyles count="3">
    <cellStyle name="Hyperlink" xfId="2" builtinId="8"/>
    <cellStyle name="Normal" xfId="0" builtinId="0"/>
    <cellStyle name="Percent" xfId="1" builtinId="5"/>
  </cellStyles>
  <dxfs count="500">
    <dxf>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0" formatCode="Genera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fill>
        <patternFill>
          <bgColor rgb="FF92D050"/>
        </patternFill>
      </fill>
    </dxf>
    <dxf>
      <fill>
        <patternFill>
          <bgColor theme="5" tint="0.39994506668294322"/>
        </patternFill>
      </fill>
    </dxf>
    <dxf>
      <fill>
        <patternFill>
          <bgColor rgb="FFFF7979"/>
        </patternFill>
      </fill>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protection locked="1" hidden="0"/>
    </dxf>
    <dxf>
      <alignment horizontal="center" vertical="center" textRotation="0" wrapText="1" indent="0" justifyLastLine="0" shrinkToFit="0" readingOrder="0"/>
      <border diagonalUp="0" diagonalDown="0">
        <left/>
        <right style="medium">
          <color indexed="64"/>
        </right>
        <top style="thin">
          <color indexed="64"/>
        </top>
        <bottom style="thin">
          <color indexed="64"/>
        </bottom>
        <vertical/>
        <horizontal style="thin">
          <color indexed="64"/>
        </horizontal>
      </border>
      <protection locked="0" hidden="0"/>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protection locked="0" hidden="0"/>
    </dxf>
    <dxf>
      <border>
        <bottom style="medium">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auto="1"/>
        </left>
        <right/>
        <top style="thin">
          <color indexed="64"/>
        </top>
        <bottom style="thin">
          <color indexed="64"/>
        </bottom>
        <vertical style="thin">
          <color auto="1"/>
        </vertical>
      </border>
    </dxf>
    <dxf>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border>
    </dxf>
    <dxf>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border>
    </dxf>
    <dxf>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dxf>
    <dxf>
      <border>
        <bottom style="medium">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protection locked="0"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auto="1"/>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1"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rgb="FF000000"/>
        </top>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1" indent="0" justifyLastLine="0" shrinkToFit="0" readingOrder="0"/>
      <protection locked="0" hidden="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auto="1"/>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left style="medium">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1" indent="0" justifyLastLine="0" shrinkToFit="0" readingOrder="0"/>
      <border diagonalUp="0" diagonalDown="0" outline="0">
        <left/>
        <right style="medium">
          <color indexed="64"/>
        </right>
        <top style="thin">
          <color indexed="64"/>
        </top>
        <bottom style="thin">
          <color indexed="64"/>
        </bottom>
      </border>
      <protection locked="0" hidden="0"/>
    </dxf>
    <dxf>
      <numFmt numFmtId="165"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protection locked="1" hidden="0"/>
    </dxf>
    <dxf>
      <numFmt numFmtId="165" formatCode="0.0%"/>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4" formatCode="0.0"/>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protection locked="1" hidden="0"/>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numFmt numFmtId="0" formatCode="Genera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protection locked="0" hidden="0"/>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protection locked="0" hidden="0"/>
    </dxf>
    <dxf>
      <border>
        <bottom style="medium">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protection locked="0" hidden="0"/>
    </dxf>
    <dxf>
      <numFmt numFmtId="0" formatCode="General"/>
      <alignment horizontal="center" vertical="center" textRotation="0" wrapText="0" indent="0" justifyLastLine="0" shrinkToFit="0" readingOrder="0"/>
      <border diagonalUp="0" diagonalDown="0">
        <left style="thin">
          <color auto="1"/>
        </left>
        <right style="medium">
          <color indexed="64"/>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numFmt numFmtId="0" formatCode="General"/>
      <alignment horizontal="center" vertical="center" textRotation="0" wrapText="0" indent="0" justifyLastLine="0" shrinkToFit="0" readingOrder="0"/>
      <border diagonalUp="0" diagonalDown="0" outline="0">
        <left style="medium">
          <color indexed="64"/>
        </left>
        <right style="thin">
          <color auto="1"/>
        </right>
        <top style="thin">
          <color auto="1"/>
        </top>
        <bottom style="thin">
          <color auto="1"/>
        </bottom>
      </border>
      <protection locked="1" hidden="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protection locked="0" hidden="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protection locked="0" hidden="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font>
        <b val="0"/>
      </font>
      <alignment horizontal="center" vertical="center" textRotation="0" wrapText="0" indent="0" justifyLastLine="0" shrinkToFit="0" readingOrder="0"/>
      <border diagonalUp="0" diagonalDown="0" outline="0">
        <left/>
        <right style="medium">
          <color indexed="64"/>
        </right>
        <top style="thin">
          <color indexed="64"/>
        </top>
        <bottom style="thin">
          <color indexed="64"/>
        </bottom>
      </border>
      <protection locked="0" hidden="0"/>
    </dxf>
    <dxf>
      <font>
        <b val="0"/>
      </font>
      <alignment horizontal="center" vertical="center" textRotation="0" wrapText="0" indent="0" justifyLastLine="0" shrinkToFit="0" readingOrder="0"/>
      <border diagonalUp="0" diagonalDown="0" outline="0">
        <left style="medium">
          <color indexed="64"/>
        </left>
        <right/>
        <top style="thin">
          <color indexed="64"/>
        </top>
        <bottom style="thin">
          <color indexed="64"/>
        </bottom>
      </border>
      <protection locked="0" hidden="0"/>
    </dxf>
    <dxf>
      <alignment horizontal="center" vertical="center" textRotation="0" wrapText="0" indent="0" justifyLastLine="0" shrinkToFit="0" readingOrder="0"/>
      <protection locked="0" hidden="0"/>
    </dxf>
    <dxf>
      <border>
        <bottom style="medium">
          <color indexed="64"/>
        </bottom>
      </border>
    </dxf>
    <dxf>
      <alignment horizontal="center" vertical="center" textRotation="0" wrapText="0" indent="0" justifyLastLine="0" shrinkToFit="0" readingOrder="0"/>
      <protection locked="0" hidden="0"/>
    </dxf>
  </dxfs>
  <tableStyles count="0" defaultTableStyle="TableStyleMedium2" defaultPivotStyle="PivotStyleLight16"/>
  <colors>
    <mruColors>
      <color rgb="FFFF7979"/>
      <color rgb="FFFF66CC"/>
      <color rgb="FFFF66FF"/>
      <color rgb="FFDEC8EE"/>
      <color rgb="FFFF696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3D2829-950F-483F-A940-AA60171C363A}" name="Overview" displayName="Overview" ref="B3:U38" totalsRowShown="0" headerRowDxfId="499" dataDxfId="497" headerRowBorderDxfId="498">
  <autoFilter ref="B3:U38" xr:uid="{103D2829-950F-483F-A940-AA60171C363A}"/>
  <tableColumns count="20">
    <tableColumn id="1" xr3:uid="{0DC44097-F1E9-493E-8388-7FB9238F6736}" name="Name" dataDxfId="496"/>
    <tableColumn id="2" xr3:uid="{F4A92785-FF54-4B62-A7AF-075EF4495E12}" name="Height (cm)" dataDxfId="495"/>
    <tableColumn id="3" xr3:uid="{6A5152E6-E090-403C-A6A6-4EF4895DF653}" name="July _x000a_Weight (kg)" dataDxfId="494"/>
    <tableColumn id="9" xr3:uid="{214D1BB6-39FB-420D-9586-2F8D58E47E90}" name="August _x000a_Weight (kg)" dataDxfId="493"/>
    <tableColumn id="8" xr3:uid="{BBF59F4D-1DC1-4E7F-96CE-5CD7CFEE7A0A}" name="September Weight (kg)" dataDxfId="492"/>
    <tableColumn id="7" xr3:uid="{EEC90371-49F0-4137-8FB1-D25AA4FFC7A7}" name="October _x000a_Weight (kg)" dataDxfId="491"/>
    <tableColumn id="6" xr3:uid="{FACB0053-AD68-4CD5-A775-288B65FAA1D2}" name="November Weight (kg)" dataDxfId="490"/>
    <tableColumn id="4" xr3:uid="{391008CD-A2C0-437F-B9A2-F52C20A1068D}" name="December Weight (kg)" dataDxfId="489"/>
    <tableColumn id="5" xr3:uid="{E03C183D-1E18-42BF-855B-28F5CBEAA515}" name="January _x000a_Weight (kg)" dataDxfId="488">
      <calculatedColumnFormula>IF(Overview[[#This Row],[Name]]="","",_xlfn.XLOOKUP(Overview[[#This Row],[Name]],Jan!B:B,Jan!C:C,""))</calculatedColumnFormula>
    </tableColumn>
    <tableColumn id="10" xr3:uid="{5C8EEFB5-E470-4D65-9E5D-2AAA739B9949}" name="February Weight (kg)" dataDxfId="487">
      <calculatedColumnFormula>IF(Overview[[#This Row],[Name]]="","",_xlfn.XLOOKUP(Overview[[#This Row],[Name]],Feb!B:B,Feb!C:C,""))</calculatedColumnFormula>
    </tableColumn>
    <tableColumn id="11" xr3:uid="{07C5DCC0-9D75-4966-BCC1-890064C22B21}" name="March _x000a_Weight (kg)" dataDxfId="486">
      <calculatedColumnFormula>IF(Overview[[#This Row],[Name]]="","",_xlfn.XLOOKUP(Overview[[#This Row],[Name]],Mar!B:B,Mar!C:C,""))</calculatedColumnFormula>
    </tableColumn>
    <tableColumn id="12" xr3:uid="{D2C8453D-280E-4F69-9049-B8CA833C1E5F}" name="April _x000a_Weight (kg)" dataDxfId="485">
      <calculatedColumnFormula>IF(Overview[[#This Row],[Name]]="","",_xlfn.XLOOKUP(Overview[[#This Row],[Name]],Apr!B:B,Apr!C:C,""))</calculatedColumnFormula>
    </tableColumn>
    <tableColumn id="13" xr3:uid="{1517E195-CD2F-4963-AD19-9603377BFEFD}" name="May _x000a_Weight (kg)" dataDxfId="484">
      <calculatedColumnFormula>IF(Overview[[#This Row],[Name]]="","",_xlfn.XLOOKUP(Overview[[#This Row],[Name]],May!B:B,May!C:C,""))</calculatedColumnFormula>
    </tableColumn>
    <tableColumn id="14" xr3:uid="{993E51D7-E311-44E9-A2D4-11F9637D4E25}" name="June _x000a_Weight (kg)" dataDxfId="483">
      <calculatedColumnFormula>IF(Overview[[#This Row],[Name]]="","",_xlfn.XLOOKUP(Overview[[#This Row],[Name]],Jun!B:B,Jun!C:C,""))</calculatedColumnFormula>
    </tableColumn>
    <tableColumn id="15" xr3:uid="{CFDE2668-DF98-4134-A8F1-2790087400C2}" name="July _x000a_Weight (kg) " dataDxfId="482">
      <calculatedColumnFormula>IF(Overview[[#This Row],[Name]]="","",_xlfn.XLOOKUP(Overview[[#This Row],[Name]],Jul!B:B,Jul!C:C,""))</calculatedColumnFormula>
    </tableColumn>
    <tableColumn id="16" xr3:uid="{018C7DEA-D868-47ED-AC36-FD7164428E7E}" name="August _x000a_Weight (kg) " dataDxfId="481">
      <calculatedColumnFormula>IF(Overview[[#This Row],[Name]]="","",_xlfn.XLOOKUP(Overview[[#This Row],[Name]],Aug!B:B,Aug!C:C,""))</calculatedColumnFormula>
    </tableColumn>
    <tableColumn id="17" xr3:uid="{A5AD117C-C3E9-4700-8512-BB2664DE307F}" name="September Weight (kg) " dataDxfId="480">
      <calculatedColumnFormula>IF(Overview[[#This Row],[Name]]="","",_xlfn.XLOOKUP(Overview[[#This Row],[Name]],Sep!B:B,Sep!C:C,""))</calculatedColumnFormula>
    </tableColumn>
    <tableColumn id="18" xr3:uid="{5224E56C-23B8-459D-B9BC-C7DF1E90F92A}" name="October _x000a_Weight (kg) " dataDxfId="479">
      <calculatedColumnFormula>IF(Overview[[#This Row],[Name]]="","",_xlfn.XLOOKUP(Overview[[#This Row],[Name]],Oct!B:B,Oct!C:C,""))</calculatedColumnFormula>
    </tableColumn>
    <tableColumn id="19" xr3:uid="{2E29BB1F-CAF9-419A-9368-A5AC53F72ED7}" name="November Weight (kg) " dataDxfId="478">
      <calculatedColumnFormula>IF(Overview[[#This Row],[Name]]="","",_xlfn.XLOOKUP(Overview[[#This Row],[Name]],Nov!B:B,Nov!C:C,""))</calculatedColumnFormula>
    </tableColumn>
    <tableColumn id="20" xr3:uid="{AF6B015E-884C-4480-91E9-B474FC853184}" name="December Weight (kg) " dataDxfId="477">
      <calculatedColumnFormula>IF(Overview[[#This Row],[Name]]="","",_xlfn.XLOOKUP(Overview[[#This Row],[Name]],Dec!B:B,Dec!C:C,""))</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EA0907-8530-4155-AAD9-A3C736526587}" name="Jan" displayName="Jan" ref="B7:Y44" totalsRowShown="0" headerRowDxfId="476" dataDxfId="474" headerRowBorderDxfId="475" tableBorderDxfId="473" totalsRowBorderDxfId="472">
  <autoFilter ref="B7:Y44" xr:uid="{4DEA0907-8530-4155-AAD9-A3C736526587}"/>
  <tableColumns count="24">
    <tableColumn id="1" xr3:uid="{D387D9C1-CB12-495C-BBEC-5B5B7E0B5610}" name="Name" dataDxfId="471"/>
    <tableColumn id="3" xr3:uid="{25F17D09-7493-4232-B8FD-E904FDE87D92}" name="January Weight (kg)" dataDxfId="470"/>
    <tableColumn id="15" xr3:uid="{0022876F-1DB5-4E2B-938A-D0A3FE1F968A}" name="Date January Weight Taken" dataDxfId="469"/>
    <tableColumn id="4" xr3:uid="{1C5C2167-4D68-4C01-977E-A49531605AA2}" name="January BMI (kg/m2)" dataDxfId="468">
      <calculatedColumnFormula>IF(Jan[[#This Row],[Name]]="","",Jan[[#This Row],[January Weight (kg)]]/(VLOOKUP(Jan[[#This Row],[Name]],Overview[],2,FALSE)/100)^2)</calculatedColumnFormula>
    </tableColumn>
    <tableColumn id="6" xr3:uid="{9C3C4884-B02A-4354-9525-2B48D3CA7C9B}" name="Weight (kg) Difference Between Dec &amp; Jan" dataDxfId="467">
      <calculatedColumnFormula>IF(Jan[[#This Row],[Name]]="","",IF(VLOOKUP(Jan[[#This Row],[Name]],Overview[],8,FALSE)="","N/A",Jan[[#This Row],[January Weight (kg)]]-VLOOKUP(Jan[[#This Row],[Name]],Overview[],8,FALSE)))</calculatedColumnFormula>
    </tableColumn>
    <tableColumn id="12" xr3:uid="{37995B7D-E503-42D9-B9A1-FEC4D44469A9}" name="Weight (kg) Difference Between Dec &amp; Jan as %" dataDxfId="466" dataCellStyle="Percent">
      <calculatedColumnFormula>IF(Jan[[#This Row],[Name]]="","",IF(VLOOKUP(Jan[[#This Row],[Name]],Overview[],8,FALSE)="","N/A",(Jan[[#This Row],[January Weight (kg)]]-VLOOKUP(Jan[[#This Row],[Name]],Overview[],8,FALSE))/VLOOKUP(Jan[[#This Row],[Name]],Overview[],8,FALSE)))</calculatedColumnFormula>
    </tableColumn>
    <tableColumn id="2" xr3:uid="{4BC93138-D802-48FD-9557-24CFA3E83BA4}" name="Highest Weight in the Past 3 - 6 Months" dataDxfId="465" dataCellStyle="Percent">
      <calculatedColumnFormula array="1">IF(Jan[[#This Row],[Name]]="","",IF(SUMPRODUCT((Overview[Name]=Jan[[#This Row],[Name]])*ISNUMBER(Overview[[July 
Weight (kg)]:[October 
Weight (kg)]]))=0,"N/A",MAX(IF((Overview[Name]=Jan[[#This Row],[Name]])*ISNUMBER(Overview[[July 
Weight (kg)]:[October 
Weight (kg)]]),Overview[[July 
Weight (kg)]:[October 
Weight (kg)]]))))</calculatedColumnFormula>
    </tableColumn>
    <tableColumn id="7" xr3:uid="{F9BBCB5A-B671-4E8F-9B7B-0E2554CE2C0C}" name="Weight (kg) Difference from Highest Weight in Past 3 - 6 Months (Current Month - Highest Month)" dataDxfId="464">
      <calculatedColumnFormula>IF(Jan[[#This Row],[Name]]="","",IF(NOT(ISNUMBER(Jan[[#This Row],[Highest Weight in the Past 3 - 6 Months]])),"N/A",IF(Jan[[#This Row],[January Weight (kg)]]=Jan[[#This Row],[Highest Weight in the Past 3 - 6 Months]],0,Jan[[#This Row],[January Weight (kg)]]-Jan[[#This Row],[Highest Weight in the Past 3 - 6 Months]])))</calculatedColumnFormula>
    </tableColumn>
    <tableColumn id="8" xr3:uid="{9B1EFC43-5638-49E0-8AB8-C29BCAFB9D20}" name="Weight (kg) Difference from Highest Weight in 3 - 6 months as %" dataDxfId="463" dataCellStyle="Percent">
      <calculatedColumnFormula>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calculatedColumnFormula>
    </tableColumn>
    <tableColumn id="22" xr3:uid="{6173486F-95E0-47CE-82CB-C87DBE3262C4}" name="Is the adults weight stable?_x000a_(Yes/No)" dataDxfId="462" dataCellStyle="Percent"/>
    <tableColumn id="16" xr3:uid="{81493302-96E8-4619-8002-D568603E4F16}" name="If Weight has been lost, is this Planned? (Yes/No)" dataDxfId="461" dataCellStyle="Percent"/>
    <tableColumn id="13" xr3:uid="{FE0E44E0-8074-4325-94BF-51C9A1C1EBAD}" name="January MUST Score " dataDxfId="460" dataCellStyle="Percent">
      <calculatedColumnFormula>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calculatedColumnFormula>
    </tableColumn>
    <tableColumn id="18" xr3:uid="{41F408AB-30BC-4CB8-AA18-AFFAE6B65201}" name="January MUST Risk" dataDxfId="459" dataCellStyle="Percent">
      <calculatedColumnFormula>IF(Jan[[#This Row],[Name]]="","",IF(Jan[[#This Row],[January MUST Score ]]=0,"Low",IF(Jan[[#This Row],[January MUST Score ]]=1,"Medium","High")))</calculatedColumnFormula>
    </tableColumn>
    <tableColumn id="19" xr3:uid="{438DB40D-E4DB-48B1-A694-4DA1C917C71E}" name="Is this BMI/Weight/MUST typical for the adult? (Yes/No) " dataDxfId="458"/>
    <tableColumn id="17" xr3:uid="{B3242F39-5BBD-42E4-8C0F-42F0DDCBC2DD}" name="If Yes, what would indicate a concern/is atypical for this adult?" dataDxfId="457"/>
    <tableColumn id="23" xr3:uid="{EAF32697-F396-4DCF-90FE-5BBEF038E80F}" name="Is there any explanation for BMI/Weight/MUST changes? _x000a_(Yes/No) " dataDxfId="456"/>
    <tableColumn id="24" xr3:uid="{46912D50-172C-4E61-BB36-F10B26050D8A}" name="If Yes, please detail" dataDxfId="455"/>
    <tableColumn id="21" xr3:uid="{C0EC1344-BD08-4BD4-815A-74715310B571}" name="Is the adult on a special/fortified diet? (e.g. cultural, dietary restrictions, fortified etc) (Yes/No)" dataDxfId="454"/>
    <tableColumn id="9" xr3:uid="{6895F090-BF1F-4AA8-933A-C6924070A7ED}" name="If Yes, give details" dataDxfId="453"/>
    <tableColumn id="5" xr3:uid="{47985C48-C996-4378-9BFF-5456D89A95C0}" name="If the adult has been assessed for texture-modified Food, please record the level below" dataDxfId="452"/>
    <tableColumn id="20" xr3:uid="{7683BDA8-2F52-46F3-B613-2DE63DF0B7E6}" name="If the adult has been assessed for texture-modified Fluid, please record the level below" dataDxfId="451"/>
    <tableColumn id="10" xr3:uid="{0662EA01-F1E2-44A2-81C5-4BE771A8C202}" name="Is Action Required? (Yes/No)_x000a_(If Y, please complete Action Plan tab)" dataDxfId="450"/>
    <tableColumn id="14" xr3:uid="{632C5B22-C3AB-4C1E-8F50-1AB514C2542F}" name="Date Care Plan &amp; Any Relevent Risk Assessments Last Updated" dataDxfId="449"/>
    <tableColumn id="11" xr3:uid="{104D0FDE-F8FC-4CD4-B359-367A4C9D118A}" name="Comments" dataDxfId="448"/>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9D51EF-1E27-417A-AC68-209A21DA8E70}" name="Feb" displayName="Feb" ref="B7:Y42" totalsRowShown="0" headerRowDxfId="447" dataDxfId="445" headerRowBorderDxfId="446" tableBorderDxfId="444" totalsRowBorderDxfId="443">
  <autoFilter ref="B7:Y42" xr:uid="{4DEA0907-8530-4155-AAD9-A3C736526587}"/>
  <tableColumns count="24">
    <tableColumn id="1" xr3:uid="{6EC9ADF9-7F65-42A9-B771-CD170733BC38}" name="Name" dataDxfId="442"/>
    <tableColumn id="3" xr3:uid="{BA34936C-C50A-45E4-AB70-515C2AB1EAF8}" name="February Weight (kg)" dataDxfId="441"/>
    <tableColumn id="15" xr3:uid="{5A15EC98-DEB9-4AF0-A204-628C3DC0EEC9}" name="Date February Weight Taken" dataDxfId="440"/>
    <tableColumn id="4" xr3:uid="{AA508DF6-25EE-4A4A-BE68-8BBB7B0ED73F}" name="February BMI (kg/m2)" dataDxfId="439">
      <calculatedColumnFormula>IF(Feb[[#This Row],[Name]]="","",Feb[[#This Row],[February Weight (kg)]]/(VLOOKUP(Feb[[#This Row],[Name]],Overview[],2,FALSE)/100)^2)</calculatedColumnFormula>
    </tableColumn>
    <tableColumn id="6" xr3:uid="{7741C76A-1AE8-4A94-85E0-0BB9FFE5C596}" name="Weight (kg) Difference Between Jan &amp; Feb" dataDxfId="438">
      <calculatedColumnFormula>IF(Feb[[#This Row],[Name]]="","",IF(VLOOKUP(Feb[[#This Row],[Name]],Overview[],9,FALSE)="","N/A",Feb[[#This Row],[February Weight (kg)]]-VLOOKUP(Feb[[#This Row],[Name]],Overview[],9,FALSE)))</calculatedColumnFormula>
    </tableColumn>
    <tableColumn id="12" xr3:uid="{1FADAB17-BE0D-456B-9363-A8751DD9BA41}" name="Weight (kg) Difference Between Jan &amp; Feb as %" dataDxfId="437" dataCellStyle="Percent">
      <calculatedColumnFormula>IF(Feb[[#This Row],[Name]]="","",IF(VLOOKUP(Feb[[#This Row],[Name]],Overview[],9,FALSE)="","N/A",(Feb[[#This Row],[February Weight (kg)]]-VLOOKUP(Feb[[#This Row],[Name]],Overview[],9,FALSE))/VLOOKUP(Feb[[#This Row],[Name]],Overview[],9,FALSE)))</calculatedColumnFormula>
    </tableColumn>
    <tableColumn id="2" xr3:uid="{2D48F0E4-CCC5-495D-BB31-297AF6A2459B}" name="Highest Weight in the Past 3 - 6 Months" dataDxfId="436" dataCellStyle="Percent">
      <calculatedColumnFormula array="1">IF(Feb[[#This Row],[Name]]="","",IF(SUMPRODUCT((Overview[Name]=Feb[[#This Row],[Name]])*ISNUMBER(Overview[[August 
Weight (kg)]:[November Weight (kg)]]))=0,"N/A",MAX(IF((Overview[Name]=Feb[[#This Row],[Name]])*ISNUMBER(Overview[[August 
Weight (kg)]:[November Weight (kg)]]),Overview[[August 
Weight (kg)]:[November Weight (kg)]]))))</calculatedColumnFormula>
    </tableColumn>
    <tableColumn id="7" xr3:uid="{82F54051-F033-4E9F-B22F-F0FC50CC5427}" name="Weight (kg) Difference from Highest Weight in Past 3 - 6 Months (Current Month - Highest Month)" dataDxfId="435">
      <calculatedColumnFormula>IF(Feb[[#This Row],[Name]]="","",IF(NOT(ISNUMBER(Feb[[#This Row],[Highest Weight in the Past 3 - 6 Months]])),"N/A",IF(Feb[[#This Row],[February Weight (kg)]]=Feb[[#This Row],[Highest Weight in the Past 3 - 6 Months]],0,Feb[[#This Row],[February Weight (kg)]]-Feb[[#This Row],[Highest Weight in the Past 3 - 6 Months]])))</calculatedColumnFormula>
    </tableColumn>
    <tableColumn id="8" xr3:uid="{4C26ECD8-CD02-4ABC-9128-8525221D14AE}" name="Weight (kg) Difference from Highest Weight in 3 - 6 months as %" dataDxfId="434" dataCellStyle="Percent">
      <calculatedColumnFormula>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calculatedColumnFormula>
    </tableColumn>
    <tableColumn id="22" xr3:uid="{AD4BED73-B7DB-4F5C-9132-96631BB41CB1}" name="Is the adults weight stable?_x000a_(Yes/No)" dataDxfId="433" dataCellStyle="Percent"/>
    <tableColumn id="16" xr3:uid="{5FCED542-51BF-4C9D-B5FE-8643654DB651}" name="If Weight has been lost, is this Planned? (Yes/No)" dataDxfId="432" dataCellStyle="Percent"/>
    <tableColumn id="13" xr3:uid="{1A7112FE-A9C6-4CCF-A374-EDF24B03D626}" name="February MUST Score " dataDxfId="431" dataCellStyle="Percent">
      <calculatedColumnFormula>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calculatedColumnFormula>
    </tableColumn>
    <tableColumn id="18" xr3:uid="{A56A2D37-140B-4531-9091-4F58649B3498}" name="February MUST Risk" dataDxfId="430" dataCellStyle="Percent">
      <calculatedColumnFormula>IF(Feb[[#This Row],[Name]]="","",IF(Feb[[#This Row],[February MUST Score ]]=0,"Low",IF(Feb[[#This Row],[February MUST Score ]]=1,"Medium","High")))</calculatedColumnFormula>
    </tableColumn>
    <tableColumn id="19" xr3:uid="{E0F5E168-814F-4EC9-A7CB-E68903CA6C15}" name="Is this BMI/Weight/MUST typical for the adult? (Yes/No) " dataDxfId="429"/>
    <tableColumn id="17" xr3:uid="{A19CDDE2-7B5D-4455-8A0C-2739E5AEA588}" name="If Yes, what would indicate a concern/is atypical for this adult?" dataDxfId="428"/>
    <tableColumn id="23" xr3:uid="{52ED17B4-7639-4ADE-B5B6-0ACD85D2DF23}" name="Is there any explanation for BMI/Weight/MUST changes? _x000a_(Yes/No) " dataDxfId="427"/>
    <tableColumn id="24" xr3:uid="{1C02E9B3-A291-4864-B1DE-2B3BEB8A1278}" name="If Yes, please detail" dataDxfId="426"/>
    <tableColumn id="21" xr3:uid="{0CFCDE8F-3D64-4BFA-83F8-9D2C3C9DB065}" name="Is the adult on a special/fortified diet? _x000a_(e.g. cultural, dietary restrictions, fortified etc)_x000a_(Yes/No)" dataDxfId="425"/>
    <tableColumn id="9" xr3:uid="{E2287F7E-F315-4C2C-8E49-DF5C88A544BF}" name="If Yes, give details" dataDxfId="424"/>
    <tableColumn id="5" xr3:uid="{FE7F7126-428B-486D-A61F-C1F22E7AFE4F}" name="If the adult has been assessed for texture-modified Food, please record the level below" dataDxfId="423"/>
    <tableColumn id="20" xr3:uid="{1C7975FB-D9FA-40A3-8387-4CC26F8F4E19}" name="If the adult has been assessed for texture-modified Fluid, please record the level below" dataDxfId="422"/>
    <tableColumn id="10" xr3:uid="{A1D2C39A-3EBC-4020-9F26-2889FC6E93C0}" name="Is Action Required? (Yes/No)_x000a_(If Y, please complete Action Plan tab)" dataDxfId="421"/>
    <tableColumn id="14" xr3:uid="{9F516F5F-A33B-4B9F-8BE8-E779B08B9377}" name="Date Care Plan &amp; Any Relevent Risk Assessments Last Updated" dataDxfId="420"/>
    <tableColumn id="11" xr3:uid="{FFD626F6-9BCD-436A-9FDE-00F1CC051097}" name="Comments" dataDxfId="419"/>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FDECC1-C3BB-469B-8D1A-374E4FC0B3A7}" name="Mar" displayName="Mar" ref="B7:Y42" totalsRowShown="0" headerRowDxfId="418" dataDxfId="416" headerRowBorderDxfId="417" tableBorderDxfId="415" totalsRowBorderDxfId="414">
  <autoFilter ref="B7:Y42" xr:uid="{4DEA0907-8530-4155-AAD9-A3C736526587}"/>
  <tableColumns count="24">
    <tableColumn id="1" xr3:uid="{26FCE62B-0578-484B-9F63-B64C78EC3E62}" name="Name" dataDxfId="413"/>
    <tableColumn id="3" xr3:uid="{A7090C2C-A42A-40CD-9FAD-807D9DF31102}" name="March Weight (kg)" dataDxfId="412"/>
    <tableColumn id="15" xr3:uid="{E98AF96F-CEC9-4F04-A355-799D2A5990AC}" name="Date March Weight Taken" dataDxfId="411"/>
    <tableColumn id="4" xr3:uid="{2A4C40FE-96E7-4612-B688-BF6355326429}" name="March BMI (kg/m2)" dataDxfId="410">
      <calculatedColumnFormula>IF(Mar[[#This Row],[Name]]="","",Mar[[#This Row],[March Weight (kg)]]/(VLOOKUP(Mar[[#This Row],[Name]],Overview[],2,FALSE)/100)^2)</calculatedColumnFormula>
    </tableColumn>
    <tableColumn id="6" xr3:uid="{6AD1D78F-1A5B-4B03-B7AC-6DCAA02E00CB}" name="Weight (kg) Difference Between Feb &amp; Mar" dataDxfId="409">
      <calculatedColumnFormula>IF(Mar[[#This Row],[Name]]="","",IF(VLOOKUP(Mar[[#This Row],[Name]],Overview[],10,FALSE)="","N/A",Mar[[#This Row],[March Weight (kg)]]-VLOOKUP(Mar[[#This Row],[Name]],Overview[],10,FALSE)))</calculatedColumnFormula>
    </tableColumn>
    <tableColumn id="12" xr3:uid="{E6D08929-9290-478D-9353-391627CF5C75}" name="Weight (kg) Difference Between Feb &amp; Mar as %" dataDxfId="408" dataCellStyle="Percent">
      <calculatedColumnFormula>IF(Mar[[#This Row],[Name]]="","",IF(VLOOKUP(Mar[[#This Row],[Name]],Overview[],10,FALSE)="","N/A",(Mar[[#This Row],[March Weight (kg)]]-VLOOKUP(Mar[[#This Row],[Name]],Overview[],10,FALSE))/VLOOKUP(Mar[[#This Row],[Name]],Overview[],10,FALSE)))</calculatedColumnFormula>
    </tableColumn>
    <tableColumn id="2" xr3:uid="{D670E204-88F0-4896-8CC8-C2DE5D618553}" name="Highest Weight in the Past 3 - 6 Months" dataDxfId="407" dataCellStyle="Percent">
      <calculatedColumnFormula array="1">IF(Mar[[#This Row],[Name]]="","",IF(SUMPRODUCT((Overview[Name]=Mar[[#This Row],[Name]])*ISNUMBER(Overview[[September Weight (kg)]:[December Weight (kg)]]))=0,"N/A",MAX(IF((Overview[Name]=Mar[[#This Row],[Name]])*ISNUMBER(Overview[[September Weight (kg)]:[December Weight (kg)]]),Overview[[September Weight (kg)]:[December Weight (kg)]]))))</calculatedColumnFormula>
    </tableColumn>
    <tableColumn id="7" xr3:uid="{F83756F7-6B12-449D-A11D-F12BAA4C49BE}" name="Weight (kg) Difference from Highest Weight in Past 3 - 6 Months (Current Month - Highest Month)" dataDxfId="406">
      <calculatedColumnFormula>IF(Mar[[#This Row],[Name]]="","",IF(NOT(ISNUMBER(Mar[[#This Row],[Highest Weight in the Past 3 - 6 Months]])),"N/A",IF(Mar[[#This Row],[March Weight (kg)]]=Mar[[#This Row],[Highest Weight in the Past 3 - 6 Months]],0,Mar[[#This Row],[March Weight (kg)]]-Mar[[#This Row],[Highest Weight in the Past 3 - 6 Months]])))</calculatedColumnFormula>
    </tableColumn>
    <tableColumn id="8" xr3:uid="{D4B9E960-A6CC-414A-B8BF-ABC88C61190F}" name="Weight (kg) Difference from Highest Weight in 3 - 6 months as %" dataDxfId="405" dataCellStyle="Percent">
      <calculatedColumnFormula>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calculatedColumnFormula>
    </tableColumn>
    <tableColumn id="22" xr3:uid="{51429992-5300-435B-A481-3CB57AEDA469}" name="Is the adults weight stable?_x000a_(Yes/No)" dataDxfId="404" dataCellStyle="Percent"/>
    <tableColumn id="16" xr3:uid="{A5342EB2-5BF6-494E-9D6F-0127CD027931}" name="If Weight has been lost, is this Planned? (Yes/No)" dataDxfId="403" dataCellStyle="Percent"/>
    <tableColumn id="13" xr3:uid="{2A748247-B09C-47CB-8E8C-029C175E7EBC}" name="March MUST Score " dataDxfId="402" dataCellStyle="Percent">
      <calculatedColumnFormula>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calculatedColumnFormula>
    </tableColumn>
    <tableColumn id="18" xr3:uid="{59E8BFB3-4EF6-45DA-A63A-1C289D72AC6D}" name="March MUST Risk" dataDxfId="401" dataCellStyle="Percent">
      <calculatedColumnFormula>IF(Mar[[#This Row],[Name]]="","",IF(Mar[[#This Row],[March MUST Score ]]=0,"Low",IF(Mar[[#This Row],[March MUST Score ]]=1,"Medium","High")))</calculatedColumnFormula>
    </tableColumn>
    <tableColumn id="19" xr3:uid="{346BCEFA-9EEC-4E71-B06D-91DF4101F65D}" name="Is this BMI/Weight/MUST typical for the adult? (Yes/No) " dataDxfId="400"/>
    <tableColumn id="17" xr3:uid="{1C2614DF-E371-4E3A-9E97-E6C0D35F2609}" name="If Yes, what would indicate a concern/is atypical for this adult?" dataDxfId="399"/>
    <tableColumn id="23" xr3:uid="{2A95AA29-783F-4BCB-815B-6C51FD131E4E}" name="Is there any explanation for BMI/Weight/MUST changes? _x000a_(Yes/No) " dataDxfId="398"/>
    <tableColumn id="24" xr3:uid="{E503250A-DAA4-4367-84C9-45B6691018E8}" name="If Yes, please detail" dataDxfId="397"/>
    <tableColumn id="21" xr3:uid="{E8A5174F-CB99-4E06-9894-A48209969374}" name="Is the adult on a special/fortified diet? _x000a_(e.g. cultural, dietary restrictions, fortified etc)_x000a_(Yes/No)" dataDxfId="396"/>
    <tableColumn id="9" xr3:uid="{DE34A52F-4A94-4EF6-A98A-10A2DC92D6A8}" name="If Yes, give details" dataDxfId="395"/>
    <tableColumn id="5" xr3:uid="{59AD6AD6-07CD-475A-92E7-848E07574EBC}" name="If the adult has been assessed for texture-modified Food, please record the level below" dataDxfId="394"/>
    <tableColumn id="20" xr3:uid="{37B41114-D394-4EF2-960E-A0C73EE4F297}" name="If the adult has been assessed for texture-modified Fluid, please record the level below" dataDxfId="393"/>
    <tableColumn id="10" xr3:uid="{8002BD6E-4416-44C8-931A-09F6401E589F}" name="Is Action Required? (Yes/No)_x000a_(If Y, please complete Action Plan tab)" dataDxfId="392"/>
    <tableColumn id="14" xr3:uid="{F3D31B6B-C3F2-436D-93B7-5C5FC294E497}" name="Date Care Plan &amp; Any Relevent Risk Assessments Last Updated" dataDxfId="391"/>
    <tableColumn id="11" xr3:uid="{9C47C674-7AF8-4925-9065-F8967014CCEC}" name="Comments" dataDxfId="390"/>
  </tableColumns>
  <tableStyleInfo name="TableStyleMedium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412EFB-70F8-4CEF-8C16-808FCFD1255A}" name="Apr" displayName="Apr" ref="B7:Y42" totalsRowShown="0" headerRowDxfId="389" dataDxfId="387" headerRowBorderDxfId="388" tableBorderDxfId="386" totalsRowBorderDxfId="385">
  <autoFilter ref="B7:Y42" xr:uid="{4DEA0907-8530-4155-AAD9-A3C736526587}"/>
  <tableColumns count="24">
    <tableColumn id="1" xr3:uid="{1A68EAA2-7B46-47A4-8657-3220107B6BD3}" name="Name" dataDxfId="384"/>
    <tableColumn id="3" xr3:uid="{D8A6E2A7-45D6-4BE0-A269-96BA53C781BE}" name="April Weight (kg)" dataDxfId="383"/>
    <tableColumn id="15" xr3:uid="{2581FF67-F75B-497D-A177-80186FDCBCE0}" name="Date April Weight Taken" dataDxfId="382"/>
    <tableColumn id="4" xr3:uid="{1A2787A8-F3BE-4291-A8F7-10100F122B47}" name="April BMI (kg/m2)" dataDxfId="381">
      <calculatedColumnFormula>IF(Apr[[#This Row],[Name]]="","",Apr[[#This Row],[April Weight (kg)]]/(VLOOKUP(Apr[[#This Row],[Name]],Overview[],2,FALSE)/100)^2)</calculatedColumnFormula>
    </tableColumn>
    <tableColumn id="6" xr3:uid="{9C467B34-A98F-4025-99C6-2A2F783FCC89}" name="Weight (kg) Difference Between Mar &amp; Apr" dataDxfId="380">
      <calculatedColumnFormula>IF(Apr[[#This Row],[Name]]="","",IF(VLOOKUP(Apr[[#This Row],[Name]],Overview[],11,FALSE)="","N/A",Apr[[#This Row],[April Weight (kg)]]-VLOOKUP(Apr[[#This Row],[Name]],Overview[],11,FALSE)))</calculatedColumnFormula>
    </tableColumn>
    <tableColumn id="12" xr3:uid="{DFE68CD6-CC15-4350-832B-C970B850B5FA}" name="Weight (kg) Difference Between Mar &amp; Apr as %" dataDxfId="379" dataCellStyle="Percent">
      <calculatedColumnFormula>IF(Apr[[#This Row],[Name]]="","",IF(VLOOKUP(Apr[[#This Row],[Name]],Overview[],11,FALSE)="","N/A",(Apr[[#This Row],[April Weight (kg)]]-VLOOKUP(Apr[[#This Row],[Name]],Overview[],11,FALSE))/VLOOKUP(Apr[[#This Row],[Name]],Overview[],11,FALSE)))</calculatedColumnFormula>
    </tableColumn>
    <tableColumn id="2" xr3:uid="{3F0644E1-3873-4909-AFBB-4AF3C8F308D6}" name="Highest Weight in the Past 3 - 6 Months" dataDxfId="378" dataCellStyle="Percent">
      <calculatedColumnFormula array="1">IF(Apr[[#This Row],[Name]]="","",IF(SUMPRODUCT((Overview[Name]=Apr[[#This Row],[Name]])*ISNUMBER(Overview[[October 
Weight (kg)]:[January 
Weight (kg)]]))=0,"N/A",MAX(IF((Overview[Name]=Apr[[#This Row],[Name]])*ISNUMBER(Overview[[October 
Weight (kg)]:[January 
Weight (kg)]]),Overview[[October 
Weight (kg)]:[January 
Weight (kg)]]))))</calculatedColumnFormula>
    </tableColumn>
    <tableColumn id="7" xr3:uid="{7A50150D-1C15-4DF2-B70F-A1FB144D0594}" name="Weight (kg) Difference from Highest Weight in Past 3 - 6 Months (Current Month - Highest Month)" dataDxfId="377">
      <calculatedColumnFormula>IF(Apr[[#This Row],[Name]]="","",IF(NOT(ISNUMBER(Apr[[#This Row],[Highest Weight in the Past 3 - 6 Months]])),"N/A",IF(Apr[[#This Row],[April Weight (kg)]]=Apr[[#This Row],[Highest Weight in the Past 3 - 6 Months]],0,Apr[[#This Row],[April Weight (kg)]]-Apr[[#This Row],[Highest Weight in the Past 3 - 6 Months]])))</calculatedColumnFormula>
    </tableColumn>
    <tableColumn id="8" xr3:uid="{2D078562-B5B9-4699-82A0-1051B86BF05D}" name="Weight (kg) Difference from Highest Weight in 3 - 6 months as %" dataDxfId="376" dataCellStyle="Percent">
      <calculatedColumnFormula>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calculatedColumnFormula>
    </tableColumn>
    <tableColumn id="22" xr3:uid="{9F9355EE-8EE4-4352-BD29-B927010BCF0A}" name="Is the adults weight stable?_x000a_(Yes/No)" dataDxfId="375" dataCellStyle="Percent"/>
    <tableColumn id="16" xr3:uid="{36E09459-2C21-4E89-A9D0-CEDA8EB546C1}" name="If Weight has been lost, is this Planned? (Yes/No)" dataDxfId="374" dataCellStyle="Percent"/>
    <tableColumn id="13" xr3:uid="{9B0563F6-D1FD-4A65-8C7C-34831334BF7F}" name="April MUST Score " dataDxfId="373" dataCellStyle="Percent">
      <calculatedColumnFormula>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calculatedColumnFormula>
    </tableColumn>
    <tableColumn id="18" xr3:uid="{16790154-30C2-40E8-952F-1553F63C664E}" name="April MUST Risk" dataDxfId="372" dataCellStyle="Percent">
      <calculatedColumnFormula>IF(Apr[[#This Row],[Name]]="","",IF(Apr[[#This Row],[April MUST Score ]]=0,"Low",IF(Apr[[#This Row],[April MUST Score ]]=1,"Medium","High")))</calculatedColumnFormula>
    </tableColumn>
    <tableColumn id="19" xr3:uid="{758BA763-8141-49B6-8273-08552F385F26}" name="Is this BMI/Weight/MUST typical for the adult? (Yes/No) " dataDxfId="371"/>
    <tableColumn id="17" xr3:uid="{87915D27-4023-4CAC-9DC4-4C40B9A93146}" name="If Yes, what would indicate a concern/is atypical for this adult?" dataDxfId="370"/>
    <tableColumn id="23" xr3:uid="{34819743-1775-45DB-9B93-FD842448C274}" name="Is there any explanation for BMI/Weight/MUST changes? _x000a_(Yes/No) " dataDxfId="369"/>
    <tableColumn id="24" xr3:uid="{C00505BB-5727-47C0-BD8B-7AAF3B5E67F4}" name="If Yes, please detail" dataDxfId="368"/>
    <tableColumn id="21" xr3:uid="{4C4CEEF5-A2DE-415C-BBC2-BF9BA50BE21B}" name="Is the adult on a special/fortified diet? _x000a_(e.g. cultural, dietary restrictions, fortified etc)_x000a_(Yes/No)" dataDxfId="367"/>
    <tableColumn id="9" xr3:uid="{9DFDF21F-727E-43D3-A47D-EEEC79393141}" name="If Yes, give details" dataDxfId="366"/>
    <tableColumn id="5" xr3:uid="{515116E0-0CB1-4443-9C40-54DA4BF2037F}" name="If the adult has been assessed for texture-modified Food, please record the level below" dataDxfId="365"/>
    <tableColumn id="20" xr3:uid="{9A08FD7B-D49C-4B7A-83E4-972F3DDB9D45}" name="If the adult has been assessed for texture-modified Fluid, please record the level below" dataDxfId="364"/>
    <tableColumn id="10" xr3:uid="{18444259-1624-4004-9039-C258B0FD0B96}" name="Is Action Required? (Yes/No)_x000a_(If Y, please complete Action Plan tab)" dataDxfId="363"/>
    <tableColumn id="14" xr3:uid="{DCAFAF4D-0C7C-4FCA-9676-D57D0DB69ABD}" name="Date Care Plan &amp; Any Relevent Risk Assessments Last Updated" dataDxfId="362"/>
    <tableColumn id="11" xr3:uid="{B6B32612-8256-4F50-AC72-9B83E7AFABFD}" name="Comments" dataDxfId="361"/>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DAE9CA-C4A9-4B6D-9D12-A2493815A99E}" name="May" displayName="May" ref="B7:Y42" totalsRowShown="0" headerRowDxfId="360" dataDxfId="358" headerRowBorderDxfId="359" tableBorderDxfId="357" totalsRowBorderDxfId="356">
  <autoFilter ref="B7:Y42" xr:uid="{4DEA0907-8530-4155-AAD9-A3C736526587}"/>
  <tableColumns count="24">
    <tableColumn id="1" xr3:uid="{40E1C4D1-F3FC-4D7D-B78D-C242B75A4072}" name="Name" dataDxfId="355"/>
    <tableColumn id="3" xr3:uid="{AD1210BD-2C6F-4008-A4B4-651FE02B95B5}" name="May Weight (kg)" dataDxfId="354"/>
    <tableColumn id="15" xr3:uid="{0FDF8A63-C66A-4513-83A1-B20FDE2F33AE}" name="Date May Weight Taken" dataDxfId="353"/>
    <tableColumn id="4" xr3:uid="{ACAE8FEE-8C0A-408B-BB6F-03C6BE136FE4}" name="May BMI (kg/m2)" dataDxfId="352">
      <calculatedColumnFormula>IF(May[[#This Row],[Name]]="","",May[[#This Row],[May Weight (kg)]]/(VLOOKUP(May[[#This Row],[Name]],Overview[],2,FALSE)/100)^2)</calculatedColumnFormula>
    </tableColumn>
    <tableColumn id="6" xr3:uid="{5C189BE2-BA3E-4B60-85D8-2DF5280D586A}" name="Weight (kg) Difference Between Apr &amp; May" dataDxfId="351">
      <calculatedColumnFormula>IF(May[[#This Row],[Name]]="","",IF(VLOOKUP(May[[#This Row],[Name]],Overview[],12,FALSE)="","N/A",May[[#This Row],[May Weight (kg)]]-VLOOKUP(May[[#This Row],[Name]],Overview[],12,FALSE)))</calculatedColumnFormula>
    </tableColumn>
    <tableColumn id="12" xr3:uid="{06B5F41F-1298-4065-8B49-E4EAABDC1750}" name="Weight (kg) Difference Between Apr &amp; May as %" dataDxfId="350" dataCellStyle="Percent">
      <calculatedColumnFormula>IF(May[[#This Row],[Name]]="","",IF(VLOOKUP(May[[#This Row],[Name]],Overview[],12,FALSE)="","N/A",(May[[#This Row],[May Weight (kg)]]-VLOOKUP(May[[#This Row],[Name]],Overview[],12,FALSE))/VLOOKUP(May[[#This Row],[Name]],Overview[],12,FALSE)))</calculatedColumnFormula>
    </tableColumn>
    <tableColumn id="2" xr3:uid="{D79C4B5B-92A9-4DB5-B7F9-99F8A9F4273E}" name="Highest Weight in the Past 3 - 6 Months" dataDxfId="349" dataCellStyle="Percent">
      <calculatedColumnFormula array="1">IF(May[[#This Row],[Name]]="","",IF(SUMPRODUCT((Overview[Name]=May[[#This Row],[Name]])*ISNUMBER(Overview[[November Weight (kg)]:[February Weight (kg)]]))=0,"N/A",MAX(IF((Overview[Name]=May[[#This Row],[Name]])*ISNUMBER(Overview[[November Weight (kg)]:[February Weight (kg)]]),Overview[[November Weight (kg)]:[February Weight (kg)]]))))</calculatedColumnFormula>
    </tableColumn>
    <tableColumn id="7" xr3:uid="{9C3103EF-E531-4CEB-AAB8-7A8E82C720EB}" name="Weight (kg) Difference from Highest Weight in Past 3 - 6 Months (Current Month - Highest Month)" dataDxfId="348">
      <calculatedColumnFormula>IF(May[[#This Row],[Name]]="","",IF(NOT(ISNUMBER(May[[#This Row],[Highest Weight in the Past 3 - 6 Months]])),"N/A",IF(May[[#This Row],[May Weight (kg)]]=May[[#This Row],[Highest Weight in the Past 3 - 6 Months]],0,May[[#This Row],[May Weight (kg)]]-May[[#This Row],[Highest Weight in the Past 3 - 6 Months]])))</calculatedColumnFormula>
    </tableColumn>
    <tableColumn id="8" xr3:uid="{B710E341-FB29-4937-BA04-0DD932E1D6A0}" name="Weight (kg) Difference from Highest Weight in 3 - 6 months as %" dataDxfId="347" dataCellStyle="Percent">
      <calculatedColumnFormula>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calculatedColumnFormula>
    </tableColumn>
    <tableColumn id="22" xr3:uid="{F64E6718-FADF-4950-935F-E41818DAAF75}" name="Is the adults weight stable?_x000a_(Yes/No)" dataDxfId="346" dataCellStyle="Percent"/>
    <tableColumn id="16" xr3:uid="{9601153B-97D7-4FCE-B511-EA9804B99475}" name="If Weight has been lost, is this Planned? (Yes/No)" dataDxfId="345" dataCellStyle="Percent"/>
    <tableColumn id="13" xr3:uid="{3FDB5ABF-38B0-4594-B047-D6FA070934FC}" name="May MUST Score " dataDxfId="344" dataCellStyle="Percent">
      <calculatedColumnFormula>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calculatedColumnFormula>
    </tableColumn>
    <tableColumn id="18" xr3:uid="{C2451603-FAC5-4CAB-BC7F-055C54D073B7}" name="May MUST Risk" dataDxfId="343" dataCellStyle="Percent">
      <calculatedColumnFormula>IF(May[[#This Row],[Name]]="","",IF(May[[#This Row],[May MUST Score ]]=0,"Low",IF(May[[#This Row],[May MUST Score ]]=1,"Medium","High")))</calculatedColumnFormula>
    </tableColumn>
    <tableColumn id="19" xr3:uid="{1371DD40-3B30-4327-B716-4A7C6B5E03CC}" name="Is this BMI/Weight/MUST typical for the adult? (Yes/No) " dataDxfId="342"/>
    <tableColumn id="17" xr3:uid="{54705069-D0D4-43CA-A19B-C4FE354F3206}" name="If Yes, what would indicate a concern/is atypical for this adult?" dataDxfId="341"/>
    <tableColumn id="23" xr3:uid="{8143C9B1-278C-4F12-BC38-5BEA5A79210E}" name="Is there any explanation for BMI/Weight/MUST changes? _x000a_(Yes/No) " dataDxfId="340"/>
    <tableColumn id="24" xr3:uid="{C57BA01A-991A-49F7-8F60-076C61FEBBF9}" name="If Yes, please detail" dataDxfId="339"/>
    <tableColumn id="21" xr3:uid="{B76430A0-E9CC-4862-84D6-C7E87CBDAB43}" name="Is the adult on a special/fortified diet? _x000a_(e.g. cultural, dietary restrictions, fortified etc)_x000a_(Yes/No)" dataDxfId="338"/>
    <tableColumn id="9" xr3:uid="{37C68F15-4018-49F6-A757-9AB842EB007D}" name="If Yes, give details" dataDxfId="337"/>
    <tableColumn id="5" xr3:uid="{7646A66F-F712-487B-83EB-1C856905CE9F}" name="If the adult has been assessed for texture-modified Food, please record the level below" dataDxfId="336"/>
    <tableColumn id="20" xr3:uid="{447B5377-3886-4788-8BB6-7957FCA0213D}" name="If the adult has been assessed for texture-modified Fluid, please record the level below" dataDxfId="335"/>
    <tableColumn id="10" xr3:uid="{EAF8CAAA-A5F2-4E06-AE09-940DF6B23C59}" name="Is Action Required? (Yes/No)_x000a_(If Y, please complete Action Plan tab)" dataDxfId="334"/>
    <tableColumn id="14" xr3:uid="{22DEB181-77E2-4D47-BF51-29B9ADED176C}" name="Date Care Plan &amp; Any Relevent Risk Assessments Last Updated" dataDxfId="333"/>
    <tableColumn id="11" xr3:uid="{BCC3A804-93C3-43A8-B56F-F5F765CCD3CA}" name="Comments" dataDxfId="332"/>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A90CED-5E17-47B5-9ECE-BB0592A1384E}" name="Jun" displayName="Jun" ref="B7:Y42" totalsRowShown="0" headerRowDxfId="331" dataDxfId="329" headerRowBorderDxfId="330" tableBorderDxfId="328" totalsRowBorderDxfId="327">
  <autoFilter ref="B7:Y42" xr:uid="{4DEA0907-8530-4155-AAD9-A3C736526587}"/>
  <tableColumns count="24">
    <tableColumn id="1" xr3:uid="{6E090258-30EC-472F-9328-AE05C28A2680}" name="Name" dataDxfId="326"/>
    <tableColumn id="3" xr3:uid="{6DA083CF-53B0-4E1C-9B28-95BB52E9C983}" name="June Weight (kg)" dataDxfId="325"/>
    <tableColumn id="15" xr3:uid="{3139BAA8-9AA6-4F3B-8E92-EA99C859689C}" name="Date June Weight Taken" dataDxfId="324"/>
    <tableColumn id="4" xr3:uid="{313995E5-26A1-4E3C-99CD-9424D8924ED8}" name="June BMI (kg/m2)" dataDxfId="323">
      <calculatedColumnFormula>IF(Jun[[#This Row],[Name]]="","",Jun[[#This Row],[June Weight (kg)]]/(VLOOKUP(Jun[[#This Row],[Name]],Overview[],2,FALSE)/100)^2)</calculatedColumnFormula>
    </tableColumn>
    <tableColumn id="6" xr3:uid="{DC15C977-A792-4F0B-87DE-5EEBD4C51835}" name="Weight (kg) Difference Between May &amp; Jun" dataDxfId="322">
      <calculatedColumnFormula>IF(Jun[[#This Row],[Name]]="","",IF(VLOOKUP(Jun[[#This Row],[Name]],Overview[],13,FALSE)="","N/A",Jun[[#This Row],[June Weight (kg)]]-VLOOKUP(Jun[[#This Row],[Name]],Overview[],13,FALSE)))</calculatedColumnFormula>
    </tableColumn>
    <tableColumn id="12" xr3:uid="{09B5D305-4C49-4AF6-A221-19AE3A3F4297}" name="Weight (kg) Difference Between May &amp; Jun as %" dataDxfId="321" dataCellStyle="Percent">
      <calculatedColumnFormula>IF(Jun[[#This Row],[Name]]="","",IF(VLOOKUP(Jun[[#This Row],[Name]],Overview[],13,FALSE)="","N/A",(Jun[[#This Row],[June Weight (kg)]]-VLOOKUP(Jun[[#This Row],[Name]],Overview[],13,FALSE))/VLOOKUP(Jun[[#This Row],[Name]],Overview[],13,FALSE)))</calculatedColumnFormula>
    </tableColumn>
    <tableColumn id="2" xr3:uid="{2365DA77-DE18-43B8-AF2E-285C7DF10AA4}" name="Highest Weight in the Past 3 - 6 Months" dataDxfId="320" dataCellStyle="Percent">
      <calculatedColumnFormula array="1">IF(Jun[[#This Row],[Name]]="","",IF(SUMPRODUCT((Overview[Name]=Jun[[#This Row],[Name]])*ISNUMBER(Overview[[December Weight (kg)]:[March 
Weight (kg)]]))=0,"N/A",MAX(IF((Overview[Name]=Jun[[#This Row],[Name]])*ISNUMBER(Overview[[December Weight (kg)]:[March 
Weight (kg)]]),Overview[[December Weight (kg)]:[March 
Weight (kg)]]))))</calculatedColumnFormula>
    </tableColumn>
    <tableColumn id="7" xr3:uid="{E0F83386-014F-4C41-BB34-4A32B1C72036}" name="Weight (kg) Difference from Highest Weight in Past 3 - 6 Months (Current Month - Highest Month)" dataDxfId="319">
      <calculatedColumnFormula>IF(Jun[[#This Row],[Name]]="","",IF(NOT(ISNUMBER(Jun[[#This Row],[Highest Weight in the Past 3 - 6 Months]])),"N/A",IF(Jun[[#This Row],[June Weight (kg)]]=Jun[[#This Row],[Highest Weight in the Past 3 - 6 Months]],0,Jun[[#This Row],[June Weight (kg)]]-Jun[[#This Row],[Highest Weight in the Past 3 - 6 Months]])))</calculatedColumnFormula>
    </tableColumn>
    <tableColumn id="8" xr3:uid="{AB6C369C-21C2-4750-95F5-2FB8ED1DACD0}" name="Weight (kg) Difference from Highest Weight in 3 - 6 months as %" dataDxfId="318" dataCellStyle="Percent">
      <calculatedColumnFormula>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calculatedColumnFormula>
    </tableColumn>
    <tableColumn id="22" xr3:uid="{377A31AF-CBF0-4885-80F2-79DB27492D77}" name="Is the adults weight stable?_x000a_(Yes/No)" dataDxfId="317" dataCellStyle="Percent"/>
    <tableColumn id="16" xr3:uid="{19DB4601-C31D-430E-82B6-D08A6DBF5084}" name="If Weight has been lost, is this Planned? (Yes/No)" dataDxfId="316" dataCellStyle="Percent"/>
    <tableColumn id="13" xr3:uid="{659C85A4-39DF-441B-9BBE-73323F04A6D0}" name="June MUST Score " dataDxfId="315" dataCellStyle="Percent">
      <calculatedColumnFormula>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calculatedColumnFormula>
    </tableColumn>
    <tableColumn id="18" xr3:uid="{C4FFA5C0-F2D6-4BFA-BA81-DC8A715F8FC1}" name="June MUST Risk" dataDxfId="314" dataCellStyle="Percent">
      <calculatedColumnFormula>IF(Jun[[#This Row],[Name]]="","",IF(Jun[[#This Row],[June MUST Score ]]=0,"Low",IF(Jun[[#This Row],[June MUST Score ]]=1,"Medium","High")))</calculatedColumnFormula>
    </tableColumn>
    <tableColumn id="19" xr3:uid="{D7079059-FBEC-4537-B97A-5DCD1F7836D8}" name="Is this BMI/Weight/MUST typical for the adult? (Yes/No) " dataDxfId="313"/>
    <tableColumn id="17" xr3:uid="{C15C3478-F5B1-4C0E-9418-1DF2A5F4B772}" name="If Yes, what would indicate a concern/is atypical for this adult?" dataDxfId="312"/>
    <tableColumn id="23" xr3:uid="{66A92F2E-63F8-4D9D-8AED-1BDDF1EDC01F}" name="Is there any explanation for BMI/Weight/MUST changes? _x000a_(Yes/No) " dataDxfId="311"/>
    <tableColumn id="24" xr3:uid="{5EFA00BC-EFF0-438F-BC4E-23F895AF849B}" name="If Yes, please detail" dataDxfId="310"/>
    <tableColumn id="21" xr3:uid="{B6BD7493-0AD9-4DEE-A9E5-11F627DFACFC}" name="Is the adult on a special/fortified diet? _x000a_(e.g. cultural, dietary restrictions, fortified etc)_x000a_(Yes/No)" dataDxfId="309"/>
    <tableColumn id="9" xr3:uid="{CCA9AB6D-14C3-4E85-82CB-B0ED2C5EEC87}" name="If Yes, give details" dataDxfId="308"/>
    <tableColumn id="5" xr3:uid="{AD443EA6-BA53-4862-9A6A-34CCFE6634FB}" name="If the adult has been assessed for texture-modified Food, please record the level below" dataDxfId="307"/>
    <tableColumn id="20" xr3:uid="{601F78AD-7288-4831-986A-05DC5825DE69}" name="If the adult has been assessed for texture-modified Fluid, please record the level below" dataDxfId="306"/>
    <tableColumn id="10" xr3:uid="{A3FDE506-7C85-45DE-887C-91C2ADA38D6D}" name="Is Action Required? (Yes/No)_x000a_(If Y, please complete Action Plan tab)" dataDxfId="305"/>
    <tableColumn id="14" xr3:uid="{8C5E76BD-C991-4463-A9DC-F60F9CA431B4}" name="Date Care Plan &amp; Any Relevent Risk Assessments Last Updated" dataDxfId="304"/>
    <tableColumn id="11" xr3:uid="{AB4A8DA5-9DE6-40B9-8C49-A15EB04DE47C}" name="Comments" dataDxfId="303"/>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124311B-0C63-46B9-9346-123839D9F06F}" name="Jul" displayName="Jul" ref="B7:Y42" totalsRowShown="0" headerRowDxfId="302" dataDxfId="300" headerRowBorderDxfId="301" tableBorderDxfId="299" totalsRowBorderDxfId="298">
  <autoFilter ref="B7:Y42" xr:uid="{4DEA0907-8530-4155-AAD9-A3C736526587}"/>
  <tableColumns count="24">
    <tableColumn id="1" xr3:uid="{2FD63D63-41AF-43B4-832A-A5EEF45C300B}" name="Name" dataDxfId="297"/>
    <tableColumn id="3" xr3:uid="{B1B2E506-8436-45C5-AAFE-F384963CBA9F}" name="July Weight (kg)" dataDxfId="296"/>
    <tableColumn id="15" xr3:uid="{BF0CA8BF-8223-4B3C-B6BA-84368AD02ACA}" name="Date July Weight Taken" dataDxfId="295"/>
    <tableColumn id="4" xr3:uid="{CDCA3061-2D1E-4A00-90C5-DB4300D0725B}" name="July BMI (kg/m2)" dataDxfId="294">
      <calculatedColumnFormula>IF(Jul[[#This Row],[Name]]="","",Jul[[#This Row],[July Weight (kg)]]/(VLOOKUP(Jul[[#This Row],[Name]],Overview[],2,FALSE)/100)^2)</calculatedColumnFormula>
    </tableColumn>
    <tableColumn id="6" xr3:uid="{84A36A74-6A35-45D8-84FA-27F052BFD926}" name="Weight (kg) Difference Between Jun &amp; Jul" dataDxfId="293">
      <calculatedColumnFormula>IF(Jul[[#This Row],[Name]]="","",IF(VLOOKUP(Jul[[#This Row],[Name]],Overview[],14,FALSE)="","N/A",Jul[[#This Row],[July Weight (kg)]]-VLOOKUP(Jun[[#This Row],[Name]],Overview[],14,FALSE)))</calculatedColumnFormula>
    </tableColumn>
    <tableColumn id="12" xr3:uid="{2EA4A68A-15B4-4569-B57C-1310A9D2BB61}" name="Weight (kg) Difference Between Jun &amp; Jul as %" dataDxfId="292" dataCellStyle="Percent">
      <calculatedColumnFormula>IF(Jul[[#This Row],[Name]]="","",IF(VLOOKUP(Jul[[#This Row],[Name]],Overview[],14,FALSE)="","N/A",(Jul[[#This Row],[July Weight (kg)]]-VLOOKUP(Jul[[#This Row],[Name]],Overview[],14,FALSE))/VLOOKUP(Jul[[#This Row],[Name]],Overview[],14,FALSE)))</calculatedColumnFormula>
    </tableColumn>
    <tableColumn id="2" xr3:uid="{5E32A6F3-DB58-4CB5-A89E-0EB3A52E0673}" name="Highest Weight in the Past 3 - 6 Months" dataDxfId="291" dataCellStyle="Percent">
      <calculatedColumnFormula array="1">IF(Jul[[#This Row],[Name]]="","",IF(SUMPRODUCT((Overview[Name]=Jul[[#This Row],[Name]])*ISNUMBER(Overview[[January 
Weight (kg)]:[April 
Weight (kg)]]))=0,"N/A",MAX(IF((Overview[Name]=Jul[[#This Row],[Name]])*ISNUMBER(Overview[[January 
Weight (kg)]:[April 
Weight (kg)]]),Overview[[January 
Weight (kg)]:[April 
Weight (kg)]]))))</calculatedColumnFormula>
    </tableColumn>
    <tableColumn id="7" xr3:uid="{E8E78417-1D42-451E-9150-0263CD8014FB}" name="Weight (kg) Difference from Highest Weight in Past 3 - 6 Months (Current Month - Highest Month)" dataDxfId="290">
      <calculatedColumnFormula>IF(Jul[[#This Row],[Name]]="","",IF(NOT(ISNUMBER(Jul[[#This Row],[Highest Weight in the Past 3 - 6 Months]])),"N/A",IF(Jul[[#This Row],[July Weight (kg)]]=Jul[[#This Row],[Highest Weight in the Past 3 - 6 Months]],0,Jul[[#This Row],[July Weight (kg)]]-Jul[[#This Row],[Highest Weight in the Past 3 - 6 Months]])))</calculatedColumnFormula>
    </tableColumn>
    <tableColumn id="8" xr3:uid="{5090E42B-A98F-4406-958D-4B3CC1EC8CBE}" name="Weight (kg) Difference from Highest Weight in 3 - 6 months as %" dataDxfId="289" dataCellStyle="Percent">
      <calculatedColumnFormula>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calculatedColumnFormula>
    </tableColumn>
    <tableColumn id="22" xr3:uid="{A2BE3E56-E6E4-401E-974D-0FDB1FC1F61C}" name="Is the adults weight stable?_x000a_(Yes/No)" dataDxfId="288" dataCellStyle="Percent"/>
    <tableColumn id="16" xr3:uid="{31A23975-A5C3-4973-8407-DE7ACA2C32D1}" name="If Weight has been lost, is this Planned? (Yes/No)" dataDxfId="287" dataCellStyle="Percent"/>
    <tableColumn id="13" xr3:uid="{6DA407FD-5116-469D-B9C4-2589DB67F2C7}" name="July MUST Score " dataDxfId="286" dataCellStyle="Percent">
      <calculatedColumnFormula>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calculatedColumnFormula>
    </tableColumn>
    <tableColumn id="18" xr3:uid="{B8BBD5E2-F4FC-4327-922C-6A1BD226ADAA}" name="July MUST Risk" dataDxfId="285" dataCellStyle="Percent">
      <calculatedColumnFormula>IF(Jul[[#This Row],[Name]]="","",IF(Jul[[#This Row],[July MUST Score ]]=0,"Low",IF(Jul[[#This Row],[July MUST Score ]]=1,"Medium","High")))</calculatedColumnFormula>
    </tableColumn>
    <tableColumn id="19" xr3:uid="{3BE2E445-F6AF-4726-95F9-8095E117F398}" name="Is this BMI/Weight/MUST typical for the adult? (Yes/No) " dataDxfId="284"/>
    <tableColumn id="17" xr3:uid="{DBB8904B-E503-4D71-9627-7118AC57A60D}" name="If Yes, what would indicate a concern/is atypical for this adult?" dataDxfId="283"/>
    <tableColumn id="23" xr3:uid="{1D427B96-2EFB-40F4-A526-542A7C368D65}" name="Is there any explanation for BMI/Weight/MUST changes? _x000a_(Yes/No) " dataDxfId="282"/>
    <tableColumn id="24" xr3:uid="{69147536-0D5E-481E-9201-AC6E743A895D}" name="If Yes, please detail" dataDxfId="281"/>
    <tableColumn id="21" xr3:uid="{44D6CBDD-1676-4DB0-A5ED-3CB8CBCF1CE0}" name="Is the adult on a special/fortified diet? _x000a_(e.g. cultural, dietary restrictions, fortified etc)_x000a_(Yes/No)" dataDxfId="280"/>
    <tableColumn id="9" xr3:uid="{37DCBC6D-48F9-4460-A27F-6DE67579E8F4}" name="If Yes, give details" dataDxfId="279"/>
    <tableColumn id="5" xr3:uid="{F6BBD615-EE2E-47DB-9157-D8F1BC41EBB2}" name="If the adult has been assessed for texture-modified Food, please record the level below" dataDxfId="278"/>
    <tableColumn id="20" xr3:uid="{95DAC338-31F3-483B-94D1-1DF2556C7D73}" name="If the adult has been assessed for texture-modified Fluid, please record the level below" dataDxfId="277"/>
    <tableColumn id="10" xr3:uid="{BF4D4F39-D62B-4DCC-BD6F-80B2E5710508}" name="Is Action Required? (Yes/No)_x000a_(If Y, please complete Action Plan tab)" dataDxfId="276"/>
    <tableColumn id="14" xr3:uid="{BA1F83A4-0EA4-439C-9E1A-48E80712595B}" name="Date Care Plan &amp; Any Relevent Risk Assessments Last Updated" dataDxfId="275"/>
    <tableColumn id="11" xr3:uid="{71C71F58-2FA2-4CF3-9191-4BE03317DC91}" name="Comments" dataDxfId="274"/>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392EE8A-6692-43C6-BEA5-84E999FA6721}" name="Aug" displayName="Aug" ref="B7:Y42" totalsRowShown="0" headerRowDxfId="273" dataDxfId="271" headerRowBorderDxfId="272" tableBorderDxfId="270" totalsRowBorderDxfId="269">
  <autoFilter ref="B7:Y42" xr:uid="{4DEA0907-8530-4155-AAD9-A3C736526587}"/>
  <tableColumns count="24">
    <tableColumn id="1" xr3:uid="{46BAB2B3-6D37-4901-B6DC-84CCCA957AE8}" name="Name" dataDxfId="268"/>
    <tableColumn id="3" xr3:uid="{FD387C59-8E3F-49CC-A58A-34B395766815}" name="August Weight (kg)" dataDxfId="267"/>
    <tableColumn id="15" xr3:uid="{ADA24588-DE30-46B0-BB9D-245D5380930D}" name="Date August Weight Taken" dataDxfId="266"/>
    <tableColumn id="4" xr3:uid="{64E51137-DA60-48C8-8F7F-6D4E8B6E0A7F}" name="August BMI (kg/m2)" dataDxfId="265">
      <calculatedColumnFormula>IF(Aug[[#This Row],[Name]]="","",Aug[[#This Row],[August Weight (kg)]]/(VLOOKUP(Aug[[#This Row],[Name]],Overview[],2,FALSE)/100)^2)</calculatedColumnFormula>
    </tableColumn>
    <tableColumn id="6" xr3:uid="{C8E72FC1-2397-4576-BFB2-396C226996CA}" name="Weight (kg) Difference Between Jul &amp; Aug" dataDxfId="264">
      <calculatedColumnFormula>IF(Aug[[#This Row],[Name]]="","",IF(VLOOKUP(Aug[[#This Row],[Name]],Overview[],15,FALSE)="","N/A",Aug[[#This Row],[August Weight (kg)]]-VLOOKUP(Aug[[#This Row],[Name]],Overview[],15,FALSE)))</calculatedColumnFormula>
    </tableColumn>
    <tableColumn id="12" xr3:uid="{CE9ADCC1-6FBA-4CAC-B558-6AB70F5D490E}" name="Weight (kg) Difference Between Jul &amp; Aug as %" dataDxfId="263" dataCellStyle="Percent">
      <calculatedColumnFormula>IF(Aug[[#This Row],[Name]]="","",IF(VLOOKUP(Aug[[#This Row],[Name]],Overview[],15,FALSE)="","N/A",(Aug[[#This Row],[August Weight (kg)]]-VLOOKUP(Aug[[#This Row],[Name]],Overview[],15,FALSE))/VLOOKUP(Aug[[#This Row],[Name]],Overview[],15,FALSE)))</calculatedColumnFormula>
    </tableColumn>
    <tableColumn id="2" xr3:uid="{D828E69F-1C1D-46C5-A5D4-724F3C16BC32}" name="Highest Weight in the Past 3 - 6 Months" dataDxfId="262" dataCellStyle="Percent">
      <calculatedColumnFormula array="1">IF(Aug[[#This Row],[Name]]="","",IF(SUMPRODUCT((Overview[Name]=Aug[[#This Row],[Name]])*ISNUMBER(Overview[[February Weight (kg)]:[May 
Weight (kg)]]))=0,"N/A",MAX(IF((Overview[Name]=Aug[[#This Row],[Name]])*ISNUMBER(Overview[[February Weight (kg)]:[May 
Weight (kg)]]),Overview[[February Weight (kg)]:[May 
Weight (kg)]]))))</calculatedColumnFormula>
    </tableColumn>
    <tableColumn id="7" xr3:uid="{53463127-B5D9-4A5D-B965-9EAE627B7BB6}" name="Weight (kg) Difference from Highest Weight in Past 3 - 6 Months (Current Month - Highest Month)" dataDxfId="261">
      <calculatedColumnFormula>IF(Aug[[#This Row],[Name]]="","",IF(NOT(ISNUMBER(Aug[[#This Row],[Highest Weight in the Past 3 - 6 Months]])),"N/A",IF(Aug[[#This Row],[August Weight (kg)]]=Aug[[#This Row],[Highest Weight in the Past 3 - 6 Months]],0,Aug[[#This Row],[August Weight (kg)]]-Aug[[#This Row],[Highest Weight in the Past 3 - 6 Months]])))</calculatedColumnFormula>
    </tableColumn>
    <tableColumn id="8" xr3:uid="{394DA621-B9FE-466A-A63D-45A5CD674384}" name="Weight (kg) Difference from Highest Weight in 3 - 6 months as %" dataDxfId="260" dataCellStyle="Percent">
      <calculatedColumnFormula>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calculatedColumnFormula>
    </tableColumn>
    <tableColumn id="22" xr3:uid="{8187DBE0-315A-4C8F-88B0-C6755CB35EB1}" name="Is the adults weight stable?_x000a_(Yes/No)" dataDxfId="259" dataCellStyle="Percent"/>
    <tableColumn id="16" xr3:uid="{D658DB53-E082-49AA-874B-7BA10315020C}" name="If Weight has been lost, is this Planned? (Yes/No)" dataDxfId="258" dataCellStyle="Percent"/>
    <tableColumn id="13" xr3:uid="{CB862591-FD96-4337-8DC6-5D61B42BF8C2}" name="August MUST Score " dataDxfId="257" dataCellStyle="Percent">
      <calculatedColumnFormula>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calculatedColumnFormula>
    </tableColumn>
    <tableColumn id="18" xr3:uid="{FCBFEE00-1EE6-44F6-8554-8F74DD3A6131}" name="August MUST Risk" dataDxfId="256" dataCellStyle="Percent">
      <calculatedColumnFormula>IF(Aug[[#This Row],[Name]]="","",IF(Aug[[#This Row],[August MUST Score ]]=0,"Low",IF(Aug[[#This Row],[August MUST Score ]]=1,"Medium","High")))</calculatedColumnFormula>
    </tableColumn>
    <tableColumn id="19" xr3:uid="{4FA439CD-2EE8-4898-8DB7-3B6732209D19}" name="Is this BMI/Weight/MUST typical for the adult? (Yes/No) " dataDxfId="255"/>
    <tableColumn id="17" xr3:uid="{48635C71-A26C-47E3-A81C-768F2288F2A7}" name="If Yes, what would indicate a concern/is atypical for this adult?" dataDxfId="254"/>
    <tableColumn id="23" xr3:uid="{FEEFAD44-E625-41C2-B14A-471084CC56B0}" name="Is there any explanation for BMI/Weight/MUST changes? _x000a_(Yes/No) " dataDxfId="253"/>
    <tableColumn id="24" xr3:uid="{A849857B-90A1-4F31-86CF-5C105B3DB55B}" name="If Yes, please detail" dataDxfId="252"/>
    <tableColumn id="21" xr3:uid="{9F252650-A469-4151-9540-3A2B1CB4439D}" name="Is the adult on a special/fortified diet? _x000a_(e.g. cultural, dietary restrictions, fortified etc)_x000a_(Yes/No)" dataDxfId="251"/>
    <tableColumn id="9" xr3:uid="{CD9B1ECC-C094-40A6-8AA6-62845136268B}" name="If Yes, give details" dataDxfId="250"/>
    <tableColumn id="5" xr3:uid="{D935E5E1-0B87-4C23-B0CA-7E6F06C71950}" name="If the adult has been assessed for texture-modified Food, please record the level below" dataDxfId="249"/>
    <tableColumn id="20" xr3:uid="{A3B443D5-10D0-4FF5-8C2B-BF2F059F297E}" name="If the adult has been assessed for texture-modified Fluid, please record the level below" dataDxfId="248"/>
    <tableColumn id="10" xr3:uid="{CD8703D3-A160-41A7-B67E-CD734EA42F8A}" name="Is Action Required? (Yes/No)_x000a_(If Y, please complete Action Plan tab)" dataDxfId="247"/>
    <tableColumn id="14" xr3:uid="{B495D1A5-C871-425B-8B3D-B87634195AD6}" name="Date Care Plan &amp; Any Relevent Risk Assessments Last Updated" dataDxfId="246"/>
    <tableColumn id="11" xr3:uid="{269B40EF-1731-434A-A839-F23B85725546}" name="Comments" dataDxfId="245"/>
  </tableColumns>
  <tableStyleInfo name="TableStyleMedium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7BE9D8D-6FDE-47D7-B5E0-F16DFBB84E4E}" name="Sep" displayName="Sep" ref="B7:Y42" totalsRowShown="0" headerRowDxfId="244" dataDxfId="242" headerRowBorderDxfId="243" tableBorderDxfId="241" totalsRowBorderDxfId="240">
  <autoFilter ref="B7:Y42" xr:uid="{4DEA0907-8530-4155-AAD9-A3C736526587}"/>
  <tableColumns count="24">
    <tableColumn id="1" xr3:uid="{C21EF30E-8B61-463F-A4C4-C575D5F43A6A}" name="Name" dataDxfId="239"/>
    <tableColumn id="3" xr3:uid="{1B30CB4F-FA1E-4B85-B543-4EC71E9427D6}" name="September Weight (kg)" dataDxfId="238"/>
    <tableColumn id="15" xr3:uid="{87E8FFE0-56C2-4EE1-8079-2AF91F3EB123}" name="Date September Weight Taken" dataDxfId="237"/>
    <tableColumn id="4" xr3:uid="{351EA2F7-E12B-4CA1-85A5-C31C72BFAD28}" name="September BMI (kg/m2)" dataDxfId="236">
      <calculatedColumnFormula>IF(Sep[[#This Row],[Name]]="","",Sep[[#This Row],[September Weight (kg)]]/(VLOOKUP(Sep[[#This Row],[Name]],Overview[],2,FALSE)/100)^2)</calculatedColumnFormula>
    </tableColumn>
    <tableColumn id="6" xr3:uid="{D9BBEB0D-9FFB-4F1E-B8DF-FD90F59D6FD2}" name="Weight (kg) Difference Between Aug &amp; Sep" dataDxfId="235">
      <calculatedColumnFormula>IF(Sep[[#This Row],[Name]]="","",IF(VLOOKUP(Sep[[#This Row],[Name]],Overview[],16,FALSE)="","N/A",Sep[[#This Row],[September Weight (kg)]]-VLOOKUP(Sep[[#This Row],[Name]],Overview[],16,FALSE)))</calculatedColumnFormula>
    </tableColumn>
    <tableColumn id="12" xr3:uid="{063BF346-10F4-438A-A7B3-7DB70087D6FB}" name="Weight (kg) Difference Between Aug &amp; Sep as %" dataDxfId="234" dataCellStyle="Percent">
      <calculatedColumnFormula>IF(Sep[[#This Row],[Name]]="","",IF(VLOOKUP(Sep[[#This Row],[Name]],Overview[],16,FALSE)="","N/A",(Sep[[#This Row],[September Weight (kg)]]-VLOOKUP(Sep[[#This Row],[Name]],Overview[],16,FALSE))/VLOOKUP(Sep[[#This Row],[Name]],Overview[],16,FALSE)))</calculatedColumnFormula>
    </tableColumn>
    <tableColumn id="2" xr3:uid="{85033801-5FE6-4F9C-9E5E-A0FA7C70AD07}" name="Highest Weight in the Past 3 - 6 Months" dataDxfId="233" dataCellStyle="Percent">
      <calculatedColumnFormula array="1">IF(Sep[[#This Row],[Name]]="","",IF(SUMPRODUCT((Overview[Name]=Sep[[#This Row],[Name]])*ISNUMBER(Overview[[March 
Weight (kg)]:[June 
Weight (kg)]]))=0,"N/A",MAX(IF((Overview[Name]=Sep[[#This Row],[Name]])*ISNUMBER(Overview[[March 
Weight (kg)]:[June 
Weight (kg)]]),Overview[[March 
Weight (kg)]:[June 
Weight (kg)]]))))</calculatedColumnFormula>
    </tableColumn>
    <tableColumn id="7" xr3:uid="{742B23E8-A483-4BFA-A000-17481428ACB3}" name="Weight (kg) Difference from Highest Weight in Past 3 - 6 Months (Current Month - Highest Month)" dataDxfId="232">
      <calculatedColumnFormula>IF(Sep[[#This Row],[Name]]="","",IF(NOT(ISNUMBER(Sep[[#This Row],[Highest Weight in the Past 3 - 6 Months]])),"N/A",IF(Sep[[#This Row],[September Weight (kg)]]=Sep[[#This Row],[Highest Weight in the Past 3 - 6 Months]],0,Sep[[#This Row],[September Weight (kg)]]-Sep[[#This Row],[Highest Weight in the Past 3 - 6 Months]])))</calculatedColumnFormula>
    </tableColumn>
    <tableColumn id="8" xr3:uid="{EAF5677C-AD7F-4C07-9694-C31D403AD6B9}" name="Weight (kg) Difference from Highest Weight in 3 - 6 months as %" dataDxfId="231" dataCellStyle="Percent">
      <calculatedColumnFormula>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calculatedColumnFormula>
    </tableColumn>
    <tableColumn id="22" xr3:uid="{C2B5B95A-4F8F-4FB5-BDA7-0E0339BBC1A8}" name="Is the adults weight stable?_x000a_(Yes/No)" dataDxfId="230" dataCellStyle="Percent"/>
    <tableColumn id="16" xr3:uid="{527E9FA3-3196-4FB2-ADAC-53B333D8D906}" name="If Weight has been lost, is this Planned? (Yes/No)" dataDxfId="229" dataCellStyle="Percent"/>
    <tableColumn id="13" xr3:uid="{F8983BC0-027A-437B-8EB4-2892BB6BE12E}" name="September MUST Score " dataDxfId="228" dataCellStyle="Percent">
      <calculatedColumnFormula>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calculatedColumnFormula>
    </tableColumn>
    <tableColumn id="18" xr3:uid="{BCD2B39C-1159-41F6-860A-A4E9B8EB4457}" name="September MUST Risk" dataDxfId="227" dataCellStyle="Percent">
      <calculatedColumnFormula>IF(Sep[[#This Row],[Name]]="","",IF(Sep[[#This Row],[September MUST Score ]]=0,"Low",IF(Sep[[#This Row],[September MUST Score ]]=1,"Medium","High")))</calculatedColumnFormula>
    </tableColumn>
    <tableColumn id="19" xr3:uid="{D0E6188B-B8C1-4563-85EB-D8901254F44F}" name="Is this BMI/Weight/MUST typical for the adult? (Yes/No) " dataDxfId="226"/>
    <tableColumn id="17" xr3:uid="{2C17FCE3-7B06-4860-89D0-6B720E48CE6D}" name="If Yes, what would indicate a concern/is atypical for this adult?" dataDxfId="225"/>
    <tableColumn id="23" xr3:uid="{8290EE43-D356-4CD2-99DB-335EBDD657E8}" name="Is there any explanation for BMI/Weight/MUST changes? _x000a_(Yes/No) " dataDxfId="224"/>
    <tableColumn id="24" xr3:uid="{FBD47DB8-5DE6-48E5-A2F5-A1A07D95D40F}" name="If Yes, please detail" dataDxfId="223"/>
    <tableColumn id="21" xr3:uid="{7FDCFD46-0925-4953-8A3A-98E1D10A9B84}" name="Is the adult on a special/fortified diet? _x000a_(e.g. cultural, dietary restrictions, fortified etc)_x000a_(Yes/No)" dataDxfId="222"/>
    <tableColumn id="9" xr3:uid="{F4FD98C3-D144-422B-9A18-4E3798EC81BB}" name="If Yes, give details" dataDxfId="221"/>
    <tableColumn id="5" xr3:uid="{2A2504C9-57F2-4409-AA7F-BFAA498D3A90}" name="If the adult has been assessed for texture-modified Food, please record the level below" dataDxfId="220"/>
    <tableColumn id="20" xr3:uid="{48E38709-EC56-4302-9139-1F246229F04B}" name="If the adult has been assessed for texture-modified Fluid, please record the level below" dataDxfId="219"/>
    <tableColumn id="10" xr3:uid="{90A5D3CD-3EA5-4697-BAB9-42B37A0A92BE}" name="Is Action Required? (Yes/No)_x000a_(If Y, please complete Action Plan tab)" dataDxfId="218"/>
    <tableColumn id="14" xr3:uid="{A8A11794-0661-499B-BA81-68C22E6601EC}" name="Date Care Plan &amp; Any Relevent Risk Assessments Last Updated" dataDxfId="217"/>
    <tableColumn id="11" xr3:uid="{9F2B61B6-EA11-4738-842F-AA162BB888A1}" name="Comments" dataDxfId="216"/>
  </tableColumns>
  <tableStyleInfo name="TableStyleMedium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AE43A-2203-42D6-9E1E-0F7C9290B1CB}" name="Oct" displayName="Oct" ref="B7:Y42" totalsRowShown="0" headerRowDxfId="215" dataDxfId="213" headerRowBorderDxfId="214" tableBorderDxfId="212" totalsRowBorderDxfId="211">
  <autoFilter ref="B7:Y42" xr:uid="{4DEA0907-8530-4155-AAD9-A3C736526587}"/>
  <tableColumns count="24">
    <tableColumn id="1" xr3:uid="{67DF3212-4BF2-482D-A059-B1D129E68E91}" name="Name" dataDxfId="210"/>
    <tableColumn id="3" xr3:uid="{0DFFED0D-1D54-4B0D-96B8-2F89A34F68D3}" name="October Weight (kg)" dataDxfId="209"/>
    <tableColumn id="15" xr3:uid="{CE953310-C111-46B8-90AB-B0BF1819A98B}" name="Date October Weight Taken" dataDxfId="208"/>
    <tableColumn id="4" xr3:uid="{73B762F7-51A0-4384-AC22-6D42E5479D1B}" name="October BMI (kg/m2)" dataDxfId="207">
      <calculatedColumnFormula>IF(Oct[[#This Row],[Name]]="","",Oct[[#This Row],[October Weight (kg)]]/(VLOOKUP(Oct[[#This Row],[Name]],Overview[],2,FALSE)/100)^2)</calculatedColumnFormula>
    </tableColumn>
    <tableColumn id="6" xr3:uid="{CCE0A75F-9AE6-4D85-8AAF-473C32F38339}" name="Weight (kg) Difference Between Sep &amp; Oct" dataDxfId="206">
      <calculatedColumnFormula>IF(Oct[[#This Row],[Name]]="","",IF(VLOOKUP(Oct[[#This Row],[Name]],Overview[],17,FALSE)="","N/A",Oct[[#This Row],[October Weight (kg)]]-VLOOKUP(Oct[[#This Row],[Name]],Overview[],17,FALSE)))</calculatedColumnFormula>
    </tableColumn>
    <tableColumn id="12" xr3:uid="{BDBC161D-F017-4EF0-A1FA-BCB7547278C8}" name="Weight (kg) Difference Between Sep &amp; Oct as %" dataDxfId="205" dataCellStyle="Percent">
      <calculatedColumnFormula>IF(Oct[[#This Row],[Name]]="","",IF(VLOOKUP(Oct[[#This Row],[Name]],Overview[],17,FALSE)="","N/A",(Oct[[#This Row],[October Weight (kg)]]-VLOOKUP(Oct[[#This Row],[Name]],Overview[],17,FALSE))/VLOOKUP(Oct[[#This Row],[Name]],Overview[],17,FALSE)))</calculatedColumnFormula>
    </tableColumn>
    <tableColumn id="2" xr3:uid="{352C7D4E-A720-478A-AC11-2EDABCFE6DEC}" name="Highest Weight in the Past 3 - 6 Months" dataDxfId="204" dataCellStyle="Percent">
      <calculatedColumnFormula array="1">IF(Oct[[#This Row],[Name]]="","",IF(SUMPRODUCT((Overview[Name]=Oct[[#This Row],[Name]])*ISNUMBER(Overview[[April 
Weight (kg)]:[July 
Weight (kg) ]]))=0,"N/A",MAX(IF((Overview[Name]=Oct[[#This Row],[Name]])*ISNUMBER(Overview[[April 
Weight (kg)]:[July 
Weight (kg) ]]),Overview[[April 
Weight (kg)]:[July 
Weight (kg) ]]))))</calculatedColumnFormula>
    </tableColumn>
    <tableColumn id="7" xr3:uid="{37A79374-FA8E-4EBF-9216-B473111EA26B}" name="Weight (kg) Difference from Highest Weight in Past 3 - 6 Months (Current Month - Highest Month)" dataDxfId="203">
      <calculatedColumnFormula>IF(Oct[[#This Row],[Name]]="","",IF(NOT(ISNUMBER(Oct[[#This Row],[Highest Weight in the Past 3 - 6 Months]])),"N/A",IF(Oct[[#This Row],[October Weight (kg)]]=Oct[[#This Row],[Highest Weight in the Past 3 - 6 Months]],0,Oct[[#This Row],[October Weight (kg)]]-Oct[[#This Row],[Highest Weight in the Past 3 - 6 Months]])))</calculatedColumnFormula>
    </tableColumn>
    <tableColumn id="8" xr3:uid="{9A8C8433-45CC-4D07-9E02-C74532D566FD}" name="Weight (kg) Difference from Highest Weight in 3 - 6 months as %" dataDxfId="202" dataCellStyle="Percent">
      <calculatedColumnFormula>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calculatedColumnFormula>
    </tableColumn>
    <tableColumn id="22" xr3:uid="{D2916EFB-E25E-4048-85F1-85156C4DDABA}" name="Is the adults weight stable?_x000a_(Yes/No)" dataDxfId="201" dataCellStyle="Percent"/>
    <tableColumn id="16" xr3:uid="{D1A130FD-693C-4DAD-8E02-6DF9151244FD}" name="If Weight has been lost, is this Planned? (Yes/No)" dataDxfId="200" dataCellStyle="Percent"/>
    <tableColumn id="13" xr3:uid="{20E0B69E-8032-47B7-98FA-CE63FAD63966}" name="October MUST Score " dataDxfId="199" dataCellStyle="Percent">
      <calculatedColumnFormula>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calculatedColumnFormula>
    </tableColumn>
    <tableColumn id="18" xr3:uid="{891DBEAD-1C03-492E-B614-DC8EFA73E3FF}" name="October MUST Risk" dataDxfId="198" dataCellStyle="Percent">
      <calculatedColumnFormula>IF(Oct[[#This Row],[Name]]="","",IF(Oct[[#This Row],[October MUST Score ]]=0,"Low",IF(Oct[[#This Row],[October MUST Score ]]=1,"Medium","High")))</calculatedColumnFormula>
    </tableColumn>
    <tableColumn id="19" xr3:uid="{E537B2D1-1E7C-45A9-BDEE-7095A99495C1}" name="Is this BMI/Weight/MUST typical for the adult? (Yes/No) " dataDxfId="197"/>
    <tableColumn id="17" xr3:uid="{D54B779B-AD48-4EB1-A2AA-C501D8521976}" name="If Yes, what would indicate a concern/is atypical for this adult?" dataDxfId="196"/>
    <tableColumn id="23" xr3:uid="{E1A1BFD0-79A1-488C-8F36-1CDC26A240B4}" name="Is there any explanation for BMI/Weight/MUST changes? _x000a_(Yes/No) " dataDxfId="195"/>
    <tableColumn id="24" xr3:uid="{13A5829A-8B4D-431D-AAE9-5A286C599D0A}" name="If Yes, please detail" dataDxfId="194"/>
    <tableColumn id="21" xr3:uid="{C3E8C42F-FD26-4A70-8CAF-D2CA18B20650}" name="Is the adult on a special/fortified diet? _x000a_(e.g. cultural, dietary restrictions, fortified etc)_x000a_(Yes/No)" dataDxfId="193"/>
    <tableColumn id="9" xr3:uid="{DF5E766B-1C13-48F3-8ED8-6A7765E3E368}" name="If Yes, give details" dataDxfId="192"/>
    <tableColumn id="5" xr3:uid="{601B3FE2-C6FC-4A5C-8007-B7A425C4290C}" name="If the adult has been assessed for texture-modified Food, please record the level below" dataDxfId="191"/>
    <tableColumn id="20" xr3:uid="{742CECB7-E28B-4F68-A8BD-CBE42C7BDE56}" name="If the adult has been assessed for texture-modified Fluid, please record the level below" dataDxfId="190"/>
    <tableColumn id="10" xr3:uid="{7D3EA816-9433-4359-9E88-7357C143722C}" name="Is Action Required? (Yes/No)_x000a_(If Y, please complete Action Plan tab)" dataDxfId="189"/>
    <tableColumn id="14" xr3:uid="{CB2E1D27-9225-418D-A6E7-448D4FD9E865}" name="Date Care Plan &amp; Any Relevent Risk Assessments Last Updated" dataDxfId="188"/>
    <tableColumn id="11" xr3:uid="{1C4A2530-99F5-42E7-801F-18A59831DAED}" name="Comments" dataDxfId="187"/>
  </tableColumns>
  <tableStyleInfo name="TableStyleMedium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B0989E-C250-4CA5-AFB3-672E3D023867}" name="Nov" displayName="Nov" ref="B7:Y42" totalsRowShown="0" headerRowDxfId="186" dataDxfId="184" headerRowBorderDxfId="185" tableBorderDxfId="183" totalsRowBorderDxfId="182">
  <autoFilter ref="B7:Y42" xr:uid="{4DEA0907-8530-4155-AAD9-A3C736526587}"/>
  <tableColumns count="24">
    <tableColumn id="1" xr3:uid="{3027838E-0A10-4ABB-B680-A7EC4AFBA85F}" name="Name" dataDxfId="181"/>
    <tableColumn id="3" xr3:uid="{686D629A-24FD-4BCB-8973-DC0AA87CD9A0}" name="November Weight (kg)" dataDxfId="180"/>
    <tableColumn id="15" xr3:uid="{224B98F2-A081-4938-8B11-8919748A6622}" name="Date November Weight Taken" dataDxfId="179"/>
    <tableColumn id="4" xr3:uid="{9A264C58-5F7F-464E-B65B-B605DA449570}" name="November BMI (kg/m2)" dataDxfId="178">
      <calculatedColumnFormula>IF(Nov[[#This Row],[Name]]="","",Nov[[#This Row],[November Weight (kg)]]/(VLOOKUP(Nov[[#This Row],[Name]],Overview[],2,FALSE)/100)^2)</calculatedColumnFormula>
    </tableColumn>
    <tableColumn id="6" xr3:uid="{A9F5E3D6-15E1-428A-9B46-705CB6E83E2B}" name="Weight (kg) Difference Between Oct &amp; Nov" dataDxfId="177">
      <calculatedColumnFormula>IF(Nov[[#This Row],[Name]]="","",IF(VLOOKUP(Nov[[#This Row],[Name]],Overview[],18,FALSE)="","N/A",Nov[[#This Row],[November Weight (kg)]]-VLOOKUP(Nov[[#This Row],[Name]],Overview[],18,FALSE)))</calculatedColumnFormula>
    </tableColumn>
    <tableColumn id="12" xr3:uid="{21933E14-3BFA-4901-9968-048358B6AE07}" name="Weight (kg) Difference Between Oct &amp; Nov as %" dataDxfId="176" dataCellStyle="Percent">
      <calculatedColumnFormula>IF(Nov[[#This Row],[Name]]="","",IF(VLOOKUP(Nov[[#This Row],[Name]],Overview[],18,FALSE)="","N/A",(Nov[[#This Row],[November Weight (kg)]]-VLOOKUP(Nov[[#This Row],[Name]],Overview[],18,FALSE))/VLOOKUP(Nov[[#This Row],[Name]],Overview[],18,FALSE)))</calculatedColumnFormula>
    </tableColumn>
    <tableColumn id="2" xr3:uid="{80E9127F-5054-456C-A139-3088BCD2DCC4}" name="Highest Weight in the Past 3 - 6 Months" dataDxfId="175" dataCellStyle="Percent">
      <calculatedColumnFormula array="1">IF(Nov[[#This Row],[Name]]="","",IF(SUMPRODUCT((Overview[Name]=Nov[[#This Row],[Name]])*ISNUMBER(Overview[[May 
Weight (kg)]:[August 
Weight (kg) ]]))=0,"N/A",MAX(IF((Overview[Name]=Nov[[#This Row],[Name]])*ISNUMBER(Overview[[May 
Weight (kg)]:[August 
Weight (kg) ]]),Overview[[May 
Weight (kg)]:[August 
Weight (kg) ]]))))</calculatedColumnFormula>
    </tableColumn>
    <tableColumn id="7" xr3:uid="{161A2DA0-1C8A-4AB1-A9BD-D83024EC9B96}" name="Weight (kg) Difference from Highest Weight in Past 3 - 6 Months (Current Month - Highest Month)" dataDxfId="174">
      <calculatedColumnFormula>IF(Nov[[#This Row],[Name]]="","",IF(NOT(ISNUMBER(Nov[[#This Row],[Highest Weight in the Past 3 - 6 Months]])),"N/A",IF(Nov[[#This Row],[November Weight (kg)]]=Nov[[#This Row],[Highest Weight in the Past 3 - 6 Months]],0,Nov[[#This Row],[November Weight (kg)]]-Nov[[#This Row],[Highest Weight in the Past 3 - 6 Months]])))</calculatedColumnFormula>
    </tableColumn>
    <tableColumn id="8" xr3:uid="{C0B42135-76D1-48A7-B1E9-EADC5F07AEF6}" name="Weight (kg) Difference from Highest Weight in 3 - 6 months as %" dataDxfId="173" dataCellStyle="Percent">
      <calculatedColumnFormula>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calculatedColumnFormula>
    </tableColumn>
    <tableColumn id="22" xr3:uid="{80D2E26A-0D97-4E80-B151-8D9CE235A640}" name="Is the adults weight stable?_x000a_(Yes/No)" dataDxfId="172" dataCellStyle="Percent"/>
    <tableColumn id="16" xr3:uid="{F7E79DB0-4E2B-41DE-85A0-EA318B30933F}" name="If Weight has been lost, is this Planned? (Yes/No)" dataDxfId="171" dataCellStyle="Percent"/>
    <tableColumn id="13" xr3:uid="{AE12E952-FBB3-4F44-925E-CFAB36691995}" name="November MUST Score " dataDxfId="170" dataCellStyle="Percent">
      <calculatedColumnFormula>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calculatedColumnFormula>
    </tableColumn>
    <tableColumn id="18" xr3:uid="{2B609041-9AB3-4FE2-95BA-056F2F301F94}" name="November MUST Risk" dataDxfId="169" dataCellStyle="Percent">
      <calculatedColumnFormula>IF(Nov[[#This Row],[Name]]="","",IF(Nov[[#This Row],[November MUST Score ]]=0,"Low",IF(Nov[[#This Row],[November MUST Score ]]=1,"Medium","High")))</calculatedColumnFormula>
    </tableColumn>
    <tableColumn id="19" xr3:uid="{7E4C9F11-DA76-4AAA-8B39-F719DE3178F0}" name="Is this BMI/Weight/MUST typical for the adult? (Yes/No) " dataDxfId="168"/>
    <tableColumn id="17" xr3:uid="{1465B0A4-F2C4-414A-8CC3-8DFA8128A769}" name="If Yes, what would indicate a concern/is atypical for this adult?" dataDxfId="167"/>
    <tableColumn id="23" xr3:uid="{7299D485-ECEE-4D4E-A349-C902ADA2C70A}" name="Is there any explanation for BMI/Weight/MUST changes? _x000a_(Yes/No) " dataDxfId="166"/>
    <tableColumn id="24" xr3:uid="{5E826A27-8C29-4862-8685-FF88FF651E8B}" name="If Yes, please detail" dataDxfId="165"/>
    <tableColumn id="21" xr3:uid="{49682F92-55A2-4B0A-B9C1-CDA990759E42}" name="Is the adult on a special/fortified diet? _x000a_(e.g. cultural, dietary restrictions, fortified etc)_x000a_(Yes/No)" dataDxfId="164"/>
    <tableColumn id="9" xr3:uid="{29D4EA6C-DB4A-4064-9645-98CD7E74DC03}" name="If Yes, give details" dataDxfId="163"/>
    <tableColumn id="5" xr3:uid="{745FAD57-08B6-4293-9F79-BAF0146F1981}" name="If the adult has been assessed for texture-modified Food, please record the level below" dataDxfId="162"/>
    <tableColumn id="20" xr3:uid="{6AEEB1D4-1102-405E-8644-15589C4C764A}" name="If the adult has been assessed for texture-modified Fluid, please record the level below" dataDxfId="161"/>
    <tableColumn id="10" xr3:uid="{768261EA-FD85-47E2-8767-A44CD564C72A}" name="Is Action Required? (Yes/No)_x000a_(If Y, please complete Action Plan tab)" dataDxfId="160"/>
    <tableColumn id="14" xr3:uid="{5828AD93-FBA4-420F-B98E-0624A767E097}" name="Date Care Plan &amp; Any Relevent Risk Assessments Last Updated" dataDxfId="159"/>
    <tableColumn id="11" xr3:uid="{D37574DE-C4E5-492C-950D-ECA12EFDADFC}" name="Comments" dataDxfId="158"/>
  </tableColumns>
  <tableStyleInfo name="TableStyleMedium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9C29496-CDDE-43D4-8798-6404E3E03C58}" name="Dec" displayName="Dec" ref="B7:Y42" totalsRowShown="0" headerRowDxfId="157" dataDxfId="155" headerRowBorderDxfId="156" tableBorderDxfId="154" totalsRowBorderDxfId="153">
  <autoFilter ref="B7:Y42" xr:uid="{4DEA0907-8530-4155-AAD9-A3C736526587}"/>
  <tableColumns count="24">
    <tableColumn id="1" xr3:uid="{FC757E8D-0DBF-465A-B7A8-CCCE77C20E4E}" name="Name" dataDxfId="152"/>
    <tableColumn id="3" xr3:uid="{07058273-FD12-4197-816F-2AB107DE2167}" name="December Weight (kg)" dataDxfId="151"/>
    <tableColumn id="15" xr3:uid="{5C784BE4-49C1-4290-AA4F-43CD3F31570C}" name="Date December Weight Taken" dataDxfId="150"/>
    <tableColumn id="4" xr3:uid="{103B0BC4-0C70-4102-8049-61EB2CAECAB6}" name="December BMI (kg/m2)" dataDxfId="149">
      <calculatedColumnFormula>IF(Dec[[#This Row],[Name]]="","",Dec[[#This Row],[December Weight (kg)]]/(VLOOKUP(Dec[[#This Row],[Name]],Overview[],2,FALSE)/100)^2)</calculatedColumnFormula>
    </tableColumn>
    <tableColumn id="6" xr3:uid="{E2EA78A7-0CD9-41D2-AFDA-FDBF9C3E4604}" name="Weight (kg) Difference Between Nov &amp; Dec" dataDxfId="148">
      <calculatedColumnFormula>IF(Dec[[#This Row],[Name]]="","",IF(VLOOKUP(Dec[[#This Row],[Name]],Overview[],19,FALSE)="","N/A",Dec[[#This Row],[December Weight (kg)]]-VLOOKUP(Dec[[#This Row],[Name]],Overview[],19,FALSE)))</calculatedColumnFormula>
    </tableColumn>
    <tableColumn id="12" xr3:uid="{EB4320C0-0F80-461A-9E64-52739AB5DBA2}" name="Weight (kg) Difference Between Nov &amp; Dec as %" dataDxfId="147" dataCellStyle="Percent">
      <calculatedColumnFormula>IF(Dec[[#This Row],[Name]]="","",IF(VLOOKUP(Dec[[#This Row],[Name]],Overview[],19,FALSE)="","N/A",(Dec[[#This Row],[December Weight (kg)]]-VLOOKUP(Dec[[#This Row],[Name]],Overview[],19,FALSE))/VLOOKUP(Dec[[#This Row],[Name]],Overview[],19,FALSE)))</calculatedColumnFormula>
    </tableColumn>
    <tableColumn id="2" xr3:uid="{05511678-5D7F-474C-86C4-C680F793BE95}" name="Highest Weight in the Past 3 - 6 Months" dataDxfId="146" dataCellStyle="Percent">
      <calculatedColumnFormula array="1">IF(Dec[[#This Row],[Name]]="","",IF(SUMPRODUCT((Overview[Name]=Dec[[#This Row],[Name]])*ISNUMBER(Overview[[June 
Weight (kg)]:[September Weight (kg) ]]))=0,"N/A",MAX(IF((Overview[Name]=Dec[[#This Row],[Name]])*ISNUMBER(Overview[[June 
Weight (kg)]:[September Weight (kg) ]]),Overview[[June 
Weight (kg)]:[September Weight (kg) ]]))))</calculatedColumnFormula>
    </tableColumn>
    <tableColumn id="7" xr3:uid="{C2304ADA-D760-4981-8C93-DF1454DD616C}" name="Weight (kg) Difference from Highest Weight in Past 3 - 6 Months (Current Month - Highest Month)" dataDxfId="145">
      <calculatedColumnFormula>IF(Dec[[#This Row],[Name]]="","",IF(NOT(ISNUMBER(Dec[[#This Row],[Highest Weight in the Past 3 - 6 Months]])),"N/A",IF(Dec[[#This Row],[December Weight (kg)]]=Dec[[#This Row],[Highest Weight in the Past 3 - 6 Months]],0,Dec[[#This Row],[December Weight (kg)]]-Dec[[#This Row],[Highest Weight in the Past 3 - 6 Months]])))</calculatedColumnFormula>
    </tableColumn>
    <tableColumn id="8" xr3:uid="{6B7AD97C-1590-4690-BAAE-D92C8A376EEA}" name="Weight (kg) Difference from Highest Weight in 3 - 6 months as %" dataDxfId="144" dataCellStyle="Percent">
      <calculatedColumnFormula>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calculatedColumnFormula>
    </tableColumn>
    <tableColumn id="22" xr3:uid="{ABCC6D81-AE8A-46E3-A37B-7866B0DE3A29}" name="Is the adults weight stable?_x000a_(Yes/No)" dataDxfId="143" dataCellStyle="Percent"/>
    <tableColumn id="16" xr3:uid="{9CFA3DFF-5F11-4E95-8D89-AC375D52B332}" name="If Weight has been lost, is this Planned? (Yes/No)" dataDxfId="142" dataCellStyle="Percent"/>
    <tableColumn id="13" xr3:uid="{0D205C41-0F4B-49C0-ADE0-B6CE4ED008C0}" name="December MUST Score " dataDxfId="141" dataCellStyle="Percent">
      <calculatedColumnFormula>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calculatedColumnFormula>
    </tableColumn>
    <tableColumn id="18" xr3:uid="{FBB10780-1AAB-48DA-BA5A-075D8EC1073A}" name="December MUST Risk" dataDxfId="140" dataCellStyle="Percent">
      <calculatedColumnFormula>IF(Dec[[#This Row],[Name]]="","",IF(Dec[[#This Row],[December MUST Score ]]=0,"Low",IF(Dec[[#This Row],[December MUST Score ]]=1,"Medium","High")))</calculatedColumnFormula>
    </tableColumn>
    <tableColumn id="19" xr3:uid="{46D66E76-4AD1-4BC1-B627-456A33F10CE1}" name="Is this BMI/Weight/MUST typical for the adult? (Yes/No) " dataDxfId="139"/>
    <tableColumn id="17" xr3:uid="{3C7DCBD8-7956-4085-AE18-A61369EB3224}" name="If Yes, what would indicate a concern/is atypical for this adult?" dataDxfId="138"/>
    <tableColumn id="23" xr3:uid="{40DF0951-9C75-4329-A5EB-18F1176A09DD}" name="Is there any explanation for BMI/Weight/MUST changes? _x000a_(Yes/No) " dataDxfId="137"/>
    <tableColumn id="24" xr3:uid="{A3ED90C0-9DE5-4D95-93DE-3DBE8E6367BE}" name="If Yes, please detail" dataDxfId="136"/>
    <tableColumn id="21" xr3:uid="{6255F0D9-5E92-4058-B48E-F64847A0C5E9}" name="Is the adult on a special/fortified diet? _x000a_(e.g. cultural, dietary restrictions, fortified etc)_x000a_(Yes/No)" dataDxfId="135"/>
    <tableColumn id="9" xr3:uid="{67B0AC53-8B93-4502-809B-CDC56B7271D4}" name="If Yes, give details" dataDxfId="134"/>
    <tableColumn id="5" xr3:uid="{4FFF5689-ABCA-4DBA-BD3C-DF136ADFDD8F}" name="If the adult has been assessed for texture-modified Food, please record the level below" dataDxfId="133"/>
    <tableColumn id="20" xr3:uid="{27C776FC-54A3-4349-8D4D-26589DF115DB}" name="If the adult has been assessed for texture-modified Fluid, please record the level below" dataDxfId="132"/>
    <tableColumn id="10" xr3:uid="{CF58B6A7-227C-4D1B-B022-9805380B3F58}" name="Is Action Required? (Yes/No)_x000a_(If Y, please complete Action Plan tab)" dataDxfId="131"/>
    <tableColumn id="14" xr3:uid="{5521F2C3-2E6F-4239-999B-810F93BB6880}" name="Date Care Plan &amp; Any Relevent Risk Assessments Last Updated" dataDxfId="130"/>
    <tableColumn id="11" xr3:uid="{A57E570B-DCF2-4F42-885D-565D0902A083}" name="Comments" dataDxfId="129"/>
  </tableColumns>
  <tableStyleInfo name="TableStyleMedium2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1271D1-5076-4BDA-B72F-C25E912954AF}" name="Table1" displayName="Table1" ref="B7:K35" totalsRowShown="0" headerRowDxfId="128" dataDxfId="126" headerRowBorderDxfId="127" tableBorderDxfId="125" totalsRowBorderDxfId="124">
  <autoFilter ref="B7:K35" xr:uid="{471271D1-5076-4BDA-B72F-C25E912954AF}"/>
  <tableColumns count="10">
    <tableColumn id="1" xr3:uid="{2C2632F4-9287-45B9-BA0B-C63E4DBA87E2}" name="Adults Name" dataDxfId="123"/>
    <tableColumn id="2" xr3:uid="{34707660-3482-4A27-9789-77F55156AC78}" name="What Month Triggered Action?" dataDxfId="122"/>
    <tableColumn id="3" xr3:uid="{A19A006B-3249-49E3-9A34-319F725B1D30}" name="Date Identified " dataDxfId="121"/>
    <tableColumn id="4" xr3:uid="{F27053A0-5AC9-4339-BD51-B0D7D085A842}" name="Actions Taken_x000a_(e.g. Documentation reveiwed, meals observed, ensured fortified/special accomdations provided as expected etc.)" dataDxfId="120"/>
    <tableColumn id="5" xr3:uid="{B444F6AD-0B26-4D3B-87E4-F1F6EA0B373C}" name="Responsible Person" dataDxfId="119"/>
    <tableColumn id="6" xr3:uid="{1BA74173-57CA-4399-A3C1-134DC4B89E33}" name="Date Action Completed " dataDxfId="118"/>
    <tableColumn id="7" xr3:uid="{3DB2E075-8EC2-4CA6-BFE7-10376A19983E}" name="Was Improvement Seen Following Action? (Y/N)" dataDxfId="117"/>
    <tableColumn id="8" xr3:uid="{DD961158-C1DB-4072-BCBC-FD400A05B457}" name="Details of results seen following action:" dataDxfId="116"/>
    <tableColumn id="9" xr3:uid="{5A7E995B-7FBA-4AFA-9742-135D58EC391A}" name="Was further action required? (Y/N) _x000a_(If Y, detail in new row)" dataDxfId="115"/>
    <tableColumn id="10" xr3:uid="{18E97DA2-C363-47D1-899E-0864CD9C7E9A}" name="Date Action Reviewed" dataDxfId="114"/>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021C98C-333A-4DDF-A50E-3FEE90719D37}" name="Table15" displayName="Table15" ref="B6:Z22" totalsRowShown="0" headerRowDxfId="113" dataDxfId="111" headerRowBorderDxfId="112" tableBorderDxfId="110" totalsRowBorderDxfId="109">
  <autoFilter ref="B6:Z22" xr:uid="{D021C98C-333A-4DDF-A50E-3FEE90719D37}"/>
  <tableColumns count="25">
    <tableColumn id="1" xr3:uid="{6C31B5CC-C671-481F-AE22-67D1DD8C86DD}" name="Month" dataDxfId="108"/>
    <tableColumn id="2" xr3:uid="{1965D2FF-9973-4400-87C5-B33A2EF0DE00}" name="Total Number of Adults Weighed " dataDxfId="107">
      <calculatedColumnFormula>COUNTA(Jan[Name])</calculatedColumnFormula>
    </tableColumn>
    <tableColumn id="3" xr3:uid="{BAB69205-038F-43D6-8DFB-83EC60D15A4B}" name="Number of Adults with a BMI Over 20" dataDxfId="106">
      <calculatedColumnFormula>COUNTIF(Jan[January BMI (kg/m2)],"&gt;20")</calculatedColumnFormula>
    </tableColumn>
    <tableColumn id="4" xr3:uid="{D9531673-9D71-4995-BB6E-23D9CFFBFDB3}" name="Number of Adults with a BMI Between 18.5 &amp; 20" dataDxfId="105">
      <calculatedColumnFormula>COUNTIFS(Jan[January BMI (kg/m2)], "&gt;=18.5", Jan[January BMI (kg/m2)], "&lt;=20")</calculatedColumnFormula>
    </tableColumn>
    <tableColumn id="5" xr3:uid="{85B9615C-CB99-4E7A-9A5B-CDC8AF67829A}" name="Number of Adults with a BMI Under 18.5" dataDxfId="104">
      <calculatedColumnFormula>COUNTIF(Jan[January BMI (kg/m2)],"&lt;18.5")</calculatedColumnFormula>
    </tableColumn>
    <tableColumn id="6" xr3:uid="{D0B51F82-63DA-4DB0-97AB-F65E0F4E94B5}" name="Number of Adults with a MUST Score of 0" dataDxfId="103">
      <calculatedColumnFormula>COUNTIF(Jan[[January MUST Score ]],"0")</calculatedColumnFormula>
    </tableColumn>
    <tableColumn id="7" xr3:uid="{5431CE77-717F-45FD-B856-FA083636C03D}" name="Number of Adults with a MUST Score of  1" dataDxfId="102">
      <calculatedColumnFormula>COUNTIF(Jan[[January MUST Score ]],"1")</calculatedColumnFormula>
    </tableColumn>
    <tableColumn id="8" xr3:uid="{AA090960-DD79-43E7-9B22-2FB6ACBC3499}" name="Number of Adults with a MUST Score of 2 or more" dataDxfId="101">
      <calculatedColumnFormula>COUNTIF(Jan[[January MUST Score ]],"&gt;1")</calculatedColumnFormula>
    </tableColumn>
    <tableColumn id="9" xr3:uid="{6407BC54-90BB-48F2-9E4E-B63224BA2889}" name="Number of Adults with Special/Fortifed Diet" dataDxfId="6">
      <calculatedColumnFormula>COUNTIF(Jan[Is the adult on a special/fortified diet? (e.g. cultural, dietary restrictions, fortified etc) (Yes/No)],"Yes")</calculatedColumnFormula>
    </tableColumn>
    <tableColumn id="10" xr3:uid="{040328A1-AF35-4F30-9B4A-FDDC6E30B957}" name="Number of Adults with Texture-Modified Food " dataDxfId="5">
      <calculatedColumnFormula>COUNTIF(Jan[If the adult has been assessed for texture-modified Food, please record the level below],"")</calculatedColumnFormula>
    </tableColumn>
    <tableColumn id="11" xr3:uid="{644F06B0-66E3-4A41-88D0-DE4EFF19176F}" name="Number of Adults with Texture-Modified Fluid" dataDxfId="4">
      <calculatedColumnFormula array="1">SUMPRODUCT(COUNTIF(Jan[If the adult has been assessed for texture-modified Fluid, please record the level below],Validation!$A$33:$A$37))</calculatedColumnFormula>
    </tableColumn>
    <tableColumn id="12" xr3:uid="{96B8F030-7818-42D1-8F74-1D20B0CCFB7F}" name="Total Number of Adults with Unplanned Weight Loss" dataDxfId="100">
      <calculatedColumnFormula>COUNTIFS(Jan[If Weight has been lost, is this Planned? (Yes/No)],"No",Jan[Name],"&lt;&gt;")</calculatedColumnFormula>
    </tableColumn>
    <tableColumn id="13" xr3:uid="{ECA9281D-6CF5-4BC9-B5FE-573CC9CAC431}" name="Number of those under 5% " dataDxfId="99">
      <calculatedColumnFormula>COUNTIFS(Jan[Name],"&lt;&gt;",Jan[If Weight has been lost, is this Planned? (Yes/No)],"No",Jan[Weight (kg) Difference from Highest Weight in 3 - 6 months as %],"&lt;0",Jan[Weight (kg) Difference from Highest Weight in 3 - 6 months as %],"&gt;=-0.05")</calculatedColumnFormula>
    </tableColumn>
    <tableColumn id="14" xr3:uid="{1D2D7FD5-EE3A-4543-8D56-258EBA64CF36}" name="Number of those between 5% &amp; 10%" dataDxfId="98">
      <calculatedColumnFormula>COUNTIFS(Jan[Name],"&lt;&gt;",Jan[If Weight has been lost, is this Planned? (Yes/No)],"No",Jan[Weight (kg) Difference from Highest Weight in 3 - 6 months as %],"&lt;=-0.05",Jan[Weight (kg) Difference from Highest Weight in 3 - 6 months as %],"&gt;-0.10")</calculatedColumnFormula>
    </tableColumn>
    <tableColumn id="15" xr3:uid="{086868F2-4BBB-4B90-9EC1-B70567E8189A}" name="Number of those Over 10%" dataDxfId="97"/>
    <tableColumn id="16" xr3:uid="{C0B52C3E-E462-40E3-AF2C-28E293A1AD0D}" name="How many have  Special/Fortifed Diet" dataDxfId="96"/>
    <tableColumn id="17" xr3:uid="{F4E231E3-9917-4A67-93AC-E77E1F4443A5}" name="How many have Texture-Modified Food" dataDxfId="95"/>
    <tableColumn id="18" xr3:uid="{3A19B29F-0AD5-412B-9349-E594AFA47681}" name="How many have Texture-Modified Fluid" dataDxfId="94"/>
    <tableColumn id="19" xr3:uid="{7E066768-9ADC-4B4C-9371-8BC02BD84C6C}" name="How many have  Special/Fortifed Diet " dataDxfId="93"/>
    <tableColumn id="20" xr3:uid="{CBD25D17-633E-4229-8307-96106901667E}" name="How many have Texture-Modified Food " dataDxfId="92"/>
    <tableColumn id="21" xr3:uid="{8C824F9C-3CC3-4D5F-B553-73896E93EC60}" name="How many have Texture-Modified Fluid " dataDxfId="91"/>
    <tableColumn id="22" xr3:uid="{F7AA0026-F599-4518-B736-EDD1B6C97D01}" name="Are there any known considerations to be aware of that may have an effect on any weight loss seen?_x000a_(Change of kitchen staff, menu, appitite, weather etc) " dataDxfId="3"/>
    <tableColumn id="23" xr3:uid="{83051D44-52A6-4698-BC49-0AE8A9EC4774}" name="What trends have been identied in any overall weight loss seen?" dataDxfId="2"/>
    <tableColumn id="24" xr3:uid="{DD4C65A0-1C0C-403D-91C1-0757ED0398EC}" name="What actions have been identifed as needed, to address any trends noted for unplanned weight loss" dataDxfId="1"/>
    <tableColumn id="25" xr3:uid="{BE0FF9AA-8762-4919-BAF0-B43B4D5589AD}" name="If last months/quarter trend anayslis had actions identifed, review these and comment on if they have had an effect or if further action is neede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bapen.org.uk/must-and-self-screening/introducing-mu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DB81A-6BB6-4DA4-B645-A4FEB1455484}">
  <dimension ref="B1:J25"/>
  <sheetViews>
    <sheetView tabSelected="1" workbookViewId="0">
      <selection activeCell="A3" sqref="A3"/>
    </sheetView>
  </sheetViews>
  <sheetFormatPr defaultRowHeight="15" x14ac:dyDescent="0.25"/>
  <cols>
    <col min="3" max="3" width="40.7109375" customWidth="1"/>
    <col min="4" max="5" width="7.7109375" customWidth="1"/>
    <col min="6" max="6" width="12.7109375" customWidth="1"/>
    <col min="7" max="8" width="7.7109375" customWidth="1"/>
    <col min="9" max="9" width="40.7109375" customWidth="1"/>
    <col min="10" max="10" width="6.7109375" customWidth="1"/>
  </cols>
  <sheetData>
    <row r="1" spans="2:10" ht="15.75" thickBot="1" x14ac:dyDescent="0.3"/>
    <row r="2" spans="2:10" ht="15.75" thickBot="1" x14ac:dyDescent="0.3">
      <c r="B2" s="245" t="s">
        <v>244</v>
      </c>
      <c r="C2" s="246"/>
      <c r="D2" s="246"/>
      <c r="E2" s="246"/>
      <c r="F2" s="246"/>
      <c r="G2" s="246"/>
      <c r="H2" s="246"/>
      <c r="I2" s="246"/>
      <c r="J2" s="247"/>
    </row>
    <row r="3" spans="2:10" ht="39" customHeight="1" thickBot="1" x14ac:dyDescent="0.3">
      <c r="B3" s="223">
        <v>1</v>
      </c>
      <c r="C3" s="228" t="s">
        <v>243</v>
      </c>
      <c r="D3" s="229"/>
      <c r="E3" s="229"/>
      <c r="F3" s="229"/>
      <c r="G3" s="229"/>
      <c r="H3" s="229"/>
      <c r="I3" s="230" t="str">
        <f>HYPERLINK(Validation!A41,Validation!A42)</f>
        <v>BAPEN</v>
      </c>
      <c r="J3" s="231"/>
    </row>
    <row r="4" spans="2:10" ht="45.75" customHeight="1" thickBot="1" x14ac:dyDescent="0.3">
      <c r="B4" s="222">
        <v>2</v>
      </c>
      <c r="C4" s="255" t="s">
        <v>245</v>
      </c>
      <c r="D4" s="255"/>
      <c r="E4" s="255"/>
      <c r="F4" s="255"/>
      <c r="G4" s="255"/>
      <c r="H4" s="255"/>
      <c r="I4" s="255"/>
      <c r="J4" s="256"/>
    </row>
    <row r="5" spans="2:10" ht="156" customHeight="1" thickBot="1" x14ac:dyDescent="0.3">
      <c r="B5" s="224">
        <v>3</v>
      </c>
      <c r="C5" s="253" t="s">
        <v>236</v>
      </c>
      <c r="D5" s="253"/>
      <c r="E5" s="253"/>
      <c r="F5" s="253"/>
      <c r="G5" s="253"/>
      <c r="H5" s="253"/>
      <c r="I5" s="253"/>
      <c r="J5" s="254"/>
    </row>
    <row r="6" spans="2:10" ht="114" customHeight="1" thickBot="1" x14ac:dyDescent="0.3">
      <c r="B6" s="222">
        <v>4</v>
      </c>
      <c r="C6" s="255" t="s">
        <v>239</v>
      </c>
      <c r="D6" s="255"/>
      <c r="E6" s="255"/>
      <c r="F6" s="255"/>
      <c r="G6" s="255"/>
      <c r="H6" s="255"/>
      <c r="I6" s="255"/>
      <c r="J6" s="256"/>
    </row>
    <row r="7" spans="2:10" ht="357" customHeight="1" thickBot="1" x14ac:dyDescent="0.3">
      <c r="B7" s="224">
        <v>5</v>
      </c>
      <c r="C7" s="253" t="s">
        <v>238</v>
      </c>
      <c r="D7" s="253"/>
      <c r="E7" s="253"/>
      <c r="F7" s="253"/>
      <c r="G7" s="253"/>
      <c r="H7" s="253"/>
      <c r="I7" s="253"/>
      <c r="J7" s="254"/>
    </row>
    <row r="8" spans="2:10" ht="194.25" customHeight="1" thickBot="1" x14ac:dyDescent="0.3">
      <c r="B8" s="222">
        <v>6</v>
      </c>
      <c r="C8" s="255" t="s">
        <v>237</v>
      </c>
      <c r="D8" s="255"/>
      <c r="E8" s="255"/>
      <c r="F8" s="255"/>
      <c r="G8" s="255"/>
      <c r="H8" s="255"/>
      <c r="I8" s="255"/>
      <c r="J8" s="256"/>
    </row>
    <row r="9" spans="2:10" ht="96" customHeight="1" thickBot="1" x14ac:dyDescent="0.3">
      <c r="B9" s="224">
        <v>7</v>
      </c>
      <c r="C9" s="253" t="s">
        <v>174</v>
      </c>
      <c r="D9" s="253"/>
      <c r="E9" s="253"/>
      <c r="F9" s="253"/>
      <c r="G9" s="253"/>
      <c r="H9" s="253"/>
      <c r="I9" s="253"/>
      <c r="J9" s="254"/>
    </row>
    <row r="10" spans="2:10" ht="21" customHeight="1" x14ac:dyDescent="0.25">
      <c r="B10" s="232">
        <v>8</v>
      </c>
      <c r="C10" s="251" t="s">
        <v>41</v>
      </c>
      <c r="D10" s="251"/>
      <c r="E10" s="251"/>
      <c r="F10" s="251"/>
      <c r="G10" s="251"/>
      <c r="H10" s="251"/>
      <c r="I10" s="251"/>
      <c r="J10" s="252"/>
    </row>
    <row r="11" spans="2:10" ht="21" customHeight="1" x14ac:dyDescent="0.25">
      <c r="B11" s="233"/>
      <c r="C11" s="272" t="s">
        <v>38</v>
      </c>
      <c r="D11" s="272"/>
      <c r="E11" s="272"/>
      <c r="F11" s="281" t="s">
        <v>39</v>
      </c>
      <c r="G11" s="281"/>
      <c r="H11" s="279" t="s">
        <v>40</v>
      </c>
      <c r="I11" s="279"/>
      <c r="J11" s="280"/>
    </row>
    <row r="12" spans="2:10" x14ac:dyDescent="0.25">
      <c r="B12" s="233"/>
      <c r="C12" s="258" t="s">
        <v>46</v>
      </c>
      <c r="D12" s="258"/>
      <c r="E12" s="217" t="s">
        <v>42</v>
      </c>
      <c r="F12" s="281"/>
      <c r="G12" s="281"/>
      <c r="H12" s="278" t="s">
        <v>50</v>
      </c>
      <c r="I12" s="278"/>
      <c r="J12" s="218" t="s">
        <v>42</v>
      </c>
    </row>
    <row r="13" spans="2:10" x14ac:dyDescent="0.25">
      <c r="B13" s="233"/>
      <c r="C13" s="258" t="s">
        <v>45</v>
      </c>
      <c r="D13" s="258"/>
      <c r="E13" s="219" t="s">
        <v>43</v>
      </c>
      <c r="F13" s="281"/>
      <c r="G13" s="281"/>
      <c r="H13" s="278" t="s">
        <v>49</v>
      </c>
      <c r="I13" s="278"/>
      <c r="J13" s="218" t="s">
        <v>43</v>
      </c>
    </row>
    <row r="14" spans="2:10" ht="15.75" thickBot="1" x14ac:dyDescent="0.3">
      <c r="B14" s="234"/>
      <c r="C14" s="259" t="s">
        <v>47</v>
      </c>
      <c r="D14" s="259"/>
      <c r="E14" s="220" t="s">
        <v>44</v>
      </c>
      <c r="F14" s="282"/>
      <c r="G14" s="282"/>
      <c r="H14" s="259" t="s">
        <v>48</v>
      </c>
      <c r="I14" s="259"/>
      <c r="J14" s="221" t="s">
        <v>44</v>
      </c>
    </row>
    <row r="15" spans="2:10" ht="30.75" customHeight="1" x14ac:dyDescent="0.25">
      <c r="B15" s="257">
        <v>9</v>
      </c>
      <c r="C15" s="248" t="s">
        <v>175</v>
      </c>
      <c r="D15" s="249"/>
      <c r="E15" s="249"/>
      <c r="F15" s="249"/>
      <c r="G15" s="249"/>
      <c r="H15" s="249"/>
      <c r="I15" s="249"/>
      <c r="J15" s="250"/>
    </row>
    <row r="16" spans="2:10" ht="21" customHeight="1" x14ac:dyDescent="0.25">
      <c r="B16" s="257"/>
      <c r="C16" s="273" t="s">
        <v>54</v>
      </c>
      <c r="D16" s="274"/>
      <c r="E16" s="283" t="s">
        <v>51</v>
      </c>
      <c r="F16" s="285"/>
      <c r="G16" s="285"/>
      <c r="H16" s="286"/>
      <c r="I16" s="283" t="s">
        <v>52</v>
      </c>
      <c r="J16" s="284"/>
    </row>
    <row r="17" spans="2:10" x14ac:dyDescent="0.25">
      <c r="B17" s="257"/>
      <c r="C17" s="260">
        <v>0</v>
      </c>
      <c r="D17" s="261"/>
      <c r="E17" s="295" t="s">
        <v>17</v>
      </c>
      <c r="F17" s="296"/>
      <c r="G17" s="296"/>
      <c r="H17" s="297"/>
      <c r="I17" s="270" t="s">
        <v>56</v>
      </c>
      <c r="J17" s="271"/>
    </row>
    <row r="18" spans="2:10" x14ac:dyDescent="0.25">
      <c r="B18" s="257"/>
      <c r="C18" s="266">
        <v>1</v>
      </c>
      <c r="D18" s="267"/>
      <c r="E18" s="292" t="s">
        <v>55</v>
      </c>
      <c r="F18" s="293"/>
      <c r="G18" s="293"/>
      <c r="H18" s="294"/>
      <c r="I18" s="264" t="s">
        <v>57</v>
      </c>
      <c r="J18" s="265"/>
    </row>
    <row r="19" spans="2:10" ht="15.75" thickBot="1" x14ac:dyDescent="0.3">
      <c r="B19" s="257"/>
      <c r="C19" s="268" t="s">
        <v>53</v>
      </c>
      <c r="D19" s="269"/>
      <c r="E19" s="289" t="s">
        <v>21</v>
      </c>
      <c r="F19" s="290"/>
      <c r="G19" s="290"/>
      <c r="H19" s="291"/>
      <c r="I19" s="262" t="s">
        <v>58</v>
      </c>
      <c r="J19" s="263"/>
    </row>
    <row r="20" spans="2:10" ht="31.5" customHeight="1" x14ac:dyDescent="0.25">
      <c r="B20" s="232">
        <v>10</v>
      </c>
      <c r="C20" s="298" t="s">
        <v>240</v>
      </c>
      <c r="D20" s="299"/>
      <c r="E20" s="299"/>
      <c r="F20" s="299"/>
      <c r="G20" s="299"/>
      <c r="H20" s="299"/>
      <c r="I20" s="299"/>
      <c r="J20" s="300"/>
    </row>
    <row r="21" spans="2:10" x14ac:dyDescent="0.25">
      <c r="B21" s="233"/>
      <c r="C21" s="227" t="s">
        <v>17</v>
      </c>
      <c r="D21" s="237" t="s">
        <v>246</v>
      </c>
      <c r="E21" s="237"/>
      <c r="F21" s="238" t="s">
        <v>248</v>
      </c>
      <c r="G21" s="238"/>
      <c r="H21" s="238"/>
      <c r="I21" s="238"/>
      <c r="J21" s="239"/>
    </row>
    <row r="22" spans="2:10" ht="60" customHeight="1" x14ac:dyDescent="0.25">
      <c r="B22" s="233"/>
      <c r="C22" s="226" t="s">
        <v>16</v>
      </c>
      <c r="D22" s="236" t="s">
        <v>247</v>
      </c>
      <c r="E22" s="236"/>
      <c r="F22" s="240" t="s">
        <v>249</v>
      </c>
      <c r="G22" s="240"/>
      <c r="H22" s="240"/>
      <c r="I22" s="240"/>
      <c r="J22" s="241"/>
    </row>
    <row r="23" spans="2:10" ht="99" customHeight="1" thickBot="1" x14ac:dyDescent="0.3">
      <c r="B23" s="234"/>
      <c r="C23" s="225" t="s">
        <v>21</v>
      </c>
      <c r="D23" s="235" t="s">
        <v>250</v>
      </c>
      <c r="E23" s="235"/>
      <c r="F23" s="242" t="s">
        <v>251</v>
      </c>
      <c r="G23" s="243"/>
      <c r="H23" s="243"/>
      <c r="I23" s="243"/>
      <c r="J23" s="244"/>
    </row>
    <row r="24" spans="2:10" ht="45" customHeight="1" thickBot="1" x14ac:dyDescent="0.3">
      <c r="B24" s="216">
        <v>11</v>
      </c>
      <c r="C24" s="287" t="s">
        <v>252</v>
      </c>
      <c r="D24" s="287"/>
      <c r="E24" s="287"/>
      <c r="F24" s="287"/>
      <c r="G24" s="287"/>
      <c r="H24" s="287"/>
      <c r="I24" s="287"/>
      <c r="J24" s="288"/>
    </row>
    <row r="25" spans="2:10" ht="366" customHeight="1" thickBot="1" x14ac:dyDescent="0.3">
      <c r="B25" s="215">
        <v>12</v>
      </c>
      <c r="C25" s="275" t="s">
        <v>253</v>
      </c>
      <c r="D25" s="276"/>
      <c r="E25" s="276"/>
      <c r="F25" s="276"/>
      <c r="G25" s="276"/>
      <c r="H25" s="276"/>
      <c r="I25" s="276"/>
      <c r="J25" s="277"/>
    </row>
  </sheetData>
  <mergeCells count="44">
    <mergeCell ref="C25:J25"/>
    <mergeCell ref="H12:I12"/>
    <mergeCell ref="H11:J11"/>
    <mergeCell ref="F11:G14"/>
    <mergeCell ref="I16:J16"/>
    <mergeCell ref="E16:H16"/>
    <mergeCell ref="H14:I14"/>
    <mergeCell ref="H13:I13"/>
    <mergeCell ref="C24:J24"/>
    <mergeCell ref="E19:H19"/>
    <mergeCell ref="E18:H18"/>
    <mergeCell ref="E17:H17"/>
    <mergeCell ref="C20:J20"/>
    <mergeCell ref="B2:J2"/>
    <mergeCell ref="C15:J15"/>
    <mergeCell ref="C10:J10"/>
    <mergeCell ref="C9:J9"/>
    <mergeCell ref="C8:J8"/>
    <mergeCell ref="C7:J7"/>
    <mergeCell ref="C6:J6"/>
    <mergeCell ref="B15:B19"/>
    <mergeCell ref="B10:B14"/>
    <mergeCell ref="C12:D12"/>
    <mergeCell ref="C13:D13"/>
    <mergeCell ref="C14:D14"/>
    <mergeCell ref="C17:D17"/>
    <mergeCell ref="I19:J19"/>
    <mergeCell ref="I18:J18"/>
    <mergeCell ref="C18:D18"/>
    <mergeCell ref="C3:H3"/>
    <mergeCell ref="I3:J3"/>
    <mergeCell ref="B20:B23"/>
    <mergeCell ref="D23:E23"/>
    <mergeCell ref="D22:E22"/>
    <mergeCell ref="D21:E21"/>
    <mergeCell ref="F21:J21"/>
    <mergeCell ref="F22:J22"/>
    <mergeCell ref="F23:J23"/>
    <mergeCell ref="C5:J5"/>
    <mergeCell ref="C4:J4"/>
    <mergeCell ref="C19:D19"/>
    <mergeCell ref="I17:J17"/>
    <mergeCell ref="C11:E11"/>
    <mergeCell ref="C16:D1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7AB9-4979-4F55-A5EE-250577675170}">
  <dimension ref="B1:U38"/>
  <sheetViews>
    <sheetView zoomScaleNormal="100" workbookViewId="0">
      <selection activeCell="B4" sqref="B4"/>
    </sheetView>
  </sheetViews>
  <sheetFormatPr defaultRowHeight="15" x14ac:dyDescent="0.25"/>
  <cols>
    <col min="1" max="1" width="1.7109375" style="1" customWidth="1"/>
    <col min="2" max="2" width="30.28515625" style="1" customWidth="1"/>
    <col min="3" max="3" width="17.140625" style="1" customWidth="1"/>
    <col min="4" max="9" width="15.28515625" style="81" customWidth="1"/>
    <col min="10" max="21" width="15.28515625" style="1" customWidth="1"/>
    <col min="22" max="16384" width="9.140625" style="1"/>
  </cols>
  <sheetData>
    <row r="1" spans="2:21" ht="15.75" thickBot="1" x14ac:dyDescent="0.3"/>
    <row r="2" spans="2:21" ht="15.75" thickBot="1" x14ac:dyDescent="0.3">
      <c r="B2" s="307" t="s">
        <v>92</v>
      </c>
      <c r="C2" s="308"/>
      <c r="D2" s="301" t="s">
        <v>93</v>
      </c>
      <c r="E2" s="302"/>
      <c r="F2" s="302"/>
      <c r="G2" s="302"/>
      <c r="H2" s="302"/>
      <c r="I2" s="303"/>
      <c r="J2" s="304" t="s">
        <v>94</v>
      </c>
      <c r="K2" s="305"/>
      <c r="L2" s="305"/>
      <c r="M2" s="305"/>
      <c r="N2" s="305"/>
      <c r="O2" s="305"/>
      <c r="P2" s="305"/>
      <c r="Q2" s="305"/>
      <c r="R2" s="305"/>
      <c r="S2" s="305"/>
      <c r="T2" s="305"/>
      <c r="U2" s="306"/>
    </row>
    <row r="3" spans="2:21" ht="30.75" thickBot="1" x14ac:dyDescent="0.3">
      <c r="B3" s="168" t="s">
        <v>0</v>
      </c>
      <c r="C3" s="169" t="s">
        <v>37</v>
      </c>
      <c r="D3" s="135" t="s">
        <v>179</v>
      </c>
      <c r="E3" s="135" t="s">
        <v>186</v>
      </c>
      <c r="F3" s="135" t="s">
        <v>101</v>
      </c>
      <c r="G3" s="135" t="s">
        <v>185</v>
      </c>
      <c r="H3" s="135" t="s">
        <v>99</v>
      </c>
      <c r="I3" s="135" t="s">
        <v>167</v>
      </c>
      <c r="J3" s="136" t="s">
        <v>187</v>
      </c>
      <c r="K3" s="137" t="s">
        <v>96</v>
      </c>
      <c r="L3" s="137" t="s">
        <v>180</v>
      </c>
      <c r="M3" s="137" t="s">
        <v>181</v>
      </c>
      <c r="N3" s="137" t="s">
        <v>182</v>
      </c>
      <c r="O3" s="137" t="s">
        <v>183</v>
      </c>
      <c r="P3" s="137" t="s">
        <v>184</v>
      </c>
      <c r="Q3" s="137" t="s">
        <v>188</v>
      </c>
      <c r="R3" s="137" t="s">
        <v>176</v>
      </c>
      <c r="S3" s="137" t="s">
        <v>189</v>
      </c>
      <c r="T3" s="137" t="s">
        <v>177</v>
      </c>
      <c r="U3" s="138" t="s">
        <v>178</v>
      </c>
    </row>
    <row r="4" spans="2:21" x14ac:dyDescent="0.25">
      <c r="B4" s="164"/>
      <c r="C4" s="165"/>
      <c r="D4" s="139"/>
      <c r="E4" s="140"/>
      <c r="F4" s="141"/>
      <c r="G4" s="140"/>
      <c r="H4" s="141"/>
      <c r="I4" s="142"/>
      <c r="J4" s="143" t="str">
        <f>IF(Overview[[#This Row],[Name]]="","",_xlfn.XLOOKUP(Overview[[#This Row],[Name]],Jan!B:B,Jan!C:C,""))</f>
        <v/>
      </c>
      <c r="K4" s="144" t="str">
        <f>IF(Overview[[#This Row],[Name]]="","",_xlfn.XLOOKUP(Overview[[#This Row],[Name]],Feb!B:B,Feb!C:C,""))</f>
        <v/>
      </c>
      <c r="L4" s="144" t="str">
        <f>IF(Overview[[#This Row],[Name]]="","",_xlfn.XLOOKUP(Overview[[#This Row],[Name]],Mar!B:B,Mar!C:C,""))</f>
        <v/>
      </c>
      <c r="M4" s="144" t="str">
        <f>IF(Overview[[#This Row],[Name]]="","",_xlfn.XLOOKUP(Overview[[#This Row],[Name]],Apr!B:B,Apr!C:C,""))</f>
        <v/>
      </c>
      <c r="N4" s="144" t="str">
        <f>IF(Overview[[#This Row],[Name]]="","",_xlfn.XLOOKUP(Overview[[#This Row],[Name]],May!B:B,May!C:C,""))</f>
        <v/>
      </c>
      <c r="O4" s="144" t="str">
        <f>IF(Overview[[#This Row],[Name]]="","",_xlfn.XLOOKUP(Overview[[#This Row],[Name]],Jun!B:B,Jun!C:C,""))</f>
        <v/>
      </c>
      <c r="P4" s="144" t="str">
        <f>IF(Overview[[#This Row],[Name]]="","",_xlfn.XLOOKUP(Overview[[#This Row],[Name]],Jul!B:B,Jul!C:C,""))</f>
        <v/>
      </c>
      <c r="Q4" s="144" t="str">
        <f>IF(Overview[[#This Row],[Name]]="","",_xlfn.XLOOKUP(Overview[[#This Row],[Name]],Aug!B:B,Aug!C:C,""))</f>
        <v/>
      </c>
      <c r="R4" s="144" t="str">
        <f>IF(Overview[[#This Row],[Name]]="","",_xlfn.XLOOKUP(Overview[[#This Row],[Name]],Sep!B:B,Sep!C:C,""))</f>
        <v/>
      </c>
      <c r="S4" s="144" t="str">
        <f>IF(Overview[[#This Row],[Name]]="","",_xlfn.XLOOKUP(Overview[[#This Row],[Name]],Oct!B:B,Oct!C:C,""))</f>
        <v/>
      </c>
      <c r="T4" s="144" t="str">
        <f>IF(Overview[[#This Row],[Name]]="","",_xlfn.XLOOKUP(Overview[[#This Row],[Name]],Nov!B:B,Nov!C:C,""))</f>
        <v/>
      </c>
      <c r="U4" s="145" t="str">
        <f>IF(Overview[[#This Row],[Name]]="","",_xlfn.XLOOKUP(Overview[[#This Row],[Name]],Dec!B:B,Dec!C:C,""))</f>
        <v/>
      </c>
    </row>
    <row r="5" spans="2:21" x14ac:dyDescent="0.25">
      <c r="B5" s="166"/>
      <c r="C5" s="167"/>
      <c r="D5" s="146"/>
      <c r="E5" s="147"/>
      <c r="F5" s="148"/>
      <c r="G5" s="147"/>
      <c r="H5" s="148"/>
      <c r="I5" s="149"/>
      <c r="J5" s="150" t="str">
        <f>IF(Overview[[#This Row],[Name]]="","",_xlfn.XLOOKUP(Overview[[#This Row],[Name]],Jan!B:B,Jan!C:C,""))</f>
        <v/>
      </c>
      <c r="K5" s="151" t="str">
        <f>IF(Overview[[#This Row],[Name]]="","",_xlfn.XLOOKUP(Overview[[#This Row],[Name]],Feb!B:B,Feb!C:C,""))</f>
        <v/>
      </c>
      <c r="L5" s="151" t="str">
        <f>IF(Overview[[#This Row],[Name]]="","",_xlfn.XLOOKUP(Overview[[#This Row],[Name]],Mar!B:B,Mar!C:C,""))</f>
        <v/>
      </c>
      <c r="M5" s="151" t="str">
        <f>IF(Overview[[#This Row],[Name]]="","",_xlfn.XLOOKUP(Overview[[#This Row],[Name]],Apr!B:B,Apr!C:C,""))</f>
        <v/>
      </c>
      <c r="N5" s="151" t="str">
        <f>IF(Overview[[#This Row],[Name]]="","",_xlfn.XLOOKUP(Overview[[#This Row],[Name]],May!B:B,May!C:C,""))</f>
        <v/>
      </c>
      <c r="O5" s="151" t="str">
        <f>IF(Overview[[#This Row],[Name]]="","",_xlfn.XLOOKUP(Overview[[#This Row],[Name]],Jun!B:B,Jun!C:C,""))</f>
        <v/>
      </c>
      <c r="P5" s="151" t="str">
        <f>IF(Overview[[#This Row],[Name]]="","",_xlfn.XLOOKUP(Overview[[#This Row],[Name]],Jul!B:B,Jul!C:C,""))</f>
        <v/>
      </c>
      <c r="Q5" s="151" t="str">
        <f>IF(Overview[[#This Row],[Name]]="","",_xlfn.XLOOKUP(Overview[[#This Row],[Name]],Aug!B:B,Aug!C:C,""))</f>
        <v/>
      </c>
      <c r="R5" s="151" t="str">
        <f>IF(Overview[[#This Row],[Name]]="","",_xlfn.XLOOKUP(Overview[[#This Row],[Name]],Sep!B:B,Sep!C:C,""))</f>
        <v/>
      </c>
      <c r="S5" s="151" t="str">
        <f>IF(Overview[[#This Row],[Name]]="","",_xlfn.XLOOKUP(Overview[[#This Row],[Name]],Oct!B:B,Oct!C:C,""))</f>
        <v/>
      </c>
      <c r="T5" s="151" t="str">
        <f>IF(Overview[[#This Row],[Name]]="","",_xlfn.XLOOKUP(Overview[[#This Row],[Name]],Nov!B:B,Nov!C:C,""))</f>
        <v/>
      </c>
      <c r="U5" s="152" t="str">
        <f>IF(Overview[[#This Row],[Name]]="","",_xlfn.XLOOKUP(Overview[[#This Row],[Name]],Dec!B:B,Dec!C:C,""))</f>
        <v/>
      </c>
    </row>
    <row r="6" spans="2:21" x14ac:dyDescent="0.25">
      <c r="B6" s="166"/>
      <c r="C6" s="167"/>
      <c r="D6" s="146"/>
      <c r="E6" s="147"/>
      <c r="F6" s="148"/>
      <c r="G6" s="147"/>
      <c r="H6" s="148"/>
      <c r="I6" s="149"/>
      <c r="J6" s="150" t="str">
        <f>IF(Overview[[#This Row],[Name]]="","",_xlfn.XLOOKUP(Overview[[#This Row],[Name]],Jan!B:B,Jan!C:C,""))</f>
        <v/>
      </c>
      <c r="K6" s="151" t="str">
        <f>IF(Overview[[#This Row],[Name]]="","",_xlfn.XLOOKUP(Overview[[#This Row],[Name]],Feb!B:B,Feb!C:C,""))</f>
        <v/>
      </c>
      <c r="L6" s="151" t="str">
        <f>IF(Overview[[#This Row],[Name]]="","",_xlfn.XLOOKUP(Overview[[#This Row],[Name]],Mar!B:B,Mar!C:C,""))</f>
        <v/>
      </c>
      <c r="M6" s="151" t="str">
        <f>IF(Overview[[#This Row],[Name]]="","",_xlfn.XLOOKUP(Overview[[#This Row],[Name]],Apr!B:B,Apr!C:C,""))</f>
        <v/>
      </c>
      <c r="N6" s="151" t="str">
        <f>IF(Overview[[#This Row],[Name]]="","",_xlfn.XLOOKUP(Overview[[#This Row],[Name]],May!B:B,May!C:C,""))</f>
        <v/>
      </c>
      <c r="O6" s="151" t="str">
        <f>IF(Overview[[#This Row],[Name]]="","",_xlfn.XLOOKUP(Overview[[#This Row],[Name]],Jun!B:B,Jun!C:C,""))</f>
        <v/>
      </c>
      <c r="P6" s="151" t="str">
        <f>IF(Overview[[#This Row],[Name]]="","",_xlfn.XLOOKUP(Overview[[#This Row],[Name]],Jul!B:B,Jul!C:C,""))</f>
        <v/>
      </c>
      <c r="Q6" s="151" t="str">
        <f>IF(Overview[[#This Row],[Name]]="","",_xlfn.XLOOKUP(Overview[[#This Row],[Name]],Aug!B:B,Aug!C:C,""))</f>
        <v/>
      </c>
      <c r="R6" s="151" t="str">
        <f>IF(Overview[[#This Row],[Name]]="","",_xlfn.XLOOKUP(Overview[[#This Row],[Name]],Sep!B:B,Sep!C:C,""))</f>
        <v/>
      </c>
      <c r="S6" s="151" t="str">
        <f>IF(Overview[[#This Row],[Name]]="","",_xlfn.XLOOKUP(Overview[[#This Row],[Name]],Oct!B:B,Oct!C:C,""))</f>
        <v/>
      </c>
      <c r="T6" s="151" t="str">
        <f>IF(Overview[[#This Row],[Name]]="","",_xlfn.XLOOKUP(Overview[[#This Row],[Name]],Nov!B:B,Nov!C:C,""))</f>
        <v/>
      </c>
      <c r="U6" s="152" t="str">
        <f>IF(Overview[[#This Row],[Name]]="","",_xlfn.XLOOKUP(Overview[[#This Row],[Name]],Dec!B:B,Dec!C:C,""))</f>
        <v/>
      </c>
    </row>
    <row r="7" spans="2:21" x14ac:dyDescent="0.25">
      <c r="B7" s="166"/>
      <c r="C7" s="167"/>
      <c r="D7" s="146"/>
      <c r="E7" s="147"/>
      <c r="F7" s="148"/>
      <c r="G7" s="147"/>
      <c r="H7" s="148"/>
      <c r="I7" s="149"/>
      <c r="J7" s="150" t="str">
        <f>IF(Overview[[#This Row],[Name]]="","",_xlfn.XLOOKUP(Overview[[#This Row],[Name]],Jan!B:B,Jan!C:C,""))</f>
        <v/>
      </c>
      <c r="K7" s="151" t="str">
        <f>IF(Overview[[#This Row],[Name]]="","",_xlfn.XLOOKUP(Overview[[#This Row],[Name]],Feb!B:B,Feb!C:C,""))</f>
        <v/>
      </c>
      <c r="L7" s="151" t="str">
        <f>IF(Overview[[#This Row],[Name]]="","",_xlfn.XLOOKUP(Overview[[#This Row],[Name]],Mar!B:B,Mar!C:C,""))</f>
        <v/>
      </c>
      <c r="M7" s="151" t="str">
        <f>IF(Overview[[#This Row],[Name]]="","",_xlfn.XLOOKUP(Overview[[#This Row],[Name]],Apr!B:B,Apr!C:C,""))</f>
        <v/>
      </c>
      <c r="N7" s="151" t="str">
        <f>IF(Overview[[#This Row],[Name]]="","",_xlfn.XLOOKUP(Overview[[#This Row],[Name]],May!B:B,May!C:C,""))</f>
        <v/>
      </c>
      <c r="O7" s="151" t="str">
        <f>IF(Overview[[#This Row],[Name]]="","",_xlfn.XLOOKUP(Overview[[#This Row],[Name]],Jun!B:B,Jun!C:C,""))</f>
        <v/>
      </c>
      <c r="P7" s="151" t="str">
        <f>IF(Overview[[#This Row],[Name]]="","",_xlfn.XLOOKUP(Overview[[#This Row],[Name]],Jul!B:B,Jul!C:C,""))</f>
        <v/>
      </c>
      <c r="Q7" s="151" t="str">
        <f>IF(Overview[[#This Row],[Name]]="","",_xlfn.XLOOKUP(Overview[[#This Row],[Name]],Aug!B:B,Aug!C:C,""))</f>
        <v/>
      </c>
      <c r="R7" s="151" t="str">
        <f>IF(Overview[[#This Row],[Name]]="","",_xlfn.XLOOKUP(Overview[[#This Row],[Name]],Sep!B:B,Sep!C:C,""))</f>
        <v/>
      </c>
      <c r="S7" s="151" t="str">
        <f>IF(Overview[[#This Row],[Name]]="","",_xlfn.XLOOKUP(Overview[[#This Row],[Name]],Oct!B:B,Oct!C:C,""))</f>
        <v/>
      </c>
      <c r="T7" s="151" t="str">
        <f>IF(Overview[[#This Row],[Name]]="","",_xlfn.XLOOKUP(Overview[[#This Row],[Name]],Nov!B:B,Nov!C:C,""))</f>
        <v/>
      </c>
      <c r="U7" s="152" t="str">
        <f>IF(Overview[[#This Row],[Name]]="","",_xlfn.XLOOKUP(Overview[[#This Row],[Name]],Dec!B:B,Dec!C:C,""))</f>
        <v/>
      </c>
    </row>
    <row r="8" spans="2:21" x14ac:dyDescent="0.25">
      <c r="B8" s="166"/>
      <c r="C8" s="167"/>
      <c r="D8" s="146"/>
      <c r="E8" s="147"/>
      <c r="F8" s="148"/>
      <c r="G8" s="147"/>
      <c r="H8" s="148"/>
      <c r="I8" s="149"/>
      <c r="J8" s="150" t="str">
        <f>IF(Overview[[#This Row],[Name]]="","",_xlfn.XLOOKUP(Overview[[#This Row],[Name]],Jan!B:B,Jan!C:C,""))</f>
        <v/>
      </c>
      <c r="K8" s="151" t="str">
        <f>IF(Overview[[#This Row],[Name]]="","",_xlfn.XLOOKUP(Overview[[#This Row],[Name]],Feb!B:B,Feb!C:C,""))</f>
        <v/>
      </c>
      <c r="L8" s="151" t="str">
        <f>IF(Overview[[#This Row],[Name]]="","",_xlfn.XLOOKUP(Overview[[#This Row],[Name]],Mar!B:B,Mar!C:C,""))</f>
        <v/>
      </c>
      <c r="M8" s="151" t="str">
        <f>IF(Overview[[#This Row],[Name]]="","",_xlfn.XLOOKUP(Overview[[#This Row],[Name]],Apr!B:B,Apr!C:C,""))</f>
        <v/>
      </c>
      <c r="N8" s="151" t="str">
        <f>IF(Overview[[#This Row],[Name]]="","",_xlfn.XLOOKUP(Overview[[#This Row],[Name]],May!B:B,May!C:C,""))</f>
        <v/>
      </c>
      <c r="O8" s="151" t="str">
        <f>IF(Overview[[#This Row],[Name]]="","",_xlfn.XLOOKUP(Overview[[#This Row],[Name]],Jun!B:B,Jun!C:C,""))</f>
        <v/>
      </c>
      <c r="P8" s="151" t="str">
        <f>IF(Overview[[#This Row],[Name]]="","",_xlfn.XLOOKUP(Overview[[#This Row],[Name]],Jul!B:B,Jul!C:C,""))</f>
        <v/>
      </c>
      <c r="Q8" s="151" t="str">
        <f>IF(Overview[[#This Row],[Name]]="","",_xlfn.XLOOKUP(Overview[[#This Row],[Name]],Aug!B:B,Aug!C:C,""))</f>
        <v/>
      </c>
      <c r="R8" s="151" t="str">
        <f>IF(Overview[[#This Row],[Name]]="","",_xlfn.XLOOKUP(Overview[[#This Row],[Name]],Sep!B:B,Sep!C:C,""))</f>
        <v/>
      </c>
      <c r="S8" s="151" t="str">
        <f>IF(Overview[[#This Row],[Name]]="","",_xlfn.XLOOKUP(Overview[[#This Row],[Name]],Oct!B:B,Oct!C:C,""))</f>
        <v/>
      </c>
      <c r="T8" s="151" t="str">
        <f>IF(Overview[[#This Row],[Name]]="","",_xlfn.XLOOKUP(Overview[[#This Row],[Name]],Nov!B:B,Nov!C:C,""))</f>
        <v/>
      </c>
      <c r="U8" s="152" t="str">
        <f>IF(Overview[[#This Row],[Name]]="","",_xlfn.XLOOKUP(Overview[[#This Row],[Name]],Dec!B:B,Dec!C:C,""))</f>
        <v/>
      </c>
    </row>
    <row r="9" spans="2:21" x14ac:dyDescent="0.25">
      <c r="B9" s="166"/>
      <c r="C9" s="167"/>
      <c r="D9" s="146"/>
      <c r="E9" s="147"/>
      <c r="F9" s="148"/>
      <c r="G9" s="147"/>
      <c r="H9" s="148"/>
      <c r="I9" s="149"/>
      <c r="J9" s="150" t="str">
        <f>IF(Overview[[#This Row],[Name]]="","",_xlfn.XLOOKUP(Overview[[#This Row],[Name]],Jan!B:B,Jan!C:C,""))</f>
        <v/>
      </c>
      <c r="K9" s="151" t="str">
        <f>IF(Overview[[#This Row],[Name]]="","",_xlfn.XLOOKUP(Overview[[#This Row],[Name]],Feb!B:B,Feb!C:C,""))</f>
        <v/>
      </c>
      <c r="L9" s="151" t="str">
        <f>IF(Overview[[#This Row],[Name]]="","",_xlfn.XLOOKUP(Overview[[#This Row],[Name]],Mar!B:B,Mar!C:C,""))</f>
        <v/>
      </c>
      <c r="M9" s="151" t="str">
        <f>IF(Overview[[#This Row],[Name]]="","",_xlfn.XLOOKUP(Overview[[#This Row],[Name]],Apr!B:B,Apr!C:C,""))</f>
        <v/>
      </c>
      <c r="N9" s="151" t="str">
        <f>IF(Overview[[#This Row],[Name]]="","",_xlfn.XLOOKUP(Overview[[#This Row],[Name]],May!B:B,May!C:C,""))</f>
        <v/>
      </c>
      <c r="O9" s="151" t="str">
        <f>IF(Overview[[#This Row],[Name]]="","",_xlfn.XLOOKUP(Overview[[#This Row],[Name]],Jun!B:B,Jun!C:C,""))</f>
        <v/>
      </c>
      <c r="P9" s="151" t="str">
        <f>IF(Overview[[#This Row],[Name]]="","",_xlfn.XLOOKUP(Overview[[#This Row],[Name]],Jul!B:B,Jul!C:C,""))</f>
        <v/>
      </c>
      <c r="Q9" s="151" t="str">
        <f>IF(Overview[[#This Row],[Name]]="","",_xlfn.XLOOKUP(Overview[[#This Row],[Name]],Aug!B:B,Aug!C:C,""))</f>
        <v/>
      </c>
      <c r="R9" s="151" t="str">
        <f>IF(Overview[[#This Row],[Name]]="","",_xlfn.XLOOKUP(Overview[[#This Row],[Name]],Sep!B:B,Sep!C:C,""))</f>
        <v/>
      </c>
      <c r="S9" s="151" t="str">
        <f>IF(Overview[[#This Row],[Name]]="","",_xlfn.XLOOKUP(Overview[[#This Row],[Name]],Oct!B:B,Oct!C:C,""))</f>
        <v/>
      </c>
      <c r="T9" s="151" t="str">
        <f>IF(Overview[[#This Row],[Name]]="","",_xlfn.XLOOKUP(Overview[[#This Row],[Name]],Nov!B:B,Nov!C:C,""))</f>
        <v/>
      </c>
      <c r="U9" s="152" t="str">
        <f>IF(Overview[[#This Row],[Name]]="","",_xlfn.XLOOKUP(Overview[[#This Row],[Name]],Dec!B:B,Dec!C:C,""))</f>
        <v/>
      </c>
    </row>
    <row r="10" spans="2:21" x14ac:dyDescent="0.25">
      <c r="B10" s="166"/>
      <c r="C10" s="167"/>
      <c r="D10" s="146"/>
      <c r="E10" s="147"/>
      <c r="F10" s="148"/>
      <c r="G10" s="147"/>
      <c r="H10" s="148"/>
      <c r="I10" s="149"/>
      <c r="J10" s="150" t="str">
        <f>IF(Overview[[#This Row],[Name]]="","",_xlfn.XLOOKUP(Overview[[#This Row],[Name]],Jan!B:B,Jan!C:C,""))</f>
        <v/>
      </c>
      <c r="K10" s="151" t="str">
        <f>IF(Overview[[#This Row],[Name]]="","",_xlfn.XLOOKUP(Overview[[#This Row],[Name]],Feb!B:B,Feb!C:C,""))</f>
        <v/>
      </c>
      <c r="L10" s="151" t="str">
        <f>IF(Overview[[#This Row],[Name]]="","",_xlfn.XLOOKUP(Overview[[#This Row],[Name]],Mar!B:B,Mar!C:C,""))</f>
        <v/>
      </c>
      <c r="M10" s="151" t="str">
        <f>IF(Overview[[#This Row],[Name]]="","",_xlfn.XLOOKUP(Overview[[#This Row],[Name]],Apr!B:B,Apr!C:C,""))</f>
        <v/>
      </c>
      <c r="N10" s="151" t="str">
        <f>IF(Overview[[#This Row],[Name]]="","",_xlfn.XLOOKUP(Overview[[#This Row],[Name]],May!B:B,May!C:C,""))</f>
        <v/>
      </c>
      <c r="O10" s="151" t="str">
        <f>IF(Overview[[#This Row],[Name]]="","",_xlfn.XLOOKUP(Overview[[#This Row],[Name]],Jun!B:B,Jun!C:C,""))</f>
        <v/>
      </c>
      <c r="P10" s="151" t="str">
        <f>IF(Overview[[#This Row],[Name]]="","",_xlfn.XLOOKUP(Overview[[#This Row],[Name]],Jul!B:B,Jul!C:C,""))</f>
        <v/>
      </c>
      <c r="Q10" s="151" t="str">
        <f>IF(Overview[[#This Row],[Name]]="","",_xlfn.XLOOKUP(Overview[[#This Row],[Name]],Aug!B:B,Aug!C:C,""))</f>
        <v/>
      </c>
      <c r="R10" s="151" t="str">
        <f>IF(Overview[[#This Row],[Name]]="","",_xlfn.XLOOKUP(Overview[[#This Row],[Name]],Sep!B:B,Sep!C:C,""))</f>
        <v/>
      </c>
      <c r="S10" s="151" t="str">
        <f>IF(Overview[[#This Row],[Name]]="","",_xlfn.XLOOKUP(Overview[[#This Row],[Name]],Oct!B:B,Oct!C:C,""))</f>
        <v/>
      </c>
      <c r="T10" s="151" t="str">
        <f>IF(Overview[[#This Row],[Name]]="","",_xlfn.XLOOKUP(Overview[[#This Row],[Name]],Nov!B:B,Nov!C:C,""))</f>
        <v/>
      </c>
      <c r="U10" s="152" t="str">
        <f>IF(Overview[[#This Row],[Name]]="","",_xlfn.XLOOKUP(Overview[[#This Row],[Name]],Dec!B:B,Dec!C:C,""))</f>
        <v/>
      </c>
    </row>
    <row r="11" spans="2:21" x14ac:dyDescent="0.25">
      <c r="B11" s="166"/>
      <c r="C11" s="167"/>
      <c r="D11" s="146"/>
      <c r="E11" s="147"/>
      <c r="F11" s="148"/>
      <c r="G11" s="147"/>
      <c r="H11" s="148"/>
      <c r="I11" s="149"/>
      <c r="J11" s="150" t="str">
        <f>IF(Overview[[#This Row],[Name]]="","",_xlfn.XLOOKUP(Overview[[#This Row],[Name]],Jan!B:B,Jan!C:C,""))</f>
        <v/>
      </c>
      <c r="K11" s="151" t="str">
        <f>IF(Overview[[#This Row],[Name]]="","",_xlfn.XLOOKUP(Overview[[#This Row],[Name]],Feb!B:B,Feb!C:C,""))</f>
        <v/>
      </c>
      <c r="L11" s="151" t="str">
        <f>IF(Overview[[#This Row],[Name]]="","",_xlfn.XLOOKUP(Overview[[#This Row],[Name]],Mar!B:B,Mar!C:C,""))</f>
        <v/>
      </c>
      <c r="M11" s="151" t="str">
        <f>IF(Overview[[#This Row],[Name]]="","",_xlfn.XLOOKUP(Overview[[#This Row],[Name]],Apr!B:B,Apr!C:C,""))</f>
        <v/>
      </c>
      <c r="N11" s="151" t="str">
        <f>IF(Overview[[#This Row],[Name]]="","",_xlfn.XLOOKUP(Overview[[#This Row],[Name]],May!B:B,May!C:C,""))</f>
        <v/>
      </c>
      <c r="O11" s="151" t="str">
        <f>IF(Overview[[#This Row],[Name]]="","",_xlfn.XLOOKUP(Overview[[#This Row],[Name]],Jun!B:B,Jun!C:C,""))</f>
        <v/>
      </c>
      <c r="P11" s="151" t="str">
        <f>IF(Overview[[#This Row],[Name]]="","",_xlfn.XLOOKUP(Overview[[#This Row],[Name]],Jul!B:B,Jul!C:C,""))</f>
        <v/>
      </c>
      <c r="Q11" s="151" t="str">
        <f>IF(Overview[[#This Row],[Name]]="","",_xlfn.XLOOKUP(Overview[[#This Row],[Name]],Aug!B:B,Aug!C:C,""))</f>
        <v/>
      </c>
      <c r="R11" s="151" t="str">
        <f>IF(Overview[[#This Row],[Name]]="","",_xlfn.XLOOKUP(Overview[[#This Row],[Name]],Sep!B:B,Sep!C:C,""))</f>
        <v/>
      </c>
      <c r="S11" s="151" t="str">
        <f>IF(Overview[[#This Row],[Name]]="","",_xlfn.XLOOKUP(Overview[[#This Row],[Name]],Oct!B:B,Oct!C:C,""))</f>
        <v/>
      </c>
      <c r="T11" s="151" t="str">
        <f>IF(Overview[[#This Row],[Name]]="","",_xlfn.XLOOKUP(Overview[[#This Row],[Name]],Nov!B:B,Nov!C:C,""))</f>
        <v/>
      </c>
      <c r="U11" s="152" t="str">
        <f>IF(Overview[[#This Row],[Name]]="","",_xlfn.XLOOKUP(Overview[[#This Row],[Name]],Dec!B:B,Dec!C:C,""))</f>
        <v/>
      </c>
    </row>
    <row r="12" spans="2:21" x14ac:dyDescent="0.25">
      <c r="B12" s="166"/>
      <c r="C12" s="167"/>
      <c r="D12" s="146"/>
      <c r="E12" s="147"/>
      <c r="F12" s="148"/>
      <c r="G12" s="147"/>
      <c r="H12" s="148"/>
      <c r="I12" s="149"/>
      <c r="J12" s="150" t="str">
        <f>IF(Overview[[#This Row],[Name]]="","",_xlfn.XLOOKUP(Overview[[#This Row],[Name]],Jan!B:B,Jan!C:C,""))</f>
        <v/>
      </c>
      <c r="K12" s="151" t="str">
        <f>IF(Overview[[#This Row],[Name]]="","",_xlfn.XLOOKUP(Overview[[#This Row],[Name]],Feb!B:B,Feb!C:C,""))</f>
        <v/>
      </c>
      <c r="L12" s="151" t="str">
        <f>IF(Overview[[#This Row],[Name]]="","",_xlfn.XLOOKUP(Overview[[#This Row],[Name]],Mar!B:B,Mar!C:C,""))</f>
        <v/>
      </c>
      <c r="M12" s="151" t="str">
        <f>IF(Overview[[#This Row],[Name]]="","",_xlfn.XLOOKUP(Overview[[#This Row],[Name]],Apr!B:B,Apr!C:C,""))</f>
        <v/>
      </c>
      <c r="N12" s="151" t="str">
        <f>IF(Overview[[#This Row],[Name]]="","",_xlfn.XLOOKUP(Overview[[#This Row],[Name]],May!B:B,May!C:C,""))</f>
        <v/>
      </c>
      <c r="O12" s="151" t="str">
        <f>IF(Overview[[#This Row],[Name]]="","",_xlfn.XLOOKUP(Overview[[#This Row],[Name]],Jun!B:B,Jun!C:C,""))</f>
        <v/>
      </c>
      <c r="P12" s="151" t="str">
        <f>IF(Overview[[#This Row],[Name]]="","",_xlfn.XLOOKUP(Overview[[#This Row],[Name]],Jul!B:B,Jul!C:C,""))</f>
        <v/>
      </c>
      <c r="Q12" s="151" t="str">
        <f>IF(Overview[[#This Row],[Name]]="","",_xlfn.XLOOKUP(Overview[[#This Row],[Name]],Aug!B:B,Aug!C:C,""))</f>
        <v/>
      </c>
      <c r="R12" s="151" t="str">
        <f>IF(Overview[[#This Row],[Name]]="","",_xlfn.XLOOKUP(Overview[[#This Row],[Name]],Sep!B:B,Sep!C:C,""))</f>
        <v/>
      </c>
      <c r="S12" s="151" t="str">
        <f>IF(Overview[[#This Row],[Name]]="","",_xlfn.XLOOKUP(Overview[[#This Row],[Name]],Oct!B:B,Oct!C:C,""))</f>
        <v/>
      </c>
      <c r="T12" s="151" t="str">
        <f>IF(Overview[[#This Row],[Name]]="","",_xlfn.XLOOKUP(Overview[[#This Row],[Name]],Nov!B:B,Nov!C:C,""))</f>
        <v/>
      </c>
      <c r="U12" s="152" t="str">
        <f>IF(Overview[[#This Row],[Name]]="","",_xlfn.XLOOKUP(Overview[[#This Row],[Name]],Dec!B:B,Dec!C:C,""))</f>
        <v/>
      </c>
    </row>
    <row r="13" spans="2:21" x14ac:dyDescent="0.25">
      <c r="B13" s="166"/>
      <c r="C13" s="167"/>
      <c r="D13" s="146"/>
      <c r="E13" s="147"/>
      <c r="F13" s="148"/>
      <c r="G13" s="147"/>
      <c r="H13" s="148"/>
      <c r="I13" s="149"/>
      <c r="J13" s="150" t="str">
        <f>IF(Overview[[#This Row],[Name]]="","",_xlfn.XLOOKUP(Overview[[#This Row],[Name]],Jan!B:B,Jan!C:C,""))</f>
        <v/>
      </c>
      <c r="K13" s="151" t="str">
        <f>IF(Overview[[#This Row],[Name]]="","",_xlfn.XLOOKUP(Overview[[#This Row],[Name]],Feb!B:B,Feb!C:C,""))</f>
        <v/>
      </c>
      <c r="L13" s="151" t="str">
        <f>IF(Overview[[#This Row],[Name]]="","",_xlfn.XLOOKUP(Overview[[#This Row],[Name]],Mar!B:B,Mar!C:C,""))</f>
        <v/>
      </c>
      <c r="M13" s="151" t="str">
        <f>IF(Overview[[#This Row],[Name]]="","",_xlfn.XLOOKUP(Overview[[#This Row],[Name]],Apr!B:B,Apr!C:C,""))</f>
        <v/>
      </c>
      <c r="N13" s="151" t="str">
        <f>IF(Overview[[#This Row],[Name]]="","",_xlfn.XLOOKUP(Overview[[#This Row],[Name]],May!B:B,May!C:C,""))</f>
        <v/>
      </c>
      <c r="O13" s="151" t="str">
        <f>IF(Overview[[#This Row],[Name]]="","",_xlfn.XLOOKUP(Overview[[#This Row],[Name]],Jun!B:B,Jun!C:C,""))</f>
        <v/>
      </c>
      <c r="P13" s="151" t="str">
        <f>IF(Overview[[#This Row],[Name]]="","",_xlfn.XLOOKUP(Overview[[#This Row],[Name]],Jul!B:B,Jul!C:C,""))</f>
        <v/>
      </c>
      <c r="Q13" s="151" t="str">
        <f>IF(Overview[[#This Row],[Name]]="","",_xlfn.XLOOKUP(Overview[[#This Row],[Name]],Aug!B:B,Aug!C:C,""))</f>
        <v/>
      </c>
      <c r="R13" s="151" t="str">
        <f>IF(Overview[[#This Row],[Name]]="","",_xlfn.XLOOKUP(Overview[[#This Row],[Name]],Sep!B:B,Sep!C:C,""))</f>
        <v/>
      </c>
      <c r="S13" s="151" t="str">
        <f>IF(Overview[[#This Row],[Name]]="","",_xlfn.XLOOKUP(Overview[[#This Row],[Name]],Oct!B:B,Oct!C:C,""))</f>
        <v/>
      </c>
      <c r="T13" s="151" t="str">
        <f>IF(Overview[[#This Row],[Name]]="","",_xlfn.XLOOKUP(Overview[[#This Row],[Name]],Nov!B:B,Nov!C:C,""))</f>
        <v/>
      </c>
      <c r="U13" s="152" t="str">
        <f>IF(Overview[[#This Row],[Name]]="","",_xlfn.XLOOKUP(Overview[[#This Row],[Name]],Dec!B:B,Dec!C:C,""))</f>
        <v/>
      </c>
    </row>
    <row r="14" spans="2:21" x14ac:dyDescent="0.25">
      <c r="B14" s="166"/>
      <c r="C14" s="167"/>
      <c r="D14" s="146"/>
      <c r="E14" s="147"/>
      <c r="F14" s="148"/>
      <c r="G14" s="147"/>
      <c r="H14" s="148"/>
      <c r="I14" s="149"/>
      <c r="J14" s="150" t="str">
        <f>IF(Overview[[#This Row],[Name]]="","",_xlfn.XLOOKUP(Overview[[#This Row],[Name]],Jan!B:B,Jan!C:C,""))</f>
        <v/>
      </c>
      <c r="K14" s="151" t="str">
        <f>IF(Overview[[#This Row],[Name]]="","",_xlfn.XLOOKUP(Overview[[#This Row],[Name]],Feb!B:B,Feb!C:C,""))</f>
        <v/>
      </c>
      <c r="L14" s="151" t="str">
        <f>IF(Overview[[#This Row],[Name]]="","",_xlfn.XLOOKUP(Overview[[#This Row],[Name]],Mar!B:B,Mar!C:C,""))</f>
        <v/>
      </c>
      <c r="M14" s="151" t="str">
        <f>IF(Overview[[#This Row],[Name]]="","",_xlfn.XLOOKUP(Overview[[#This Row],[Name]],Apr!B:B,Apr!C:C,""))</f>
        <v/>
      </c>
      <c r="N14" s="151" t="str">
        <f>IF(Overview[[#This Row],[Name]]="","",_xlfn.XLOOKUP(Overview[[#This Row],[Name]],May!B:B,May!C:C,""))</f>
        <v/>
      </c>
      <c r="O14" s="151" t="str">
        <f>IF(Overview[[#This Row],[Name]]="","",_xlfn.XLOOKUP(Overview[[#This Row],[Name]],Jun!B:B,Jun!C:C,""))</f>
        <v/>
      </c>
      <c r="P14" s="151" t="str">
        <f>IF(Overview[[#This Row],[Name]]="","",_xlfn.XLOOKUP(Overview[[#This Row],[Name]],Jul!B:B,Jul!C:C,""))</f>
        <v/>
      </c>
      <c r="Q14" s="151" t="str">
        <f>IF(Overview[[#This Row],[Name]]="","",_xlfn.XLOOKUP(Overview[[#This Row],[Name]],Aug!B:B,Aug!C:C,""))</f>
        <v/>
      </c>
      <c r="R14" s="151" t="str">
        <f>IF(Overview[[#This Row],[Name]]="","",_xlfn.XLOOKUP(Overview[[#This Row],[Name]],Sep!B:B,Sep!C:C,""))</f>
        <v/>
      </c>
      <c r="S14" s="151" t="str">
        <f>IF(Overview[[#This Row],[Name]]="","",_xlfn.XLOOKUP(Overview[[#This Row],[Name]],Oct!B:B,Oct!C:C,""))</f>
        <v/>
      </c>
      <c r="T14" s="151" t="str">
        <f>IF(Overview[[#This Row],[Name]]="","",_xlfn.XLOOKUP(Overview[[#This Row],[Name]],Nov!B:B,Nov!C:C,""))</f>
        <v/>
      </c>
      <c r="U14" s="152" t="str">
        <f>IF(Overview[[#This Row],[Name]]="","",_xlfn.XLOOKUP(Overview[[#This Row],[Name]],Dec!B:B,Dec!C:C,""))</f>
        <v/>
      </c>
    </row>
    <row r="15" spans="2:21" x14ac:dyDescent="0.25">
      <c r="B15" s="166"/>
      <c r="C15" s="167"/>
      <c r="D15" s="146"/>
      <c r="E15" s="147"/>
      <c r="F15" s="148"/>
      <c r="G15" s="147"/>
      <c r="H15" s="148"/>
      <c r="I15" s="149"/>
      <c r="J15" s="150" t="str">
        <f>IF(Overview[[#This Row],[Name]]="","",_xlfn.XLOOKUP(Overview[[#This Row],[Name]],Jan!B:B,Jan!C:C,""))</f>
        <v/>
      </c>
      <c r="K15" s="151" t="str">
        <f>IF(Overview[[#This Row],[Name]]="","",_xlfn.XLOOKUP(Overview[[#This Row],[Name]],Feb!B:B,Feb!C:C,""))</f>
        <v/>
      </c>
      <c r="L15" s="151" t="str">
        <f>IF(Overview[[#This Row],[Name]]="","",_xlfn.XLOOKUP(Overview[[#This Row],[Name]],Mar!B:B,Mar!C:C,""))</f>
        <v/>
      </c>
      <c r="M15" s="151" t="str">
        <f>IF(Overview[[#This Row],[Name]]="","",_xlfn.XLOOKUP(Overview[[#This Row],[Name]],Apr!B:B,Apr!C:C,""))</f>
        <v/>
      </c>
      <c r="N15" s="151" t="str">
        <f>IF(Overview[[#This Row],[Name]]="","",_xlfn.XLOOKUP(Overview[[#This Row],[Name]],May!B:B,May!C:C,""))</f>
        <v/>
      </c>
      <c r="O15" s="151" t="str">
        <f>IF(Overview[[#This Row],[Name]]="","",_xlfn.XLOOKUP(Overview[[#This Row],[Name]],Jun!B:B,Jun!C:C,""))</f>
        <v/>
      </c>
      <c r="P15" s="151" t="str">
        <f>IF(Overview[[#This Row],[Name]]="","",_xlfn.XLOOKUP(Overview[[#This Row],[Name]],Jul!B:B,Jul!C:C,""))</f>
        <v/>
      </c>
      <c r="Q15" s="151" t="str">
        <f>IF(Overview[[#This Row],[Name]]="","",_xlfn.XLOOKUP(Overview[[#This Row],[Name]],Aug!B:B,Aug!C:C,""))</f>
        <v/>
      </c>
      <c r="R15" s="151" t="str">
        <f>IF(Overview[[#This Row],[Name]]="","",_xlfn.XLOOKUP(Overview[[#This Row],[Name]],Sep!B:B,Sep!C:C,""))</f>
        <v/>
      </c>
      <c r="S15" s="151" t="str">
        <f>IF(Overview[[#This Row],[Name]]="","",_xlfn.XLOOKUP(Overview[[#This Row],[Name]],Oct!B:B,Oct!C:C,""))</f>
        <v/>
      </c>
      <c r="T15" s="151" t="str">
        <f>IF(Overview[[#This Row],[Name]]="","",_xlfn.XLOOKUP(Overview[[#This Row],[Name]],Nov!B:B,Nov!C:C,""))</f>
        <v/>
      </c>
      <c r="U15" s="152" t="str">
        <f>IF(Overview[[#This Row],[Name]]="","",_xlfn.XLOOKUP(Overview[[#This Row],[Name]],Dec!B:B,Dec!C:C,""))</f>
        <v/>
      </c>
    </row>
    <row r="16" spans="2:21" x14ac:dyDescent="0.25">
      <c r="B16" s="166"/>
      <c r="C16" s="167"/>
      <c r="D16" s="146"/>
      <c r="E16" s="147"/>
      <c r="F16" s="148"/>
      <c r="G16" s="147"/>
      <c r="H16" s="148"/>
      <c r="I16" s="149"/>
      <c r="J16" s="150" t="str">
        <f>IF(Overview[[#This Row],[Name]]="","",_xlfn.XLOOKUP(Overview[[#This Row],[Name]],Jan!B:B,Jan!C:C,""))</f>
        <v/>
      </c>
      <c r="K16" s="151" t="str">
        <f>IF(Overview[[#This Row],[Name]]="","",_xlfn.XLOOKUP(Overview[[#This Row],[Name]],Feb!B:B,Feb!C:C,""))</f>
        <v/>
      </c>
      <c r="L16" s="151" t="str">
        <f>IF(Overview[[#This Row],[Name]]="","",_xlfn.XLOOKUP(Overview[[#This Row],[Name]],Mar!B:B,Mar!C:C,""))</f>
        <v/>
      </c>
      <c r="M16" s="151" t="str">
        <f>IF(Overview[[#This Row],[Name]]="","",_xlfn.XLOOKUP(Overview[[#This Row],[Name]],Apr!B:B,Apr!C:C,""))</f>
        <v/>
      </c>
      <c r="N16" s="151" t="str">
        <f>IF(Overview[[#This Row],[Name]]="","",_xlfn.XLOOKUP(Overview[[#This Row],[Name]],May!B:B,May!C:C,""))</f>
        <v/>
      </c>
      <c r="O16" s="151" t="str">
        <f>IF(Overview[[#This Row],[Name]]="","",_xlfn.XLOOKUP(Overview[[#This Row],[Name]],Jun!B:B,Jun!C:C,""))</f>
        <v/>
      </c>
      <c r="P16" s="151" t="str">
        <f>IF(Overview[[#This Row],[Name]]="","",_xlfn.XLOOKUP(Overview[[#This Row],[Name]],Jul!B:B,Jul!C:C,""))</f>
        <v/>
      </c>
      <c r="Q16" s="151" t="str">
        <f>IF(Overview[[#This Row],[Name]]="","",_xlfn.XLOOKUP(Overview[[#This Row],[Name]],Aug!B:B,Aug!C:C,""))</f>
        <v/>
      </c>
      <c r="R16" s="151" t="str">
        <f>IF(Overview[[#This Row],[Name]]="","",_xlfn.XLOOKUP(Overview[[#This Row],[Name]],Sep!B:B,Sep!C:C,""))</f>
        <v/>
      </c>
      <c r="S16" s="151" t="str">
        <f>IF(Overview[[#This Row],[Name]]="","",_xlfn.XLOOKUP(Overview[[#This Row],[Name]],Oct!B:B,Oct!C:C,""))</f>
        <v/>
      </c>
      <c r="T16" s="151" t="str">
        <f>IF(Overview[[#This Row],[Name]]="","",_xlfn.XLOOKUP(Overview[[#This Row],[Name]],Nov!B:B,Nov!C:C,""))</f>
        <v/>
      </c>
      <c r="U16" s="152" t="str">
        <f>IF(Overview[[#This Row],[Name]]="","",_xlfn.XLOOKUP(Overview[[#This Row],[Name]],Dec!B:B,Dec!C:C,""))</f>
        <v/>
      </c>
    </row>
    <row r="17" spans="2:21" x14ac:dyDescent="0.25">
      <c r="B17" s="166"/>
      <c r="C17" s="167"/>
      <c r="D17" s="146"/>
      <c r="E17" s="147"/>
      <c r="F17" s="148"/>
      <c r="G17" s="147"/>
      <c r="H17" s="148"/>
      <c r="I17" s="149"/>
      <c r="J17" s="150" t="str">
        <f>IF(Overview[[#This Row],[Name]]="","",_xlfn.XLOOKUP(Overview[[#This Row],[Name]],Jan!B:B,Jan!C:C,""))</f>
        <v/>
      </c>
      <c r="K17" s="151" t="str">
        <f>IF(Overview[[#This Row],[Name]]="","",_xlfn.XLOOKUP(Overview[[#This Row],[Name]],Feb!B:B,Feb!C:C,""))</f>
        <v/>
      </c>
      <c r="L17" s="151" t="str">
        <f>IF(Overview[[#This Row],[Name]]="","",_xlfn.XLOOKUP(Overview[[#This Row],[Name]],Mar!B:B,Mar!C:C,""))</f>
        <v/>
      </c>
      <c r="M17" s="151" t="str">
        <f>IF(Overview[[#This Row],[Name]]="","",_xlfn.XLOOKUP(Overview[[#This Row],[Name]],Apr!B:B,Apr!C:C,""))</f>
        <v/>
      </c>
      <c r="N17" s="151" t="str">
        <f>IF(Overview[[#This Row],[Name]]="","",_xlfn.XLOOKUP(Overview[[#This Row],[Name]],May!B:B,May!C:C,""))</f>
        <v/>
      </c>
      <c r="O17" s="151" t="str">
        <f>IF(Overview[[#This Row],[Name]]="","",_xlfn.XLOOKUP(Overview[[#This Row],[Name]],Jun!B:B,Jun!C:C,""))</f>
        <v/>
      </c>
      <c r="P17" s="151" t="str">
        <f>IF(Overview[[#This Row],[Name]]="","",_xlfn.XLOOKUP(Overview[[#This Row],[Name]],Jul!B:B,Jul!C:C,""))</f>
        <v/>
      </c>
      <c r="Q17" s="151" t="str">
        <f>IF(Overview[[#This Row],[Name]]="","",_xlfn.XLOOKUP(Overview[[#This Row],[Name]],Aug!B:B,Aug!C:C,""))</f>
        <v/>
      </c>
      <c r="R17" s="151" t="str">
        <f>IF(Overview[[#This Row],[Name]]="","",_xlfn.XLOOKUP(Overview[[#This Row],[Name]],Sep!B:B,Sep!C:C,""))</f>
        <v/>
      </c>
      <c r="S17" s="151" t="str">
        <f>IF(Overview[[#This Row],[Name]]="","",_xlfn.XLOOKUP(Overview[[#This Row],[Name]],Oct!B:B,Oct!C:C,""))</f>
        <v/>
      </c>
      <c r="T17" s="151" t="str">
        <f>IF(Overview[[#This Row],[Name]]="","",_xlfn.XLOOKUP(Overview[[#This Row],[Name]],Nov!B:B,Nov!C:C,""))</f>
        <v/>
      </c>
      <c r="U17" s="152" t="str">
        <f>IF(Overview[[#This Row],[Name]]="","",_xlfn.XLOOKUP(Overview[[#This Row],[Name]],Dec!B:B,Dec!C:C,""))</f>
        <v/>
      </c>
    </row>
    <row r="18" spans="2:21" x14ac:dyDescent="0.25">
      <c r="B18" s="166"/>
      <c r="C18" s="167"/>
      <c r="D18" s="146"/>
      <c r="E18" s="147"/>
      <c r="F18" s="148"/>
      <c r="G18" s="147"/>
      <c r="H18" s="148"/>
      <c r="I18" s="149"/>
      <c r="J18" s="150" t="str">
        <f>IF(Overview[[#This Row],[Name]]="","",_xlfn.XLOOKUP(Overview[[#This Row],[Name]],Jan!B:B,Jan!C:C,""))</f>
        <v/>
      </c>
      <c r="K18" s="151" t="str">
        <f>IF(Overview[[#This Row],[Name]]="","",_xlfn.XLOOKUP(Overview[[#This Row],[Name]],Feb!B:B,Feb!C:C,""))</f>
        <v/>
      </c>
      <c r="L18" s="151" t="str">
        <f>IF(Overview[[#This Row],[Name]]="","",_xlfn.XLOOKUP(Overview[[#This Row],[Name]],Mar!B:B,Mar!C:C,""))</f>
        <v/>
      </c>
      <c r="M18" s="151" t="str">
        <f>IF(Overview[[#This Row],[Name]]="","",_xlfn.XLOOKUP(Overview[[#This Row],[Name]],Apr!B:B,Apr!C:C,""))</f>
        <v/>
      </c>
      <c r="N18" s="151" t="str">
        <f>IF(Overview[[#This Row],[Name]]="","",_xlfn.XLOOKUP(Overview[[#This Row],[Name]],May!B:B,May!C:C,""))</f>
        <v/>
      </c>
      <c r="O18" s="151" t="str">
        <f>IF(Overview[[#This Row],[Name]]="","",_xlfn.XLOOKUP(Overview[[#This Row],[Name]],Jun!B:B,Jun!C:C,""))</f>
        <v/>
      </c>
      <c r="P18" s="151" t="str">
        <f>IF(Overview[[#This Row],[Name]]="","",_xlfn.XLOOKUP(Overview[[#This Row],[Name]],Jul!B:B,Jul!C:C,""))</f>
        <v/>
      </c>
      <c r="Q18" s="151" t="str">
        <f>IF(Overview[[#This Row],[Name]]="","",_xlfn.XLOOKUP(Overview[[#This Row],[Name]],Aug!B:B,Aug!C:C,""))</f>
        <v/>
      </c>
      <c r="R18" s="151" t="str">
        <f>IF(Overview[[#This Row],[Name]]="","",_xlfn.XLOOKUP(Overview[[#This Row],[Name]],Sep!B:B,Sep!C:C,""))</f>
        <v/>
      </c>
      <c r="S18" s="151" t="str">
        <f>IF(Overview[[#This Row],[Name]]="","",_xlfn.XLOOKUP(Overview[[#This Row],[Name]],Oct!B:B,Oct!C:C,""))</f>
        <v/>
      </c>
      <c r="T18" s="151" t="str">
        <f>IF(Overview[[#This Row],[Name]]="","",_xlfn.XLOOKUP(Overview[[#This Row],[Name]],Nov!B:B,Nov!C:C,""))</f>
        <v/>
      </c>
      <c r="U18" s="152" t="str">
        <f>IF(Overview[[#This Row],[Name]]="","",_xlfn.XLOOKUP(Overview[[#This Row],[Name]],Dec!B:B,Dec!C:C,""))</f>
        <v/>
      </c>
    </row>
    <row r="19" spans="2:21" x14ac:dyDescent="0.25">
      <c r="B19" s="166"/>
      <c r="C19" s="167"/>
      <c r="D19" s="146"/>
      <c r="E19" s="147"/>
      <c r="F19" s="148"/>
      <c r="G19" s="147"/>
      <c r="H19" s="148"/>
      <c r="I19" s="149"/>
      <c r="J19" s="150" t="str">
        <f>IF(Overview[[#This Row],[Name]]="","",_xlfn.XLOOKUP(Overview[[#This Row],[Name]],Jan!B:B,Jan!C:C,""))</f>
        <v/>
      </c>
      <c r="K19" s="151" t="str">
        <f>IF(Overview[[#This Row],[Name]]="","",_xlfn.XLOOKUP(Overview[[#This Row],[Name]],Feb!B:B,Feb!C:C,""))</f>
        <v/>
      </c>
      <c r="L19" s="151" t="str">
        <f>IF(Overview[[#This Row],[Name]]="","",_xlfn.XLOOKUP(Overview[[#This Row],[Name]],Mar!B:B,Mar!C:C,""))</f>
        <v/>
      </c>
      <c r="M19" s="151" t="str">
        <f>IF(Overview[[#This Row],[Name]]="","",_xlfn.XLOOKUP(Overview[[#This Row],[Name]],Apr!B:B,Apr!C:C,""))</f>
        <v/>
      </c>
      <c r="N19" s="151" t="str">
        <f>IF(Overview[[#This Row],[Name]]="","",_xlfn.XLOOKUP(Overview[[#This Row],[Name]],May!B:B,May!C:C,""))</f>
        <v/>
      </c>
      <c r="O19" s="151" t="str">
        <f>IF(Overview[[#This Row],[Name]]="","",_xlfn.XLOOKUP(Overview[[#This Row],[Name]],Jun!B:B,Jun!C:C,""))</f>
        <v/>
      </c>
      <c r="P19" s="151" t="str">
        <f>IF(Overview[[#This Row],[Name]]="","",_xlfn.XLOOKUP(Overview[[#This Row],[Name]],Jul!B:B,Jul!C:C,""))</f>
        <v/>
      </c>
      <c r="Q19" s="151" t="str">
        <f>IF(Overview[[#This Row],[Name]]="","",_xlfn.XLOOKUP(Overview[[#This Row],[Name]],Aug!B:B,Aug!C:C,""))</f>
        <v/>
      </c>
      <c r="R19" s="151" t="str">
        <f>IF(Overview[[#This Row],[Name]]="","",_xlfn.XLOOKUP(Overview[[#This Row],[Name]],Sep!B:B,Sep!C:C,""))</f>
        <v/>
      </c>
      <c r="S19" s="151" t="str">
        <f>IF(Overview[[#This Row],[Name]]="","",_xlfn.XLOOKUP(Overview[[#This Row],[Name]],Oct!B:B,Oct!C:C,""))</f>
        <v/>
      </c>
      <c r="T19" s="151" t="str">
        <f>IF(Overview[[#This Row],[Name]]="","",_xlfn.XLOOKUP(Overview[[#This Row],[Name]],Nov!B:B,Nov!C:C,""))</f>
        <v/>
      </c>
      <c r="U19" s="152" t="str">
        <f>IF(Overview[[#This Row],[Name]]="","",_xlfn.XLOOKUP(Overview[[#This Row],[Name]],Dec!B:B,Dec!C:C,""))</f>
        <v/>
      </c>
    </row>
    <row r="20" spans="2:21" x14ac:dyDescent="0.25">
      <c r="B20" s="166"/>
      <c r="C20" s="167"/>
      <c r="D20" s="146"/>
      <c r="E20" s="147"/>
      <c r="F20" s="148"/>
      <c r="G20" s="147"/>
      <c r="H20" s="148"/>
      <c r="I20" s="149"/>
      <c r="J20" s="150" t="str">
        <f>IF(Overview[[#This Row],[Name]]="","",_xlfn.XLOOKUP(Overview[[#This Row],[Name]],Jan!B:B,Jan!C:C,""))</f>
        <v/>
      </c>
      <c r="K20" s="151" t="str">
        <f>IF(Overview[[#This Row],[Name]]="","",_xlfn.XLOOKUP(Overview[[#This Row],[Name]],Feb!B:B,Feb!C:C,""))</f>
        <v/>
      </c>
      <c r="L20" s="151" t="str">
        <f>IF(Overview[[#This Row],[Name]]="","",_xlfn.XLOOKUP(Overview[[#This Row],[Name]],Mar!B:B,Mar!C:C,""))</f>
        <v/>
      </c>
      <c r="M20" s="151" t="str">
        <f>IF(Overview[[#This Row],[Name]]="","",_xlfn.XLOOKUP(Overview[[#This Row],[Name]],Apr!B:B,Apr!C:C,""))</f>
        <v/>
      </c>
      <c r="N20" s="151" t="str">
        <f>IF(Overview[[#This Row],[Name]]="","",_xlfn.XLOOKUP(Overview[[#This Row],[Name]],May!B:B,May!C:C,""))</f>
        <v/>
      </c>
      <c r="O20" s="151" t="str">
        <f>IF(Overview[[#This Row],[Name]]="","",_xlfn.XLOOKUP(Overview[[#This Row],[Name]],Jun!B:B,Jun!C:C,""))</f>
        <v/>
      </c>
      <c r="P20" s="151" t="str">
        <f>IF(Overview[[#This Row],[Name]]="","",_xlfn.XLOOKUP(Overview[[#This Row],[Name]],Jul!B:B,Jul!C:C,""))</f>
        <v/>
      </c>
      <c r="Q20" s="151" t="str">
        <f>IF(Overview[[#This Row],[Name]]="","",_xlfn.XLOOKUP(Overview[[#This Row],[Name]],Aug!B:B,Aug!C:C,""))</f>
        <v/>
      </c>
      <c r="R20" s="151" t="str">
        <f>IF(Overview[[#This Row],[Name]]="","",_xlfn.XLOOKUP(Overview[[#This Row],[Name]],Sep!B:B,Sep!C:C,""))</f>
        <v/>
      </c>
      <c r="S20" s="151" t="str">
        <f>IF(Overview[[#This Row],[Name]]="","",_xlfn.XLOOKUP(Overview[[#This Row],[Name]],Oct!B:B,Oct!C:C,""))</f>
        <v/>
      </c>
      <c r="T20" s="151" t="str">
        <f>IF(Overview[[#This Row],[Name]]="","",_xlfn.XLOOKUP(Overview[[#This Row],[Name]],Nov!B:B,Nov!C:C,""))</f>
        <v/>
      </c>
      <c r="U20" s="152" t="str">
        <f>IF(Overview[[#This Row],[Name]]="","",_xlfn.XLOOKUP(Overview[[#This Row],[Name]],Dec!B:B,Dec!C:C,""))</f>
        <v/>
      </c>
    </row>
    <row r="21" spans="2:21" x14ac:dyDescent="0.25">
      <c r="B21" s="166"/>
      <c r="C21" s="167"/>
      <c r="D21" s="146"/>
      <c r="E21" s="147"/>
      <c r="F21" s="148"/>
      <c r="G21" s="147"/>
      <c r="H21" s="148"/>
      <c r="I21" s="149"/>
      <c r="J21" s="150" t="str">
        <f>IF(Overview[[#This Row],[Name]]="","",_xlfn.XLOOKUP(Overview[[#This Row],[Name]],Jan!B:B,Jan!C:C,""))</f>
        <v/>
      </c>
      <c r="K21" s="151" t="str">
        <f>IF(Overview[[#This Row],[Name]]="","",_xlfn.XLOOKUP(Overview[[#This Row],[Name]],Feb!B:B,Feb!C:C,""))</f>
        <v/>
      </c>
      <c r="L21" s="151" t="str">
        <f>IF(Overview[[#This Row],[Name]]="","",_xlfn.XLOOKUP(Overview[[#This Row],[Name]],Mar!B:B,Mar!C:C,""))</f>
        <v/>
      </c>
      <c r="M21" s="151" t="str">
        <f>IF(Overview[[#This Row],[Name]]="","",_xlfn.XLOOKUP(Overview[[#This Row],[Name]],Apr!B:B,Apr!C:C,""))</f>
        <v/>
      </c>
      <c r="N21" s="151" t="str">
        <f>IF(Overview[[#This Row],[Name]]="","",_xlfn.XLOOKUP(Overview[[#This Row],[Name]],May!B:B,May!C:C,""))</f>
        <v/>
      </c>
      <c r="O21" s="151" t="str">
        <f>IF(Overview[[#This Row],[Name]]="","",_xlfn.XLOOKUP(Overview[[#This Row],[Name]],Jun!B:B,Jun!C:C,""))</f>
        <v/>
      </c>
      <c r="P21" s="151" t="str">
        <f>IF(Overview[[#This Row],[Name]]="","",_xlfn.XLOOKUP(Overview[[#This Row],[Name]],Jul!B:B,Jul!C:C,""))</f>
        <v/>
      </c>
      <c r="Q21" s="151" t="str">
        <f>IF(Overview[[#This Row],[Name]]="","",_xlfn.XLOOKUP(Overview[[#This Row],[Name]],Aug!B:B,Aug!C:C,""))</f>
        <v/>
      </c>
      <c r="R21" s="151" t="str">
        <f>IF(Overview[[#This Row],[Name]]="","",_xlfn.XLOOKUP(Overview[[#This Row],[Name]],Sep!B:B,Sep!C:C,""))</f>
        <v/>
      </c>
      <c r="S21" s="151" t="str">
        <f>IF(Overview[[#This Row],[Name]]="","",_xlfn.XLOOKUP(Overview[[#This Row],[Name]],Oct!B:B,Oct!C:C,""))</f>
        <v/>
      </c>
      <c r="T21" s="151" t="str">
        <f>IF(Overview[[#This Row],[Name]]="","",_xlfn.XLOOKUP(Overview[[#This Row],[Name]],Nov!B:B,Nov!C:C,""))</f>
        <v/>
      </c>
      <c r="U21" s="152" t="str">
        <f>IF(Overview[[#This Row],[Name]]="","",_xlfn.XLOOKUP(Overview[[#This Row],[Name]],Dec!B:B,Dec!C:C,""))</f>
        <v/>
      </c>
    </row>
    <row r="22" spans="2:21" x14ac:dyDescent="0.25">
      <c r="B22" s="166"/>
      <c r="C22" s="167"/>
      <c r="D22" s="146"/>
      <c r="E22" s="147"/>
      <c r="F22" s="148"/>
      <c r="G22" s="147"/>
      <c r="H22" s="148"/>
      <c r="I22" s="149"/>
      <c r="J22" s="150" t="str">
        <f>IF(Overview[[#This Row],[Name]]="","",_xlfn.XLOOKUP(Overview[[#This Row],[Name]],Jan!B:B,Jan!C:C,""))</f>
        <v/>
      </c>
      <c r="K22" s="151" t="str">
        <f>IF(Overview[[#This Row],[Name]]="","",_xlfn.XLOOKUP(Overview[[#This Row],[Name]],Feb!B:B,Feb!C:C,""))</f>
        <v/>
      </c>
      <c r="L22" s="151" t="str">
        <f>IF(Overview[[#This Row],[Name]]="","",_xlfn.XLOOKUP(Overview[[#This Row],[Name]],Mar!B:B,Mar!C:C,""))</f>
        <v/>
      </c>
      <c r="M22" s="151" t="str">
        <f>IF(Overview[[#This Row],[Name]]="","",_xlfn.XLOOKUP(Overview[[#This Row],[Name]],Apr!B:B,Apr!C:C,""))</f>
        <v/>
      </c>
      <c r="N22" s="151" t="str">
        <f>IF(Overview[[#This Row],[Name]]="","",_xlfn.XLOOKUP(Overview[[#This Row],[Name]],May!B:B,May!C:C,""))</f>
        <v/>
      </c>
      <c r="O22" s="151" t="str">
        <f>IF(Overview[[#This Row],[Name]]="","",_xlfn.XLOOKUP(Overview[[#This Row],[Name]],Jun!B:B,Jun!C:C,""))</f>
        <v/>
      </c>
      <c r="P22" s="151" t="str">
        <f>IF(Overview[[#This Row],[Name]]="","",_xlfn.XLOOKUP(Overview[[#This Row],[Name]],Jul!B:B,Jul!C:C,""))</f>
        <v/>
      </c>
      <c r="Q22" s="151" t="str">
        <f>IF(Overview[[#This Row],[Name]]="","",_xlfn.XLOOKUP(Overview[[#This Row],[Name]],Aug!B:B,Aug!C:C,""))</f>
        <v/>
      </c>
      <c r="R22" s="151" t="str">
        <f>IF(Overview[[#This Row],[Name]]="","",_xlfn.XLOOKUP(Overview[[#This Row],[Name]],Sep!B:B,Sep!C:C,""))</f>
        <v/>
      </c>
      <c r="S22" s="151" t="str">
        <f>IF(Overview[[#This Row],[Name]]="","",_xlfn.XLOOKUP(Overview[[#This Row],[Name]],Oct!B:B,Oct!C:C,""))</f>
        <v/>
      </c>
      <c r="T22" s="151" t="str">
        <f>IF(Overview[[#This Row],[Name]]="","",_xlfn.XLOOKUP(Overview[[#This Row],[Name]],Nov!B:B,Nov!C:C,""))</f>
        <v/>
      </c>
      <c r="U22" s="152" t="str">
        <f>IF(Overview[[#This Row],[Name]]="","",_xlfn.XLOOKUP(Overview[[#This Row],[Name]],Dec!B:B,Dec!C:C,""))</f>
        <v/>
      </c>
    </row>
    <row r="23" spans="2:21" x14ac:dyDescent="0.25">
      <c r="B23" s="164"/>
      <c r="C23" s="165"/>
      <c r="D23" s="153"/>
      <c r="E23" s="154"/>
      <c r="F23" s="155"/>
      <c r="G23" s="154"/>
      <c r="H23" s="155"/>
      <c r="I23" s="156"/>
      <c r="J23" s="150" t="str">
        <f>IF(Overview[[#This Row],[Name]]="","",_xlfn.XLOOKUP(Overview[[#This Row],[Name]],Jan!B:B,Jan!C:C,""))</f>
        <v/>
      </c>
      <c r="K23" s="151" t="str">
        <f>IF(Overview[[#This Row],[Name]]="","",_xlfn.XLOOKUP(Overview[[#This Row],[Name]],Feb!B:B,Feb!C:C,""))</f>
        <v/>
      </c>
      <c r="L23" s="151" t="str">
        <f>IF(Overview[[#This Row],[Name]]="","",_xlfn.XLOOKUP(Overview[[#This Row],[Name]],Mar!B:B,Mar!C:C,""))</f>
        <v/>
      </c>
      <c r="M23" s="151" t="str">
        <f>IF(Overview[[#This Row],[Name]]="","",_xlfn.XLOOKUP(Overview[[#This Row],[Name]],Apr!B:B,Apr!C:C,""))</f>
        <v/>
      </c>
      <c r="N23" s="151" t="str">
        <f>IF(Overview[[#This Row],[Name]]="","",_xlfn.XLOOKUP(Overview[[#This Row],[Name]],May!B:B,May!C:C,""))</f>
        <v/>
      </c>
      <c r="O23" s="151" t="str">
        <f>IF(Overview[[#This Row],[Name]]="","",_xlfn.XLOOKUP(Overview[[#This Row],[Name]],Jun!B:B,Jun!C:C,""))</f>
        <v/>
      </c>
      <c r="P23" s="151" t="str">
        <f>IF(Overview[[#This Row],[Name]]="","",_xlfn.XLOOKUP(Overview[[#This Row],[Name]],Jul!B:B,Jul!C:C,""))</f>
        <v/>
      </c>
      <c r="Q23" s="151" t="str">
        <f>IF(Overview[[#This Row],[Name]]="","",_xlfn.XLOOKUP(Overview[[#This Row],[Name]],Aug!B:B,Aug!C:C,""))</f>
        <v/>
      </c>
      <c r="R23" s="151" t="str">
        <f>IF(Overview[[#This Row],[Name]]="","",_xlfn.XLOOKUP(Overview[[#This Row],[Name]],Sep!B:B,Sep!C:C,""))</f>
        <v/>
      </c>
      <c r="S23" s="151" t="str">
        <f>IF(Overview[[#This Row],[Name]]="","",_xlfn.XLOOKUP(Overview[[#This Row],[Name]],Oct!B:B,Oct!C:C,""))</f>
        <v/>
      </c>
      <c r="T23" s="151" t="str">
        <f>IF(Overview[[#This Row],[Name]]="","",_xlfn.XLOOKUP(Overview[[#This Row],[Name]],Nov!B:B,Nov!C:C,""))</f>
        <v/>
      </c>
      <c r="U23" s="152" t="str">
        <f>IF(Overview[[#This Row],[Name]]="","",_xlfn.XLOOKUP(Overview[[#This Row],[Name]],Dec!B:B,Dec!C:C,""))</f>
        <v/>
      </c>
    </row>
    <row r="24" spans="2:21" x14ac:dyDescent="0.25">
      <c r="B24" s="166"/>
      <c r="C24" s="167"/>
      <c r="D24" s="146"/>
      <c r="E24" s="147"/>
      <c r="F24" s="148"/>
      <c r="G24" s="147"/>
      <c r="H24" s="148"/>
      <c r="I24" s="149"/>
      <c r="J24" s="150" t="str">
        <f>IF(Overview[[#This Row],[Name]]="","",_xlfn.XLOOKUP(Overview[[#This Row],[Name]],Jan!B:B,Jan!C:C,""))</f>
        <v/>
      </c>
      <c r="K24" s="151" t="str">
        <f>IF(Overview[[#This Row],[Name]]="","",_xlfn.XLOOKUP(Overview[[#This Row],[Name]],Feb!B:B,Feb!C:C,""))</f>
        <v/>
      </c>
      <c r="L24" s="151" t="str">
        <f>IF(Overview[[#This Row],[Name]]="","",_xlfn.XLOOKUP(Overview[[#This Row],[Name]],Mar!B:B,Mar!C:C,""))</f>
        <v/>
      </c>
      <c r="M24" s="151" t="str">
        <f>IF(Overview[[#This Row],[Name]]="","",_xlfn.XLOOKUP(Overview[[#This Row],[Name]],Apr!B:B,Apr!C:C,""))</f>
        <v/>
      </c>
      <c r="N24" s="151" t="str">
        <f>IF(Overview[[#This Row],[Name]]="","",_xlfn.XLOOKUP(Overview[[#This Row],[Name]],May!B:B,May!C:C,""))</f>
        <v/>
      </c>
      <c r="O24" s="151" t="str">
        <f>IF(Overview[[#This Row],[Name]]="","",_xlfn.XLOOKUP(Overview[[#This Row],[Name]],Jun!B:B,Jun!C:C,""))</f>
        <v/>
      </c>
      <c r="P24" s="151" t="str">
        <f>IF(Overview[[#This Row],[Name]]="","",_xlfn.XLOOKUP(Overview[[#This Row],[Name]],Jul!B:B,Jul!C:C,""))</f>
        <v/>
      </c>
      <c r="Q24" s="151" t="str">
        <f>IF(Overview[[#This Row],[Name]]="","",_xlfn.XLOOKUP(Overview[[#This Row],[Name]],Aug!B:B,Aug!C:C,""))</f>
        <v/>
      </c>
      <c r="R24" s="151" t="str">
        <f>IF(Overview[[#This Row],[Name]]="","",_xlfn.XLOOKUP(Overview[[#This Row],[Name]],Sep!B:B,Sep!C:C,""))</f>
        <v/>
      </c>
      <c r="S24" s="151" t="str">
        <f>IF(Overview[[#This Row],[Name]]="","",_xlfn.XLOOKUP(Overview[[#This Row],[Name]],Oct!B:B,Oct!C:C,""))</f>
        <v/>
      </c>
      <c r="T24" s="151" t="str">
        <f>IF(Overview[[#This Row],[Name]]="","",_xlfn.XLOOKUP(Overview[[#This Row],[Name]],Nov!B:B,Nov!C:C,""))</f>
        <v/>
      </c>
      <c r="U24" s="152" t="str">
        <f>IF(Overview[[#This Row],[Name]]="","",_xlfn.XLOOKUP(Overview[[#This Row],[Name]],Dec!B:B,Dec!C:C,""))</f>
        <v/>
      </c>
    </row>
    <row r="25" spans="2:21" x14ac:dyDescent="0.25">
      <c r="B25" s="166"/>
      <c r="C25" s="167"/>
      <c r="D25" s="146"/>
      <c r="E25" s="147"/>
      <c r="F25" s="148"/>
      <c r="G25" s="147"/>
      <c r="H25" s="148"/>
      <c r="I25" s="149"/>
      <c r="J25" s="150" t="str">
        <f>IF(Overview[[#This Row],[Name]]="","",_xlfn.XLOOKUP(Overview[[#This Row],[Name]],Jan!B:B,Jan!C:C,""))</f>
        <v/>
      </c>
      <c r="K25" s="151" t="str">
        <f>IF(Overview[[#This Row],[Name]]="","",_xlfn.XLOOKUP(Overview[[#This Row],[Name]],Feb!B:B,Feb!C:C,""))</f>
        <v/>
      </c>
      <c r="L25" s="151" t="str">
        <f>IF(Overview[[#This Row],[Name]]="","",_xlfn.XLOOKUP(Overview[[#This Row],[Name]],Mar!B:B,Mar!C:C,""))</f>
        <v/>
      </c>
      <c r="M25" s="151" t="str">
        <f>IF(Overview[[#This Row],[Name]]="","",_xlfn.XLOOKUP(Overview[[#This Row],[Name]],Apr!B:B,Apr!C:C,""))</f>
        <v/>
      </c>
      <c r="N25" s="151" t="str">
        <f>IF(Overview[[#This Row],[Name]]="","",_xlfn.XLOOKUP(Overview[[#This Row],[Name]],May!B:B,May!C:C,""))</f>
        <v/>
      </c>
      <c r="O25" s="151" t="str">
        <f>IF(Overview[[#This Row],[Name]]="","",_xlfn.XLOOKUP(Overview[[#This Row],[Name]],Jun!B:B,Jun!C:C,""))</f>
        <v/>
      </c>
      <c r="P25" s="151" t="str">
        <f>IF(Overview[[#This Row],[Name]]="","",_xlfn.XLOOKUP(Overview[[#This Row],[Name]],Jul!B:B,Jul!C:C,""))</f>
        <v/>
      </c>
      <c r="Q25" s="151" t="str">
        <f>IF(Overview[[#This Row],[Name]]="","",_xlfn.XLOOKUP(Overview[[#This Row],[Name]],Aug!B:B,Aug!C:C,""))</f>
        <v/>
      </c>
      <c r="R25" s="151" t="str">
        <f>IF(Overview[[#This Row],[Name]]="","",_xlfn.XLOOKUP(Overview[[#This Row],[Name]],Sep!B:B,Sep!C:C,""))</f>
        <v/>
      </c>
      <c r="S25" s="151" t="str">
        <f>IF(Overview[[#This Row],[Name]]="","",_xlfn.XLOOKUP(Overview[[#This Row],[Name]],Oct!B:B,Oct!C:C,""))</f>
        <v/>
      </c>
      <c r="T25" s="151" t="str">
        <f>IF(Overview[[#This Row],[Name]]="","",_xlfn.XLOOKUP(Overview[[#This Row],[Name]],Nov!B:B,Nov!C:C,""))</f>
        <v/>
      </c>
      <c r="U25" s="152" t="str">
        <f>IF(Overview[[#This Row],[Name]]="","",_xlfn.XLOOKUP(Overview[[#This Row],[Name]],Dec!B:B,Dec!C:C,""))</f>
        <v/>
      </c>
    </row>
    <row r="26" spans="2:21" x14ac:dyDescent="0.25">
      <c r="B26" s="166"/>
      <c r="C26" s="167"/>
      <c r="D26" s="146"/>
      <c r="E26" s="147"/>
      <c r="F26" s="148"/>
      <c r="G26" s="147"/>
      <c r="H26" s="148"/>
      <c r="I26" s="149"/>
      <c r="J26" s="150" t="str">
        <f>IF(Overview[[#This Row],[Name]]="","",_xlfn.XLOOKUP(Overview[[#This Row],[Name]],Jan!B:B,Jan!C:C,""))</f>
        <v/>
      </c>
      <c r="K26" s="151" t="str">
        <f>IF(Overview[[#This Row],[Name]]="","",_xlfn.XLOOKUP(Overview[[#This Row],[Name]],Feb!B:B,Feb!C:C,""))</f>
        <v/>
      </c>
      <c r="L26" s="151" t="str">
        <f>IF(Overview[[#This Row],[Name]]="","",_xlfn.XLOOKUP(Overview[[#This Row],[Name]],Mar!B:B,Mar!C:C,""))</f>
        <v/>
      </c>
      <c r="M26" s="151" t="str">
        <f>IF(Overview[[#This Row],[Name]]="","",_xlfn.XLOOKUP(Overview[[#This Row],[Name]],Apr!B:B,Apr!C:C,""))</f>
        <v/>
      </c>
      <c r="N26" s="151" t="str">
        <f>IF(Overview[[#This Row],[Name]]="","",_xlfn.XLOOKUP(Overview[[#This Row],[Name]],May!B:B,May!C:C,""))</f>
        <v/>
      </c>
      <c r="O26" s="151" t="str">
        <f>IF(Overview[[#This Row],[Name]]="","",_xlfn.XLOOKUP(Overview[[#This Row],[Name]],Jun!B:B,Jun!C:C,""))</f>
        <v/>
      </c>
      <c r="P26" s="151" t="str">
        <f>IF(Overview[[#This Row],[Name]]="","",_xlfn.XLOOKUP(Overview[[#This Row],[Name]],Jul!B:B,Jul!C:C,""))</f>
        <v/>
      </c>
      <c r="Q26" s="151" t="str">
        <f>IF(Overview[[#This Row],[Name]]="","",_xlfn.XLOOKUP(Overview[[#This Row],[Name]],Aug!B:B,Aug!C:C,""))</f>
        <v/>
      </c>
      <c r="R26" s="151" t="str">
        <f>IF(Overview[[#This Row],[Name]]="","",_xlfn.XLOOKUP(Overview[[#This Row],[Name]],Sep!B:B,Sep!C:C,""))</f>
        <v/>
      </c>
      <c r="S26" s="151" t="str">
        <f>IF(Overview[[#This Row],[Name]]="","",_xlfn.XLOOKUP(Overview[[#This Row],[Name]],Oct!B:B,Oct!C:C,""))</f>
        <v/>
      </c>
      <c r="T26" s="151" t="str">
        <f>IF(Overview[[#This Row],[Name]]="","",_xlfn.XLOOKUP(Overview[[#This Row],[Name]],Nov!B:B,Nov!C:C,""))</f>
        <v/>
      </c>
      <c r="U26" s="152" t="str">
        <f>IF(Overview[[#This Row],[Name]]="","",_xlfn.XLOOKUP(Overview[[#This Row],[Name]],Dec!B:B,Dec!C:C,""))</f>
        <v/>
      </c>
    </row>
    <row r="27" spans="2:21" x14ac:dyDescent="0.25">
      <c r="B27" s="166"/>
      <c r="C27" s="167"/>
      <c r="D27" s="146"/>
      <c r="E27" s="147"/>
      <c r="F27" s="148"/>
      <c r="G27" s="147"/>
      <c r="H27" s="148"/>
      <c r="I27" s="149"/>
      <c r="J27" s="150" t="str">
        <f>IF(Overview[[#This Row],[Name]]="","",_xlfn.XLOOKUP(Overview[[#This Row],[Name]],Jan!B:B,Jan!C:C,""))</f>
        <v/>
      </c>
      <c r="K27" s="151" t="str">
        <f>IF(Overview[[#This Row],[Name]]="","",_xlfn.XLOOKUP(Overview[[#This Row],[Name]],Feb!B:B,Feb!C:C,""))</f>
        <v/>
      </c>
      <c r="L27" s="151" t="str">
        <f>IF(Overview[[#This Row],[Name]]="","",_xlfn.XLOOKUP(Overview[[#This Row],[Name]],Mar!B:B,Mar!C:C,""))</f>
        <v/>
      </c>
      <c r="M27" s="151" t="str">
        <f>IF(Overview[[#This Row],[Name]]="","",_xlfn.XLOOKUP(Overview[[#This Row],[Name]],Apr!B:B,Apr!C:C,""))</f>
        <v/>
      </c>
      <c r="N27" s="151" t="str">
        <f>IF(Overview[[#This Row],[Name]]="","",_xlfn.XLOOKUP(Overview[[#This Row],[Name]],May!B:B,May!C:C,""))</f>
        <v/>
      </c>
      <c r="O27" s="151" t="str">
        <f>IF(Overview[[#This Row],[Name]]="","",_xlfn.XLOOKUP(Overview[[#This Row],[Name]],Jun!B:B,Jun!C:C,""))</f>
        <v/>
      </c>
      <c r="P27" s="151" t="str">
        <f>IF(Overview[[#This Row],[Name]]="","",_xlfn.XLOOKUP(Overview[[#This Row],[Name]],Jul!B:B,Jul!C:C,""))</f>
        <v/>
      </c>
      <c r="Q27" s="151" t="str">
        <f>IF(Overview[[#This Row],[Name]]="","",_xlfn.XLOOKUP(Overview[[#This Row],[Name]],Aug!B:B,Aug!C:C,""))</f>
        <v/>
      </c>
      <c r="R27" s="151" t="str">
        <f>IF(Overview[[#This Row],[Name]]="","",_xlfn.XLOOKUP(Overview[[#This Row],[Name]],Sep!B:B,Sep!C:C,""))</f>
        <v/>
      </c>
      <c r="S27" s="151" t="str">
        <f>IF(Overview[[#This Row],[Name]]="","",_xlfn.XLOOKUP(Overview[[#This Row],[Name]],Oct!B:B,Oct!C:C,""))</f>
        <v/>
      </c>
      <c r="T27" s="151" t="str">
        <f>IF(Overview[[#This Row],[Name]]="","",_xlfn.XLOOKUP(Overview[[#This Row],[Name]],Nov!B:B,Nov!C:C,""))</f>
        <v/>
      </c>
      <c r="U27" s="152" t="str">
        <f>IF(Overview[[#This Row],[Name]]="","",_xlfn.XLOOKUP(Overview[[#This Row],[Name]],Dec!B:B,Dec!C:C,""))</f>
        <v/>
      </c>
    </row>
    <row r="28" spans="2:21" x14ac:dyDescent="0.25">
      <c r="B28" s="166"/>
      <c r="C28" s="167"/>
      <c r="D28" s="146"/>
      <c r="E28" s="147"/>
      <c r="F28" s="148"/>
      <c r="G28" s="147"/>
      <c r="H28" s="148"/>
      <c r="I28" s="149"/>
      <c r="J28" s="150" t="str">
        <f>IF(Overview[[#This Row],[Name]]="","",_xlfn.XLOOKUP(Overview[[#This Row],[Name]],Jan!B:B,Jan!C:C,""))</f>
        <v/>
      </c>
      <c r="K28" s="151" t="str">
        <f>IF(Overview[[#This Row],[Name]]="","",_xlfn.XLOOKUP(Overview[[#This Row],[Name]],Feb!B:B,Feb!C:C,""))</f>
        <v/>
      </c>
      <c r="L28" s="151" t="str">
        <f>IF(Overview[[#This Row],[Name]]="","",_xlfn.XLOOKUP(Overview[[#This Row],[Name]],Mar!B:B,Mar!C:C,""))</f>
        <v/>
      </c>
      <c r="M28" s="151" t="str">
        <f>IF(Overview[[#This Row],[Name]]="","",_xlfn.XLOOKUP(Overview[[#This Row],[Name]],Apr!B:B,Apr!C:C,""))</f>
        <v/>
      </c>
      <c r="N28" s="151" t="str">
        <f>IF(Overview[[#This Row],[Name]]="","",_xlfn.XLOOKUP(Overview[[#This Row],[Name]],May!B:B,May!C:C,""))</f>
        <v/>
      </c>
      <c r="O28" s="151" t="str">
        <f>IF(Overview[[#This Row],[Name]]="","",_xlfn.XLOOKUP(Overview[[#This Row],[Name]],Jun!B:B,Jun!C:C,""))</f>
        <v/>
      </c>
      <c r="P28" s="151" t="str">
        <f>IF(Overview[[#This Row],[Name]]="","",_xlfn.XLOOKUP(Overview[[#This Row],[Name]],Jul!B:B,Jul!C:C,""))</f>
        <v/>
      </c>
      <c r="Q28" s="151" t="str">
        <f>IF(Overview[[#This Row],[Name]]="","",_xlfn.XLOOKUP(Overview[[#This Row],[Name]],Aug!B:B,Aug!C:C,""))</f>
        <v/>
      </c>
      <c r="R28" s="151" t="str">
        <f>IF(Overview[[#This Row],[Name]]="","",_xlfn.XLOOKUP(Overview[[#This Row],[Name]],Sep!B:B,Sep!C:C,""))</f>
        <v/>
      </c>
      <c r="S28" s="151" t="str">
        <f>IF(Overview[[#This Row],[Name]]="","",_xlfn.XLOOKUP(Overview[[#This Row],[Name]],Oct!B:B,Oct!C:C,""))</f>
        <v/>
      </c>
      <c r="T28" s="151" t="str">
        <f>IF(Overview[[#This Row],[Name]]="","",_xlfn.XLOOKUP(Overview[[#This Row],[Name]],Nov!B:B,Nov!C:C,""))</f>
        <v/>
      </c>
      <c r="U28" s="152" t="str">
        <f>IF(Overview[[#This Row],[Name]]="","",_xlfn.XLOOKUP(Overview[[#This Row],[Name]],Dec!B:B,Dec!C:C,""))</f>
        <v/>
      </c>
    </row>
    <row r="29" spans="2:21" x14ac:dyDescent="0.25">
      <c r="B29" s="166"/>
      <c r="C29" s="167"/>
      <c r="D29" s="146"/>
      <c r="E29" s="147"/>
      <c r="F29" s="148"/>
      <c r="G29" s="147"/>
      <c r="H29" s="148"/>
      <c r="I29" s="149"/>
      <c r="J29" s="150" t="str">
        <f>IF(Overview[[#This Row],[Name]]="","",_xlfn.XLOOKUP(Overview[[#This Row],[Name]],Jan!B:B,Jan!C:C,""))</f>
        <v/>
      </c>
      <c r="K29" s="151" t="str">
        <f>IF(Overview[[#This Row],[Name]]="","",_xlfn.XLOOKUP(Overview[[#This Row],[Name]],Feb!B:B,Feb!C:C,""))</f>
        <v/>
      </c>
      <c r="L29" s="151" t="str">
        <f>IF(Overview[[#This Row],[Name]]="","",_xlfn.XLOOKUP(Overview[[#This Row],[Name]],Mar!B:B,Mar!C:C,""))</f>
        <v/>
      </c>
      <c r="M29" s="151" t="str">
        <f>IF(Overview[[#This Row],[Name]]="","",_xlfn.XLOOKUP(Overview[[#This Row],[Name]],Apr!B:B,Apr!C:C,""))</f>
        <v/>
      </c>
      <c r="N29" s="151" t="str">
        <f>IF(Overview[[#This Row],[Name]]="","",_xlfn.XLOOKUP(Overview[[#This Row],[Name]],May!B:B,May!C:C,""))</f>
        <v/>
      </c>
      <c r="O29" s="151" t="str">
        <f>IF(Overview[[#This Row],[Name]]="","",_xlfn.XLOOKUP(Overview[[#This Row],[Name]],Jun!B:B,Jun!C:C,""))</f>
        <v/>
      </c>
      <c r="P29" s="151" t="str">
        <f>IF(Overview[[#This Row],[Name]]="","",_xlfn.XLOOKUP(Overview[[#This Row],[Name]],Jul!B:B,Jul!C:C,""))</f>
        <v/>
      </c>
      <c r="Q29" s="151" t="str">
        <f>IF(Overview[[#This Row],[Name]]="","",_xlfn.XLOOKUP(Overview[[#This Row],[Name]],Aug!B:B,Aug!C:C,""))</f>
        <v/>
      </c>
      <c r="R29" s="151" t="str">
        <f>IF(Overview[[#This Row],[Name]]="","",_xlfn.XLOOKUP(Overview[[#This Row],[Name]],Sep!B:B,Sep!C:C,""))</f>
        <v/>
      </c>
      <c r="S29" s="151" t="str">
        <f>IF(Overview[[#This Row],[Name]]="","",_xlfn.XLOOKUP(Overview[[#This Row],[Name]],Oct!B:B,Oct!C:C,""))</f>
        <v/>
      </c>
      <c r="T29" s="151" t="str">
        <f>IF(Overview[[#This Row],[Name]]="","",_xlfn.XLOOKUP(Overview[[#This Row],[Name]],Nov!B:B,Nov!C:C,""))</f>
        <v/>
      </c>
      <c r="U29" s="152" t="str">
        <f>IF(Overview[[#This Row],[Name]]="","",_xlfn.XLOOKUP(Overview[[#This Row],[Name]],Dec!B:B,Dec!C:C,""))</f>
        <v/>
      </c>
    </row>
    <row r="30" spans="2:21" x14ac:dyDescent="0.25">
      <c r="B30" s="166"/>
      <c r="C30" s="167"/>
      <c r="D30" s="146"/>
      <c r="E30" s="147"/>
      <c r="F30" s="148"/>
      <c r="G30" s="147"/>
      <c r="H30" s="148"/>
      <c r="I30" s="149"/>
      <c r="J30" s="150" t="str">
        <f>IF(Overview[[#This Row],[Name]]="","",_xlfn.XLOOKUP(Overview[[#This Row],[Name]],Jan!B:B,Jan!C:C,""))</f>
        <v/>
      </c>
      <c r="K30" s="151" t="str">
        <f>IF(Overview[[#This Row],[Name]]="","",_xlfn.XLOOKUP(Overview[[#This Row],[Name]],Feb!B:B,Feb!C:C,""))</f>
        <v/>
      </c>
      <c r="L30" s="151" t="str">
        <f>IF(Overview[[#This Row],[Name]]="","",_xlfn.XLOOKUP(Overview[[#This Row],[Name]],Mar!B:B,Mar!C:C,""))</f>
        <v/>
      </c>
      <c r="M30" s="151" t="str">
        <f>IF(Overview[[#This Row],[Name]]="","",_xlfn.XLOOKUP(Overview[[#This Row],[Name]],Apr!B:B,Apr!C:C,""))</f>
        <v/>
      </c>
      <c r="N30" s="151" t="str">
        <f>IF(Overview[[#This Row],[Name]]="","",_xlfn.XLOOKUP(Overview[[#This Row],[Name]],May!B:B,May!C:C,""))</f>
        <v/>
      </c>
      <c r="O30" s="151" t="str">
        <f>IF(Overview[[#This Row],[Name]]="","",_xlfn.XLOOKUP(Overview[[#This Row],[Name]],Jun!B:B,Jun!C:C,""))</f>
        <v/>
      </c>
      <c r="P30" s="151" t="str">
        <f>IF(Overview[[#This Row],[Name]]="","",_xlfn.XLOOKUP(Overview[[#This Row],[Name]],Jul!B:B,Jul!C:C,""))</f>
        <v/>
      </c>
      <c r="Q30" s="151" t="str">
        <f>IF(Overview[[#This Row],[Name]]="","",_xlfn.XLOOKUP(Overview[[#This Row],[Name]],Aug!B:B,Aug!C:C,""))</f>
        <v/>
      </c>
      <c r="R30" s="151" t="str">
        <f>IF(Overview[[#This Row],[Name]]="","",_xlfn.XLOOKUP(Overview[[#This Row],[Name]],Sep!B:B,Sep!C:C,""))</f>
        <v/>
      </c>
      <c r="S30" s="151" t="str">
        <f>IF(Overview[[#This Row],[Name]]="","",_xlfn.XLOOKUP(Overview[[#This Row],[Name]],Oct!B:B,Oct!C:C,""))</f>
        <v/>
      </c>
      <c r="T30" s="151" t="str">
        <f>IF(Overview[[#This Row],[Name]]="","",_xlfn.XLOOKUP(Overview[[#This Row],[Name]],Nov!B:B,Nov!C:C,""))</f>
        <v/>
      </c>
      <c r="U30" s="152" t="str">
        <f>IF(Overview[[#This Row],[Name]]="","",_xlfn.XLOOKUP(Overview[[#This Row],[Name]],Dec!B:B,Dec!C:C,""))</f>
        <v/>
      </c>
    </row>
    <row r="31" spans="2:21" x14ac:dyDescent="0.25">
      <c r="B31" s="166"/>
      <c r="C31" s="167"/>
      <c r="D31" s="146"/>
      <c r="E31" s="147"/>
      <c r="F31" s="148"/>
      <c r="G31" s="147"/>
      <c r="H31" s="148"/>
      <c r="I31" s="149"/>
      <c r="J31" s="150" t="str">
        <f>IF(Overview[[#This Row],[Name]]="","",_xlfn.XLOOKUP(Overview[[#This Row],[Name]],Jan!B:B,Jan!C:C,""))</f>
        <v/>
      </c>
      <c r="K31" s="151" t="str">
        <f>IF(Overview[[#This Row],[Name]]="","",_xlfn.XLOOKUP(Overview[[#This Row],[Name]],Feb!B:B,Feb!C:C,""))</f>
        <v/>
      </c>
      <c r="L31" s="151" t="str">
        <f>IF(Overview[[#This Row],[Name]]="","",_xlfn.XLOOKUP(Overview[[#This Row],[Name]],Mar!B:B,Mar!C:C,""))</f>
        <v/>
      </c>
      <c r="M31" s="151" t="str">
        <f>IF(Overview[[#This Row],[Name]]="","",_xlfn.XLOOKUP(Overview[[#This Row],[Name]],Apr!B:B,Apr!C:C,""))</f>
        <v/>
      </c>
      <c r="N31" s="151" t="str">
        <f>IF(Overview[[#This Row],[Name]]="","",_xlfn.XLOOKUP(Overview[[#This Row],[Name]],May!B:B,May!C:C,""))</f>
        <v/>
      </c>
      <c r="O31" s="151" t="str">
        <f>IF(Overview[[#This Row],[Name]]="","",_xlfn.XLOOKUP(Overview[[#This Row],[Name]],Jun!B:B,Jun!C:C,""))</f>
        <v/>
      </c>
      <c r="P31" s="151" t="str">
        <f>IF(Overview[[#This Row],[Name]]="","",_xlfn.XLOOKUP(Overview[[#This Row],[Name]],Jul!B:B,Jul!C:C,""))</f>
        <v/>
      </c>
      <c r="Q31" s="151" t="str">
        <f>IF(Overview[[#This Row],[Name]]="","",_xlfn.XLOOKUP(Overview[[#This Row],[Name]],Aug!B:B,Aug!C:C,""))</f>
        <v/>
      </c>
      <c r="R31" s="151" t="str">
        <f>IF(Overview[[#This Row],[Name]]="","",_xlfn.XLOOKUP(Overview[[#This Row],[Name]],Sep!B:B,Sep!C:C,""))</f>
        <v/>
      </c>
      <c r="S31" s="151" t="str">
        <f>IF(Overview[[#This Row],[Name]]="","",_xlfn.XLOOKUP(Overview[[#This Row],[Name]],Oct!B:B,Oct!C:C,""))</f>
        <v/>
      </c>
      <c r="T31" s="151" t="str">
        <f>IF(Overview[[#This Row],[Name]]="","",_xlfn.XLOOKUP(Overview[[#This Row],[Name]],Nov!B:B,Nov!C:C,""))</f>
        <v/>
      </c>
      <c r="U31" s="152" t="str">
        <f>IF(Overview[[#This Row],[Name]]="","",_xlfn.XLOOKUP(Overview[[#This Row],[Name]],Dec!B:B,Dec!C:C,""))</f>
        <v/>
      </c>
    </row>
    <row r="32" spans="2:21" x14ac:dyDescent="0.25">
      <c r="B32" s="166"/>
      <c r="C32" s="167"/>
      <c r="D32" s="146"/>
      <c r="E32" s="147"/>
      <c r="F32" s="148"/>
      <c r="G32" s="147"/>
      <c r="H32" s="148"/>
      <c r="I32" s="149"/>
      <c r="J32" s="150" t="str">
        <f>IF(Overview[[#This Row],[Name]]="","",_xlfn.XLOOKUP(Overview[[#This Row],[Name]],Jan!B:B,Jan!C:C,""))</f>
        <v/>
      </c>
      <c r="K32" s="151" t="str">
        <f>IF(Overview[[#This Row],[Name]]="","",_xlfn.XLOOKUP(Overview[[#This Row],[Name]],Feb!B:B,Feb!C:C,""))</f>
        <v/>
      </c>
      <c r="L32" s="151" t="str">
        <f>IF(Overview[[#This Row],[Name]]="","",_xlfn.XLOOKUP(Overview[[#This Row],[Name]],Mar!B:B,Mar!C:C,""))</f>
        <v/>
      </c>
      <c r="M32" s="151" t="str">
        <f>IF(Overview[[#This Row],[Name]]="","",_xlfn.XLOOKUP(Overview[[#This Row],[Name]],Apr!B:B,Apr!C:C,""))</f>
        <v/>
      </c>
      <c r="N32" s="151" t="str">
        <f>IF(Overview[[#This Row],[Name]]="","",_xlfn.XLOOKUP(Overview[[#This Row],[Name]],May!B:B,May!C:C,""))</f>
        <v/>
      </c>
      <c r="O32" s="151" t="str">
        <f>IF(Overview[[#This Row],[Name]]="","",_xlfn.XLOOKUP(Overview[[#This Row],[Name]],Jun!B:B,Jun!C:C,""))</f>
        <v/>
      </c>
      <c r="P32" s="151" t="str">
        <f>IF(Overview[[#This Row],[Name]]="","",_xlfn.XLOOKUP(Overview[[#This Row],[Name]],Jul!B:B,Jul!C:C,""))</f>
        <v/>
      </c>
      <c r="Q32" s="151" t="str">
        <f>IF(Overview[[#This Row],[Name]]="","",_xlfn.XLOOKUP(Overview[[#This Row],[Name]],Aug!B:B,Aug!C:C,""))</f>
        <v/>
      </c>
      <c r="R32" s="151" t="str">
        <f>IF(Overview[[#This Row],[Name]]="","",_xlfn.XLOOKUP(Overview[[#This Row],[Name]],Sep!B:B,Sep!C:C,""))</f>
        <v/>
      </c>
      <c r="S32" s="151" t="str">
        <f>IF(Overview[[#This Row],[Name]]="","",_xlfn.XLOOKUP(Overview[[#This Row],[Name]],Oct!B:B,Oct!C:C,""))</f>
        <v/>
      </c>
      <c r="T32" s="151" t="str">
        <f>IF(Overview[[#This Row],[Name]]="","",_xlfn.XLOOKUP(Overview[[#This Row],[Name]],Nov!B:B,Nov!C:C,""))</f>
        <v/>
      </c>
      <c r="U32" s="152" t="str">
        <f>IF(Overview[[#This Row],[Name]]="","",_xlfn.XLOOKUP(Overview[[#This Row],[Name]],Dec!B:B,Dec!C:C,""))</f>
        <v/>
      </c>
    </row>
    <row r="33" spans="2:21" x14ac:dyDescent="0.25">
      <c r="B33" s="166"/>
      <c r="C33" s="167"/>
      <c r="D33" s="146"/>
      <c r="E33" s="147"/>
      <c r="F33" s="148"/>
      <c r="G33" s="147"/>
      <c r="H33" s="148"/>
      <c r="I33" s="149"/>
      <c r="J33" s="150" t="str">
        <f>IF(Overview[[#This Row],[Name]]="","",_xlfn.XLOOKUP(Overview[[#This Row],[Name]],Jan!B:B,Jan!C:C,""))</f>
        <v/>
      </c>
      <c r="K33" s="151" t="str">
        <f>IF(Overview[[#This Row],[Name]]="","",_xlfn.XLOOKUP(Overview[[#This Row],[Name]],Feb!B:B,Feb!C:C,""))</f>
        <v/>
      </c>
      <c r="L33" s="151" t="str">
        <f>IF(Overview[[#This Row],[Name]]="","",_xlfn.XLOOKUP(Overview[[#This Row],[Name]],Mar!B:B,Mar!C:C,""))</f>
        <v/>
      </c>
      <c r="M33" s="151" t="str">
        <f>IF(Overview[[#This Row],[Name]]="","",_xlfn.XLOOKUP(Overview[[#This Row],[Name]],Apr!B:B,Apr!C:C,""))</f>
        <v/>
      </c>
      <c r="N33" s="151" t="str">
        <f>IF(Overview[[#This Row],[Name]]="","",_xlfn.XLOOKUP(Overview[[#This Row],[Name]],May!B:B,May!C:C,""))</f>
        <v/>
      </c>
      <c r="O33" s="151" t="str">
        <f>IF(Overview[[#This Row],[Name]]="","",_xlfn.XLOOKUP(Overview[[#This Row],[Name]],Jun!B:B,Jun!C:C,""))</f>
        <v/>
      </c>
      <c r="P33" s="151" t="str">
        <f>IF(Overview[[#This Row],[Name]]="","",_xlfn.XLOOKUP(Overview[[#This Row],[Name]],Jul!B:B,Jul!C:C,""))</f>
        <v/>
      </c>
      <c r="Q33" s="151" t="str">
        <f>IF(Overview[[#This Row],[Name]]="","",_xlfn.XLOOKUP(Overview[[#This Row],[Name]],Aug!B:B,Aug!C:C,""))</f>
        <v/>
      </c>
      <c r="R33" s="151" t="str">
        <f>IF(Overview[[#This Row],[Name]]="","",_xlfn.XLOOKUP(Overview[[#This Row],[Name]],Sep!B:B,Sep!C:C,""))</f>
        <v/>
      </c>
      <c r="S33" s="151" t="str">
        <f>IF(Overview[[#This Row],[Name]]="","",_xlfn.XLOOKUP(Overview[[#This Row],[Name]],Oct!B:B,Oct!C:C,""))</f>
        <v/>
      </c>
      <c r="T33" s="151" t="str">
        <f>IF(Overview[[#This Row],[Name]]="","",_xlfn.XLOOKUP(Overview[[#This Row],[Name]],Nov!B:B,Nov!C:C,""))</f>
        <v/>
      </c>
      <c r="U33" s="152" t="str">
        <f>IF(Overview[[#This Row],[Name]]="","",_xlfn.XLOOKUP(Overview[[#This Row],[Name]],Dec!B:B,Dec!C:C,""))</f>
        <v/>
      </c>
    </row>
    <row r="34" spans="2:21" x14ac:dyDescent="0.25">
      <c r="B34" s="166"/>
      <c r="C34" s="167"/>
      <c r="D34" s="146"/>
      <c r="E34" s="147"/>
      <c r="F34" s="148"/>
      <c r="G34" s="147"/>
      <c r="H34" s="148"/>
      <c r="I34" s="149"/>
      <c r="J34" s="150" t="str">
        <f>IF(Overview[[#This Row],[Name]]="","",_xlfn.XLOOKUP(Overview[[#This Row],[Name]],Jan!B:B,Jan!C:C,""))</f>
        <v/>
      </c>
      <c r="K34" s="151" t="str">
        <f>IF(Overview[[#This Row],[Name]]="","",_xlfn.XLOOKUP(Overview[[#This Row],[Name]],Feb!B:B,Feb!C:C,""))</f>
        <v/>
      </c>
      <c r="L34" s="151" t="str">
        <f>IF(Overview[[#This Row],[Name]]="","",_xlfn.XLOOKUP(Overview[[#This Row],[Name]],Mar!B:B,Mar!C:C,""))</f>
        <v/>
      </c>
      <c r="M34" s="151" t="str">
        <f>IF(Overview[[#This Row],[Name]]="","",_xlfn.XLOOKUP(Overview[[#This Row],[Name]],Apr!B:B,Apr!C:C,""))</f>
        <v/>
      </c>
      <c r="N34" s="151" t="str">
        <f>IF(Overview[[#This Row],[Name]]="","",_xlfn.XLOOKUP(Overview[[#This Row],[Name]],May!B:B,May!C:C,""))</f>
        <v/>
      </c>
      <c r="O34" s="151" t="str">
        <f>IF(Overview[[#This Row],[Name]]="","",_xlfn.XLOOKUP(Overview[[#This Row],[Name]],Jun!B:B,Jun!C:C,""))</f>
        <v/>
      </c>
      <c r="P34" s="151" t="str">
        <f>IF(Overview[[#This Row],[Name]]="","",_xlfn.XLOOKUP(Overview[[#This Row],[Name]],Jul!B:B,Jul!C:C,""))</f>
        <v/>
      </c>
      <c r="Q34" s="151" t="str">
        <f>IF(Overview[[#This Row],[Name]]="","",_xlfn.XLOOKUP(Overview[[#This Row],[Name]],Aug!B:B,Aug!C:C,""))</f>
        <v/>
      </c>
      <c r="R34" s="151" t="str">
        <f>IF(Overview[[#This Row],[Name]]="","",_xlfn.XLOOKUP(Overview[[#This Row],[Name]],Sep!B:B,Sep!C:C,""))</f>
        <v/>
      </c>
      <c r="S34" s="151" t="str">
        <f>IF(Overview[[#This Row],[Name]]="","",_xlfn.XLOOKUP(Overview[[#This Row],[Name]],Oct!B:B,Oct!C:C,""))</f>
        <v/>
      </c>
      <c r="T34" s="151" t="str">
        <f>IF(Overview[[#This Row],[Name]]="","",_xlfn.XLOOKUP(Overview[[#This Row],[Name]],Nov!B:B,Nov!C:C,""))</f>
        <v/>
      </c>
      <c r="U34" s="152" t="str">
        <f>IF(Overview[[#This Row],[Name]]="","",_xlfn.XLOOKUP(Overview[[#This Row],[Name]],Dec!B:B,Dec!C:C,""))</f>
        <v/>
      </c>
    </row>
    <row r="35" spans="2:21" x14ac:dyDescent="0.25">
      <c r="B35" s="166"/>
      <c r="C35" s="167"/>
      <c r="D35" s="146"/>
      <c r="E35" s="147"/>
      <c r="F35" s="148"/>
      <c r="G35" s="147"/>
      <c r="H35" s="148"/>
      <c r="I35" s="149"/>
      <c r="J35" s="150" t="str">
        <f>IF(Overview[[#This Row],[Name]]="","",_xlfn.XLOOKUP(Overview[[#This Row],[Name]],Jan!B:B,Jan!C:C,""))</f>
        <v/>
      </c>
      <c r="K35" s="151" t="str">
        <f>IF(Overview[[#This Row],[Name]]="","",_xlfn.XLOOKUP(Overview[[#This Row],[Name]],Feb!B:B,Feb!C:C,""))</f>
        <v/>
      </c>
      <c r="L35" s="151" t="str">
        <f>IF(Overview[[#This Row],[Name]]="","",_xlfn.XLOOKUP(Overview[[#This Row],[Name]],Mar!B:B,Mar!C:C,""))</f>
        <v/>
      </c>
      <c r="M35" s="151" t="str">
        <f>IF(Overview[[#This Row],[Name]]="","",_xlfn.XLOOKUP(Overview[[#This Row],[Name]],Apr!B:B,Apr!C:C,""))</f>
        <v/>
      </c>
      <c r="N35" s="151" t="str">
        <f>IF(Overview[[#This Row],[Name]]="","",_xlfn.XLOOKUP(Overview[[#This Row],[Name]],May!B:B,May!C:C,""))</f>
        <v/>
      </c>
      <c r="O35" s="151" t="str">
        <f>IF(Overview[[#This Row],[Name]]="","",_xlfn.XLOOKUP(Overview[[#This Row],[Name]],Jun!B:B,Jun!C:C,""))</f>
        <v/>
      </c>
      <c r="P35" s="151" t="str">
        <f>IF(Overview[[#This Row],[Name]]="","",_xlfn.XLOOKUP(Overview[[#This Row],[Name]],Jul!B:B,Jul!C:C,""))</f>
        <v/>
      </c>
      <c r="Q35" s="151" t="str">
        <f>IF(Overview[[#This Row],[Name]]="","",_xlfn.XLOOKUP(Overview[[#This Row],[Name]],Aug!B:B,Aug!C:C,""))</f>
        <v/>
      </c>
      <c r="R35" s="151" t="str">
        <f>IF(Overview[[#This Row],[Name]]="","",_xlfn.XLOOKUP(Overview[[#This Row],[Name]],Sep!B:B,Sep!C:C,""))</f>
        <v/>
      </c>
      <c r="S35" s="151" t="str">
        <f>IF(Overview[[#This Row],[Name]]="","",_xlfn.XLOOKUP(Overview[[#This Row],[Name]],Oct!B:B,Oct!C:C,""))</f>
        <v/>
      </c>
      <c r="T35" s="151" t="str">
        <f>IF(Overview[[#This Row],[Name]]="","",_xlfn.XLOOKUP(Overview[[#This Row],[Name]],Nov!B:B,Nov!C:C,""))</f>
        <v/>
      </c>
      <c r="U35" s="152" t="str">
        <f>IF(Overview[[#This Row],[Name]]="","",_xlfn.XLOOKUP(Overview[[#This Row],[Name]],Dec!B:B,Dec!C:C,""))</f>
        <v/>
      </c>
    </row>
    <row r="36" spans="2:21" x14ac:dyDescent="0.25">
      <c r="B36" s="166"/>
      <c r="C36" s="167"/>
      <c r="D36" s="146"/>
      <c r="E36" s="147"/>
      <c r="F36" s="148"/>
      <c r="G36" s="147"/>
      <c r="H36" s="148"/>
      <c r="I36" s="149"/>
      <c r="J36" s="150" t="str">
        <f>IF(Overview[[#This Row],[Name]]="","",_xlfn.XLOOKUP(Overview[[#This Row],[Name]],Jan!B:B,Jan!C:C,""))</f>
        <v/>
      </c>
      <c r="K36" s="151" t="str">
        <f>IF(Overview[[#This Row],[Name]]="","",_xlfn.XLOOKUP(Overview[[#This Row],[Name]],Feb!B:B,Feb!C:C,""))</f>
        <v/>
      </c>
      <c r="L36" s="151" t="str">
        <f>IF(Overview[[#This Row],[Name]]="","",_xlfn.XLOOKUP(Overview[[#This Row],[Name]],Mar!B:B,Mar!C:C,""))</f>
        <v/>
      </c>
      <c r="M36" s="151" t="str">
        <f>IF(Overview[[#This Row],[Name]]="","",_xlfn.XLOOKUP(Overview[[#This Row],[Name]],Apr!B:B,Apr!C:C,""))</f>
        <v/>
      </c>
      <c r="N36" s="151" t="str">
        <f>IF(Overview[[#This Row],[Name]]="","",_xlfn.XLOOKUP(Overview[[#This Row],[Name]],May!B:B,May!C:C,""))</f>
        <v/>
      </c>
      <c r="O36" s="151" t="str">
        <f>IF(Overview[[#This Row],[Name]]="","",_xlfn.XLOOKUP(Overview[[#This Row],[Name]],Jun!B:B,Jun!C:C,""))</f>
        <v/>
      </c>
      <c r="P36" s="151" t="str">
        <f>IF(Overview[[#This Row],[Name]]="","",_xlfn.XLOOKUP(Overview[[#This Row],[Name]],Jul!B:B,Jul!C:C,""))</f>
        <v/>
      </c>
      <c r="Q36" s="151" t="str">
        <f>IF(Overview[[#This Row],[Name]]="","",_xlfn.XLOOKUP(Overview[[#This Row],[Name]],Aug!B:B,Aug!C:C,""))</f>
        <v/>
      </c>
      <c r="R36" s="151" t="str">
        <f>IF(Overview[[#This Row],[Name]]="","",_xlfn.XLOOKUP(Overview[[#This Row],[Name]],Sep!B:B,Sep!C:C,""))</f>
        <v/>
      </c>
      <c r="S36" s="151" t="str">
        <f>IF(Overview[[#This Row],[Name]]="","",_xlfn.XLOOKUP(Overview[[#This Row],[Name]],Oct!B:B,Oct!C:C,""))</f>
        <v/>
      </c>
      <c r="T36" s="151" t="str">
        <f>IF(Overview[[#This Row],[Name]]="","",_xlfn.XLOOKUP(Overview[[#This Row],[Name]],Nov!B:B,Nov!C:C,""))</f>
        <v/>
      </c>
      <c r="U36" s="152" t="str">
        <f>IF(Overview[[#This Row],[Name]]="","",_xlfn.XLOOKUP(Overview[[#This Row],[Name]],Dec!B:B,Dec!C:C,""))</f>
        <v/>
      </c>
    </row>
    <row r="37" spans="2:21" x14ac:dyDescent="0.25">
      <c r="B37" s="166"/>
      <c r="C37" s="167"/>
      <c r="D37" s="146"/>
      <c r="E37" s="147"/>
      <c r="F37" s="148"/>
      <c r="G37" s="147"/>
      <c r="H37" s="148"/>
      <c r="I37" s="149"/>
      <c r="J37" s="150" t="str">
        <f>IF(Overview[[#This Row],[Name]]="","",_xlfn.XLOOKUP(Overview[[#This Row],[Name]],Jan!B:B,Jan!C:C,""))</f>
        <v/>
      </c>
      <c r="K37" s="151" t="str">
        <f>IF(Overview[[#This Row],[Name]]="","",_xlfn.XLOOKUP(Overview[[#This Row],[Name]],Feb!B:B,Feb!C:C,""))</f>
        <v/>
      </c>
      <c r="L37" s="151" t="str">
        <f>IF(Overview[[#This Row],[Name]]="","",_xlfn.XLOOKUP(Overview[[#This Row],[Name]],Mar!B:B,Mar!C:C,""))</f>
        <v/>
      </c>
      <c r="M37" s="151" t="str">
        <f>IF(Overview[[#This Row],[Name]]="","",_xlfn.XLOOKUP(Overview[[#This Row],[Name]],Apr!B:B,Apr!C:C,""))</f>
        <v/>
      </c>
      <c r="N37" s="151" t="str">
        <f>IF(Overview[[#This Row],[Name]]="","",_xlfn.XLOOKUP(Overview[[#This Row],[Name]],May!B:B,May!C:C,""))</f>
        <v/>
      </c>
      <c r="O37" s="151" t="str">
        <f>IF(Overview[[#This Row],[Name]]="","",_xlfn.XLOOKUP(Overview[[#This Row],[Name]],Jun!B:B,Jun!C:C,""))</f>
        <v/>
      </c>
      <c r="P37" s="151" t="str">
        <f>IF(Overview[[#This Row],[Name]]="","",_xlfn.XLOOKUP(Overview[[#This Row],[Name]],Jul!B:B,Jul!C:C,""))</f>
        <v/>
      </c>
      <c r="Q37" s="151" t="str">
        <f>IF(Overview[[#This Row],[Name]]="","",_xlfn.XLOOKUP(Overview[[#This Row],[Name]],Aug!B:B,Aug!C:C,""))</f>
        <v/>
      </c>
      <c r="R37" s="151" t="str">
        <f>IF(Overview[[#This Row],[Name]]="","",_xlfn.XLOOKUP(Overview[[#This Row],[Name]],Sep!B:B,Sep!C:C,""))</f>
        <v/>
      </c>
      <c r="S37" s="151" t="str">
        <f>IF(Overview[[#This Row],[Name]]="","",_xlfn.XLOOKUP(Overview[[#This Row],[Name]],Oct!B:B,Oct!C:C,""))</f>
        <v/>
      </c>
      <c r="T37" s="151" t="str">
        <f>IF(Overview[[#This Row],[Name]]="","",_xlfn.XLOOKUP(Overview[[#This Row],[Name]],Nov!B:B,Nov!C:C,""))</f>
        <v/>
      </c>
      <c r="U37" s="152" t="str">
        <f>IF(Overview[[#This Row],[Name]]="","",_xlfn.XLOOKUP(Overview[[#This Row],[Name]],Dec!B:B,Dec!C:C,""))</f>
        <v/>
      </c>
    </row>
    <row r="38" spans="2:21" ht="15.75" thickBot="1" x14ac:dyDescent="0.3">
      <c r="B38" s="204"/>
      <c r="C38" s="205"/>
      <c r="D38" s="157"/>
      <c r="E38" s="158"/>
      <c r="F38" s="159"/>
      <c r="G38" s="158"/>
      <c r="H38" s="159"/>
      <c r="I38" s="160"/>
      <c r="J38" s="161" t="str">
        <f>IF(Overview[[#This Row],[Name]]="","",_xlfn.XLOOKUP(Overview[[#This Row],[Name]],Jan!B:B,Jan!C:C,""))</f>
        <v/>
      </c>
      <c r="K38" s="162" t="str">
        <f>IF(Overview[[#This Row],[Name]]="","",_xlfn.XLOOKUP(Overview[[#This Row],[Name]],Feb!B:B,Feb!C:C,""))</f>
        <v/>
      </c>
      <c r="L38" s="162" t="str">
        <f>IF(Overview[[#This Row],[Name]]="","",_xlfn.XLOOKUP(Overview[[#This Row],[Name]],Mar!B:B,Mar!C:C,""))</f>
        <v/>
      </c>
      <c r="M38" s="162" t="str">
        <f>IF(Overview[[#This Row],[Name]]="","",_xlfn.XLOOKUP(Overview[[#This Row],[Name]],Apr!B:B,Apr!C:C,""))</f>
        <v/>
      </c>
      <c r="N38" s="162" t="str">
        <f>IF(Overview[[#This Row],[Name]]="","",_xlfn.XLOOKUP(Overview[[#This Row],[Name]],May!B:B,May!C:C,""))</f>
        <v/>
      </c>
      <c r="O38" s="162" t="str">
        <f>IF(Overview[[#This Row],[Name]]="","",_xlfn.XLOOKUP(Overview[[#This Row],[Name]],Jun!B:B,Jun!C:C,""))</f>
        <v/>
      </c>
      <c r="P38" s="162" t="str">
        <f>IF(Overview[[#This Row],[Name]]="","",_xlfn.XLOOKUP(Overview[[#This Row],[Name]],Jul!B:B,Jul!C:C,""))</f>
        <v/>
      </c>
      <c r="Q38" s="162" t="str">
        <f>IF(Overview[[#This Row],[Name]]="","",_xlfn.XLOOKUP(Overview[[#This Row],[Name]],Aug!B:B,Aug!C:C,""))</f>
        <v/>
      </c>
      <c r="R38" s="162" t="str">
        <f>IF(Overview[[#This Row],[Name]]="","",_xlfn.XLOOKUP(Overview[[#This Row],[Name]],Sep!B:B,Sep!C:C,""))</f>
        <v/>
      </c>
      <c r="S38" s="162" t="str">
        <f>IF(Overview[[#This Row],[Name]]="","",_xlfn.XLOOKUP(Overview[[#This Row],[Name]],Oct!B:B,Oct!C:C,""))</f>
        <v/>
      </c>
      <c r="T38" s="162" t="str">
        <f>IF(Overview[[#This Row],[Name]]="","",_xlfn.XLOOKUP(Overview[[#This Row],[Name]],Nov!B:B,Nov!C:C,""))</f>
        <v/>
      </c>
      <c r="U38" s="163" t="str">
        <f>IF(Overview[[#This Row],[Name]]="","",_xlfn.XLOOKUP(Overview[[#This Row],[Name]],Dec!B:B,Dec!C:C,""))</f>
        <v/>
      </c>
    </row>
  </sheetData>
  <mergeCells count="3">
    <mergeCell ref="D2:I2"/>
    <mergeCell ref="J2:U2"/>
    <mergeCell ref="B2:C2"/>
  </mergeCells>
  <phoneticPr fontId="6"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623C-4E16-4FDB-AD7D-499ADF3BF5D1}">
  <sheetPr>
    <tabColor theme="9"/>
  </sheetPr>
  <dimension ref="B2:Z44"/>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89" t="s">
        <v>1</v>
      </c>
      <c r="C4" s="90" t="s">
        <v>6</v>
      </c>
      <c r="D4" s="87" t="s">
        <v>2</v>
      </c>
      <c r="E4" s="88" t="s">
        <v>3</v>
      </c>
      <c r="J4" s="81"/>
      <c r="Y4" s="62"/>
      <c r="Z4" s="2"/>
    </row>
    <row r="5" spans="2:26" ht="15.75" thickBot="1" x14ac:dyDescent="0.3">
      <c r="B5" s="74"/>
      <c r="C5" s="73"/>
      <c r="D5" s="73"/>
      <c r="E5" s="65"/>
      <c r="P5" s="81"/>
      <c r="W5" s="74"/>
      <c r="X5" s="62"/>
      <c r="Y5" s="62"/>
      <c r="Z5" s="2"/>
    </row>
    <row r="6" spans="2:26" ht="15.75" thickBot="1" x14ac:dyDescent="0.3">
      <c r="C6" s="309" t="s">
        <v>85</v>
      </c>
      <c r="D6" s="310"/>
      <c r="E6" s="310"/>
      <c r="F6" s="310"/>
      <c r="G6" s="311"/>
      <c r="H6" s="304" t="s">
        <v>68</v>
      </c>
      <c r="I6" s="305"/>
      <c r="J6" s="305"/>
      <c r="K6" s="306"/>
      <c r="L6" s="309" t="s">
        <v>69</v>
      </c>
      <c r="M6" s="310"/>
      <c r="N6" s="311"/>
      <c r="O6" s="304" t="s">
        <v>83</v>
      </c>
      <c r="P6" s="305"/>
      <c r="Q6" s="305"/>
      <c r="R6" s="305"/>
      <c r="S6" s="309" t="s">
        <v>84</v>
      </c>
      <c r="T6" s="310"/>
      <c r="U6" s="310"/>
      <c r="V6" s="311"/>
      <c r="Y6" s="63"/>
    </row>
    <row r="7" spans="2:26" ht="105.75" thickBot="1" x14ac:dyDescent="0.3">
      <c r="B7" s="59" t="s">
        <v>0</v>
      </c>
      <c r="C7" s="3" t="s">
        <v>95</v>
      </c>
      <c r="D7" s="6" t="s">
        <v>123</v>
      </c>
      <c r="E7" s="4" t="s">
        <v>97</v>
      </c>
      <c r="F7" s="4" t="s">
        <v>129</v>
      </c>
      <c r="G7" s="5" t="s">
        <v>103</v>
      </c>
      <c r="H7" s="71" t="s">
        <v>72</v>
      </c>
      <c r="I7" s="72" t="s">
        <v>70</v>
      </c>
      <c r="J7" s="67" t="s">
        <v>71</v>
      </c>
      <c r="K7" s="80" t="s">
        <v>64</v>
      </c>
      <c r="L7" s="85" t="s">
        <v>67</v>
      </c>
      <c r="M7" s="79" t="s">
        <v>104</v>
      </c>
      <c r="N7" s="84" t="s">
        <v>105</v>
      </c>
      <c r="O7" s="71" t="s">
        <v>65</v>
      </c>
      <c r="P7" s="68" t="s">
        <v>66</v>
      </c>
      <c r="Q7" s="92" t="s">
        <v>88</v>
      </c>
      <c r="R7" s="67" t="s">
        <v>86</v>
      </c>
      <c r="S7" s="78" t="s">
        <v>202</v>
      </c>
      <c r="T7" s="83" t="s">
        <v>87</v>
      </c>
      <c r="U7" s="83" t="s">
        <v>90</v>
      </c>
      <c r="V7" s="96" t="s">
        <v>91</v>
      </c>
      <c r="W7" s="68" t="s">
        <v>63</v>
      </c>
      <c r="X7" s="67" t="s">
        <v>59</v>
      </c>
      <c r="Y7" s="80" t="s">
        <v>18</v>
      </c>
    </row>
    <row r="8" spans="2:26" x14ac:dyDescent="0.25">
      <c r="B8" s="20"/>
      <c r="C8" s="125"/>
      <c r="D8" s="126"/>
      <c r="E8" s="57" t="str">
        <f>IF(Jan[[#This Row],[Name]]="","",Jan[[#This Row],[January Weight (kg)]]/(VLOOKUP(Jan[[#This Row],[Name]],Overview[],2,FALSE)/100)^2)</f>
        <v/>
      </c>
      <c r="F8" s="57" t="str">
        <f>IF(Jan[[#This Row],[Name]]="","",IF(VLOOKUP(Jan[[#This Row],[Name]],Overview[],8,FALSE)="","N/A",Jan[[#This Row],[January Weight (kg)]]-VLOOKUP(Jan[[#This Row],[Name]],Overview[],8,FALSE)))</f>
        <v/>
      </c>
      <c r="G8" s="174" t="str">
        <f>IF(Jan[[#This Row],[Name]]="","",IF(VLOOKUP(Jan[[#This Row],[Name]],Overview[],8,FALSE)="","N/A",(Jan[[#This Row],[January Weight (kg)]]-VLOOKUP(Jan[[#This Row],[Name]],Overview[],8,FALSE))/VLOOKUP(Jan[[#This Row],[Name]],Overview[],8,FALSE)))</f>
        <v/>
      </c>
      <c r="H8" s="61" t="str" cm="1">
        <f t="array" ref="H8">IF(Jan[[#This Row],[Name]]="","",IF(SUMPRODUCT((Overview[Name]=Jan[[#This Row],[Name]])*ISNUMBER(Overview[[July 
Weight (kg)]:[October 
Weight (kg)]]))=0,"N/A",MAX(IF((Overview[Name]=Jan[[#This Row],[Name]])*ISNUMBER(Overview[[July 
Weight (kg)]:[October 
Weight (kg)]]),Overview[[July 
Weight (kg)]:[October 
Weight (kg)]]))))</f>
        <v/>
      </c>
      <c r="I8" s="57" t="str">
        <f>IF(Jan[[#This Row],[Name]]="","",IF(NOT(ISNUMBER(Jan[[#This Row],[Highest Weight in the Past 3 - 6 Months]])),"N/A",IF(Jan[[#This Row],[January Weight (kg)]]=Jan[[#This Row],[Highest Weight in the Past 3 - 6 Months]],0,Jan[[#This Row],[January Weight (kg)]]-Jan[[#This Row],[Highest Weight in the Past 3 - 6 Months]])))</f>
        <v/>
      </c>
      <c r="J8"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8" s="127"/>
      <c r="L8" s="128"/>
      <c r="M8" s="75"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8" s="64" t="str">
        <f>IF(Jan[[#This Row],[Name]]="","",IF(Jan[[#This Row],[January MUST Score ]]=0,"Low",IF(Jan[[#This Row],[January MUST Score ]]=1,"Medium","High")))</f>
        <v/>
      </c>
      <c r="O8" s="7"/>
      <c r="P8" s="69"/>
      <c r="Q8" s="20"/>
      <c r="R8" s="22"/>
      <c r="S8" s="44"/>
      <c r="T8" s="16"/>
      <c r="U8" s="69"/>
      <c r="V8" s="8"/>
      <c r="W8" s="93"/>
      <c r="X8" s="9"/>
      <c r="Y8" s="8"/>
    </row>
    <row r="9" spans="2:26" x14ac:dyDescent="0.25">
      <c r="B9" s="12"/>
      <c r="C9" s="129"/>
      <c r="D9" s="94"/>
      <c r="E9" s="58" t="str">
        <f>IF(Jan[[#This Row],[Name]]="","",Jan[[#This Row],[January Weight (kg)]]/(VLOOKUP(Jan[[#This Row],[Name]],Overview[],2,FALSE)/100)^2)</f>
        <v/>
      </c>
      <c r="F9" s="58" t="str">
        <f>IF(Jan[[#This Row],[Name]]="","",IF(VLOOKUP(Jan[[#This Row],[Name]],Overview[],8,FALSE)="","N/A",Jan[[#This Row],[January Weight (kg)]]-VLOOKUP(Jan[[#This Row],[Name]],Overview[],8,FALSE)))</f>
        <v/>
      </c>
      <c r="G9" s="175" t="str">
        <f>IF(Jan[[#This Row],[Name]]="","",IF(VLOOKUP(Jan[[#This Row],[Name]],Overview[],8,FALSE)="","N/A",(Jan[[#This Row],[January Weight (kg)]]-VLOOKUP(Jan[[#This Row],[Name]],Overview[],8,FALSE))/VLOOKUP(Jan[[#This Row],[Name]],Overview[],8,FALSE)))</f>
        <v/>
      </c>
      <c r="H9" s="61" t="str" cm="1">
        <f t="array" ref="H9">IF(Jan[[#This Row],[Name]]="","",IF(SUMPRODUCT((Overview[Name]=Jan[[#This Row],[Name]])*ISNUMBER(Overview[[July 
Weight (kg)]:[October 
Weight (kg)]]))=0,"N/A",MAX(IF((Overview[Name]=Jan[[#This Row],[Name]])*ISNUMBER(Overview[[July 
Weight (kg)]:[October 
Weight (kg)]]),Overview[[July 
Weight (kg)]:[October 
Weight (kg)]]))))</f>
        <v/>
      </c>
      <c r="I9" s="57" t="str">
        <f>IF(Jan[[#This Row],[Name]]="","",IF(NOT(ISNUMBER(Jan[[#This Row],[Highest Weight in the Past 3 - 6 Months]])),"N/A",IF(Jan[[#This Row],[January Weight (kg)]]=Jan[[#This Row],[Highest Weight in the Past 3 - 6 Months]],0,Jan[[#This Row],[January Weight (kg)]]-Jan[[#This Row],[Highest Weight in the Past 3 - 6 Months]])))</f>
        <v/>
      </c>
      <c r="J9"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9" s="130"/>
      <c r="L9" s="131"/>
      <c r="M9"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9" s="64" t="str">
        <f>IF(Jan[[#This Row],[Name]]="","",IF(Jan[[#This Row],[January MUST Score ]]=0,"Low",IF(Jan[[#This Row],[January MUST Score ]]=1,"Medium","High")))</f>
        <v/>
      </c>
      <c r="O9" s="44"/>
      <c r="P9" s="66"/>
      <c r="Q9" s="20"/>
      <c r="R9" s="17"/>
      <c r="S9" s="44"/>
      <c r="T9" s="22"/>
      <c r="U9" s="66"/>
      <c r="V9" s="21"/>
      <c r="W9" s="94"/>
      <c r="X9" s="12"/>
      <c r="Y9" s="11"/>
    </row>
    <row r="10" spans="2:26" x14ac:dyDescent="0.25">
      <c r="B10" s="12"/>
      <c r="C10" s="129"/>
      <c r="D10" s="94"/>
      <c r="E10" s="58" t="str">
        <f>IF(Jan[[#This Row],[Name]]="","",Jan[[#This Row],[January Weight (kg)]]/(VLOOKUP(Jan[[#This Row],[Name]],Overview[],2,FALSE)/100)^2)</f>
        <v/>
      </c>
      <c r="F10" s="58" t="str">
        <f>IF(Jan[[#This Row],[Name]]="","",IF(VLOOKUP(Jan[[#This Row],[Name]],Overview[],8,FALSE)="","N/A",Jan[[#This Row],[January Weight (kg)]]-VLOOKUP(Jan[[#This Row],[Name]],Overview[],8,FALSE)))</f>
        <v/>
      </c>
      <c r="G10" s="175" t="str">
        <f>IF(Jan[[#This Row],[Name]]="","",IF(VLOOKUP(Jan[[#This Row],[Name]],Overview[],8,FALSE)="","N/A",(Jan[[#This Row],[January Weight (kg)]]-VLOOKUP(Jan[[#This Row],[Name]],Overview[],8,FALSE))/VLOOKUP(Jan[[#This Row],[Name]],Overview[],8,FALSE)))</f>
        <v/>
      </c>
      <c r="H10" s="61" t="str" cm="1">
        <f t="array" ref="H10">IF(Jan[[#This Row],[Name]]="","",IF(SUMPRODUCT((Overview[Name]=Jan[[#This Row],[Name]])*ISNUMBER(Overview[[July 
Weight (kg)]:[October 
Weight (kg)]]))=0,"N/A",MAX(IF((Overview[Name]=Jan[[#This Row],[Name]])*ISNUMBER(Overview[[July 
Weight (kg)]:[October 
Weight (kg)]]),Overview[[July 
Weight (kg)]:[October 
Weight (kg)]]))))</f>
        <v/>
      </c>
      <c r="I10" s="57" t="str">
        <f>IF(Jan[[#This Row],[Name]]="","",IF(NOT(ISNUMBER(Jan[[#This Row],[Highest Weight in the Past 3 - 6 Months]])),"N/A",IF(Jan[[#This Row],[January Weight (kg)]]=Jan[[#This Row],[Highest Weight in the Past 3 - 6 Months]],0,Jan[[#This Row],[January Weight (kg)]]-Jan[[#This Row],[Highest Weight in the Past 3 - 6 Months]])))</f>
        <v/>
      </c>
      <c r="J10"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0" s="130"/>
      <c r="L10" s="131"/>
      <c r="M10"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0" s="64" t="str">
        <f>IF(Jan[[#This Row],[Name]]="","",IF(Jan[[#This Row],[January MUST Score ]]=0,"Low",IF(Jan[[#This Row],[January MUST Score ]]=1,"Medium","High")))</f>
        <v/>
      </c>
      <c r="O10" s="10"/>
      <c r="P10" s="70"/>
      <c r="Q10" s="12"/>
      <c r="R10" s="17"/>
      <c r="S10" s="10"/>
      <c r="T10" s="17"/>
      <c r="U10" s="70"/>
      <c r="V10" s="11"/>
      <c r="W10" s="94"/>
      <c r="X10" s="12"/>
      <c r="Y10" s="11"/>
    </row>
    <row r="11" spans="2:26" x14ac:dyDescent="0.25">
      <c r="B11" s="94"/>
      <c r="C11" s="207"/>
      <c r="D11" s="94"/>
      <c r="E11" s="58"/>
      <c r="F11" s="58"/>
      <c r="G11" s="175"/>
      <c r="H11" s="208"/>
      <c r="I11" s="58"/>
      <c r="J11" s="209"/>
      <c r="K11" s="210"/>
      <c r="L11" s="211"/>
      <c r="M11" s="76"/>
      <c r="N11" s="212"/>
      <c r="O11" s="10"/>
      <c r="P11" s="70"/>
      <c r="Q11" s="12"/>
      <c r="R11" s="17"/>
      <c r="S11" s="10"/>
      <c r="T11" s="17"/>
      <c r="U11" s="70"/>
      <c r="V11" s="17"/>
      <c r="W11" s="129"/>
      <c r="X11" s="12"/>
      <c r="Y11" s="11"/>
    </row>
    <row r="12" spans="2:26" x14ac:dyDescent="0.25">
      <c r="B12" s="12"/>
      <c r="C12" s="207"/>
      <c r="D12" s="94"/>
      <c r="E12" s="58"/>
      <c r="F12" s="58"/>
      <c r="G12" s="175"/>
      <c r="H12" s="61"/>
      <c r="I12" s="57"/>
      <c r="J12" s="173"/>
      <c r="K12" s="210"/>
      <c r="L12" s="131"/>
      <c r="M12" s="76"/>
      <c r="N12" s="213"/>
      <c r="O12" s="10"/>
      <c r="P12" s="70"/>
      <c r="Q12" s="12"/>
      <c r="R12" s="17"/>
      <c r="S12" s="10"/>
      <c r="T12" s="17"/>
      <c r="U12" s="70"/>
      <c r="V12" s="17"/>
      <c r="W12" s="94"/>
      <c r="X12" s="12"/>
      <c r="Y12" s="11"/>
    </row>
    <row r="13" spans="2:26" x14ac:dyDescent="0.25">
      <c r="B13" s="12"/>
      <c r="C13" s="129"/>
      <c r="D13" s="94"/>
      <c r="E13" s="58" t="str">
        <f>IF(Jan[[#This Row],[Name]]="","",Jan[[#This Row],[January Weight (kg)]]/(VLOOKUP(Jan[[#This Row],[Name]],Overview[],2,FALSE)/100)^2)</f>
        <v/>
      </c>
      <c r="F13" s="58" t="str">
        <f>IF(Jan[[#This Row],[Name]]="","",IF(VLOOKUP(Jan[[#This Row],[Name]],Overview[],8,FALSE)="","N/A",Jan[[#This Row],[January Weight (kg)]]-VLOOKUP(Jan[[#This Row],[Name]],Overview[],8,FALSE)))</f>
        <v/>
      </c>
      <c r="G13" s="175" t="str">
        <f>IF(Jan[[#This Row],[Name]]="","",IF(VLOOKUP(Jan[[#This Row],[Name]],Overview[],8,FALSE)="","N/A",(Jan[[#This Row],[January Weight (kg)]]-VLOOKUP(Jan[[#This Row],[Name]],Overview[],8,FALSE))/VLOOKUP(Jan[[#This Row],[Name]],Overview[],8,FALSE)))</f>
        <v/>
      </c>
      <c r="H13" s="61" t="str" cm="1">
        <f t="array" ref="H13">IF(Jan[[#This Row],[Name]]="","",IF(SUMPRODUCT((Overview[Name]=Jan[[#This Row],[Name]])*ISNUMBER(Overview[[July 
Weight (kg)]:[October 
Weight (kg)]]))=0,"N/A",MAX(IF((Overview[Name]=Jan[[#This Row],[Name]])*ISNUMBER(Overview[[July 
Weight (kg)]:[October 
Weight (kg)]]),Overview[[July 
Weight (kg)]:[October 
Weight (kg)]]))))</f>
        <v/>
      </c>
      <c r="I13" s="57" t="str">
        <f>IF(Jan[[#This Row],[Name]]="","",IF(NOT(ISNUMBER(Jan[[#This Row],[Highest Weight in the Past 3 - 6 Months]])),"N/A",IF(Jan[[#This Row],[January Weight (kg)]]=Jan[[#This Row],[Highest Weight in the Past 3 - 6 Months]],0,Jan[[#This Row],[January Weight (kg)]]-Jan[[#This Row],[Highest Weight in the Past 3 - 6 Months]])))</f>
        <v/>
      </c>
      <c r="J13"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3" s="130"/>
      <c r="L13" s="131"/>
      <c r="M13"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3" s="64" t="str">
        <f>IF(Jan[[#This Row],[Name]]="","",IF(Jan[[#This Row],[January MUST Score ]]=0,"Low",IF(Jan[[#This Row],[January MUST Score ]]=1,"Medium","High")))</f>
        <v/>
      </c>
      <c r="O13" s="10"/>
      <c r="P13" s="70"/>
      <c r="Q13" s="12"/>
      <c r="R13" s="17"/>
      <c r="S13" s="10"/>
      <c r="T13" s="17"/>
      <c r="U13" s="70"/>
      <c r="V13" s="11"/>
      <c r="W13" s="94"/>
      <c r="X13" s="12"/>
      <c r="Y13" s="11"/>
    </row>
    <row r="14" spans="2:26" x14ac:dyDescent="0.25">
      <c r="B14" s="12"/>
      <c r="C14" s="129"/>
      <c r="D14" s="94"/>
      <c r="E14" s="58" t="str">
        <f>IF(Jan[[#This Row],[Name]]="","",Jan[[#This Row],[January Weight (kg)]]/(VLOOKUP(Jan[[#This Row],[Name]],Overview[],2,FALSE)/100)^2)</f>
        <v/>
      </c>
      <c r="F14" s="58" t="str">
        <f>IF(Jan[[#This Row],[Name]]="","",IF(VLOOKUP(Jan[[#This Row],[Name]],Overview[],8,FALSE)="","N/A",Jan[[#This Row],[January Weight (kg)]]-VLOOKUP(Jan[[#This Row],[Name]],Overview[],8,FALSE)))</f>
        <v/>
      </c>
      <c r="G14" s="175" t="str">
        <f>IF(Jan[[#This Row],[Name]]="","",IF(VLOOKUP(Jan[[#This Row],[Name]],Overview[],8,FALSE)="","N/A",(Jan[[#This Row],[January Weight (kg)]]-VLOOKUP(Jan[[#This Row],[Name]],Overview[],8,FALSE))/VLOOKUP(Jan[[#This Row],[Name]],Overview[],8,FALSE)))</f>
        <v/>
      </c>
      <c r="H14" s="61" t="str" cm="1">
        <f t="array" ref="H14">IF(Jan[[#This Row],[Name]]="","",IF(SUMPRODUCT((Overview[Name]=Jan[[#This Row],[Name]])*ISNUMBER(Overview[[July 
Weight (kg)]:[October 
Weight (kg)]]))=0,"N/A",MAX(IF((Overview[Name]=Jan[[#This Row],[Name]])*ISNUMBER(Overview[[July 
Weight (kg)]:[October 
Weight (kg)]]),Overview[[July 
Weight (kg)]:[October 
Weight (kg)]]))))</f>
        <v/>
      </c>
      <c r="I14" s="57" t="str">
        <f>IF(Jan[[#This Row],[Name]]="","",IF(NOT(ISNUMBER(Jan[[#This Row],[Highest Weight in the Past 3 - 6 Months]])),"N/A",IF(Jan[[#This Row],[January Weight (kg)]]=Jan[[#This Row],[Highest Weight in the Past 3 - 6 Months]],0,Jan[[#This Row],[January Weight (kg)]]-Jan[[#This Row],[Highest Weight in the Past 3 - 6 Months]])))</f>
        <v/>
      </c>
      <c r="J14"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4" s="130"/>
      <c r="L14" s="131"/>
      <c r="M14"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4" s="64" t="str">
        <f>IF(Jan[[#This Row],[Name]]="","",IF(Jan[[#This Row],[January MUST Score ]]=0,"Low",IF(Jan[[#This Row],[January MUST Score ]]=1,"Medium","High")))</f>
        <v/>
      </c>
      <c r="O14" s="10"/>
      <c r="P14" s="70"/>
      <c r="Q14" s="12"/>
      <c r="R14" s="17"/>
      <c r="S14" s="10"/>
      <c r="T14" s="17"/>
      <c r="U14" s="70"/>
      <c r="V14" s="11"/>
      <c r="W14" s="94"/>
      <c r="X14" s="12"/>
      <c r="Y14" s="11"/>
    </row>
    <row r="15" spans="2:26" x14ac:dyDescent="0.25">
      <c r="B15" s="12"/>
      <c r="C15" s="129"/>
      <c r="D15" s="94"/>
      <c r="E15" s="58" t="str">
        <f>IF(Jan[[#This Row],[Name]]="","",Jan[[#This Row],[January Weight (kg)]]/(VLOOKUP(Jan[[#This Row],[Name]],Overview[],2,FALSE)/100)^2)</f>
        <v/>
      </c>
      <c r="F15" s="58" t="str">
        <f>IF(Jan[[#This Row],[Name]]="","",IF(VLOOKUP(Jan[[#This Row],[Name]],Overview[],8,FALSE)="","N/A",Jan[[#This Row],[January Weight (kg)]]-VLOOKUP(Jan[[#This Row],[Name]],Overview[],8,FALSE)))</f>
        <v/>
      </c>
      <c r="G15" s="175" t="str">
        <f>IF(Jan[[#This Row],[Name]]="","",IF(VLOOKUP(Jan[[#This Row],[Name]],Overview[],8,FALSE)="","N/A",(Jan[[#This Row],[January Weight (kg)]]-VLOOKUP(Jan[[#This Row],[Name]],Overview[],8,FALSE))/VLOOKUP(Jan[[#This Row],[Name]],Overview[],8,FALSE)))</f>
        <v/>
      </c>
      <c r="H15" s="61" t="str" cm="1">
        <f t="array" ref="H15">IF(Jan[[#This Row],[Name]]="","",IF(SUMPRODUCT((Overview[Name]=Jan[[#This Row],[Name]])*ISNUMBER(Overview[[July 
Weight (kg)]:[October 
Weight (kg)]]))=0,"N/A",MAX(IF((Overview[Name]=Jan[[#This Row],[Name]])*ISNUMBER(Overview[[July 
Weight (kg)]:[October 
Weight (kg)]]),Overview[[July 
Weight (kg)]:[October 
Weight (kg)]]))))</f>
        <v/>
      </c>
      <c r="I15" s="57" t="str">
        <f>IF(Jan[[#This Row],[Name]]="","",IF(NOT(ISNUMBER(Jan[[#This Row],[Highest Weight in the Past 3 - 6 Months]])),"N/A",IF(Jan[[#This Row],[January Weight (kg)]]=Jan[[#This Row],[Highest Weight in the Past 3 - 6 Months]],0,Jan[[#This Row],[January Weight (kg)]]-Jan[[#This Row],[Highest Weight in the Past 3 - 6 Months]])))</f>
        <v/>
      </c>
      <c r="J15"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5" s="130"/>
      <c r="L15" s="131"/>
      <c r="M15"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5" s="64" t="str">
        <f>IF(Jan[[#This Row],[Name]]="","",IF(Jan[[#This Row],[January MUST Score ]]=0,"Low",IF(Jan[[#This Row],[January MUST Score ]]=1,"Medium","High")))</f>
        <v/>
      </c>
      <c r="O15" s="10"/>
      <c r="P15" s="70"/>
      <c r="Q15" s="12"/>
      <c r="R15" s="17"/>
      <c r="S15" s="10"/>
      <c r="T15" s="17"/>
      <c r="U15" s="70"/>
      <c r="V15" s="11"/>
      <c r="W15" s="94"/>
      <c r="X15" s="12"/>
      <c r="Y15" s="11"/>
    </row>
    <row r="16" spans="2:26" x14ac:dyDescent="0.25">
      <c r="B16" s="12"/>
      <c r="C16" s="129"/>
      <c r="D16" s="94"/>
      <c r="E16" s="58" t="str">
        <f>IF(Jan[[#This Row],[Name]]="","",Jan[[#This Row],[January Weight (kg)]]/(VLOOKUP(Jan[[#This Row],[Name]],Overview[],2,FALSE)/100)^2)</f>
        <v/>
      </c>
      <c r="F16" s="58" t="str">
        <f>IF(Jan[[#This Row],[Name]]="","",IF(VLOOKUP(Jan[[#This Row],[Name]],Overview[],8,FALSE)="","N/A",Jan[[#This Row],[January Weight (kg)]]-VLOOKUP(Jan[[#This Row],[Name]],Overview[],8,FALSE)))</f>
        <v/>
      </c>
      <c r="G16" s="175" t="str">
        <f>IF(Jan[[#This Row],[Name]]="","",IF(VLOOKUP(Jan[[#This Row],[Name]],Overview[],8,FALSE)="","N/A",(Jan[[#This Row],[January Weight (kg)]]-VLOOKUP(Jan[[#This Row],[Name]],Overview[],8,FALSE))/VLOOKUP(Jan[[#This Row],[Name]],Overview[],8,FALSE)))</f>
        <v/>
      </c>
      <c r="H16" s="61" t="str" cm="1">
        <f t="array" ref="H16">IF(Jan[[#This Row],[Name]]="","",IF(SUMPRODUCT((Overview[Name]=Jan[[#This Row],[Name]])*ISNUMBER(Overview[[July 
Weight (kg)]:[October 
Weight (kg)]]))=0,"N/A",MAX(IF((Overview[Name]=Jan[[#This Row],[Name]])*ISNUMBER(Overview[[July 
Weight (kg)]:[October 
Weight (kg)]]),Overview[[July 
Weight (kg)]:[October 
Weight (kg)]]))))</f>
        <v/>
      </c>
      <c r="I16" s="57" t="str">
        <f>IF(Jan[[#This Row],[Name]]="","",IF(NOT(ISNUMBER(Jan[[#This Row],[Highest Weight in the Past 3 - 6 Months]])),"N/A",IF(Jan[[#This Row],[January Weight (kg)]]=Jan[[#This Row],[Highest Weight in the Past 3 - 6 Months]],0,Jan[[#This Row],[January Weight (kg)]]-Jan[[#This Row],[Highest Weight in the Past 3 - 6 Months]])))</f>
        <v/>
      </c>
      <c r="J16"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6" s="130"/>
      <c r="L16" s="131"/>
      <c r="M16"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6" s="64" t="str">
        <f>IF(Jan[[#This Row],[Name]]="","",IF(Jan[[#This Row],[January MUST Score ]]=0,"Low",IF(Jan[[#This Row],[January MUST Score ]]=1,"Medium","High")))</f>
        <v/>
      </c>
      <c r="O16" s="10"/>
      <c r="P16" s="70"/>
      <c r="Q16" s="12"/>
      <c r="R16" s="17"/>
      <c r="S16" s="10"/>
      <c r="T16" s="17"/>
      <c r="U16" s="70"/>
      <c r="V16" s="11"/>
      <c r="W16" s="94"/>
      <c r="X16" s="12"/>
      <c r="Y16" s="11"/>
    </row>
    <row r="17" spans="2:25" x14ac:dyDescent="0.25">
      <c r="B17" s="12"/>
      <c r="C17" s="129"/>
      <c r="D17" s="94"/>
      <c r="E17" s="58" t="str">
        <f>IF(Jan[[#This Row],[Name]]="","",Jan[[#This Row],[January Weight (kg)]]/(VLOOKUP(Jan[[#This Row],[Name]],Overview[],2,FALSE)/100)^2)</f>
        <v/>
      </c>
      <c r="F17" s="58" t="str">
        <f>IF(Jan[[#This Row],[Name]]="","",IF(VLOOKUP(Jan[[#This Row],[Name]],Overview[],8,FALSE)="","N/A",Jan[[#This Row],[January Weight (kg)]]-VLOOKUP(Jan[[#This Row],[Name]],Overview[],8,FALSE)))</f>
        <v/>
      </c>
      <c r="G17" s="175" t="str">
        <f>IF(Jan[[#This Row],[Name]]="","",IF(VLOOKUP(Jan[[#This Row],[Name]],Overview[],8,FALSE)="","N/A",(Jan[[#This Row],[January Weight (kg)]]-VLOOKUP(Jan[[#This Row],[Name]],Overview[],8,FALSE))/VLOOKUP(Jan[[#This Row],[Name]],Overview[],8,FALSE)))</f>
        <v/>
      </c>
      <c r="H17" s="61" t="str" cm="1">
        <f t="array" ref="H17">IF(Jan[[#This Row],[Name]]="","",IF(SUMPRODUCT((Overview[Name]=Jan[[#This Row],[Name]])*ISNUMBER(Overview[[July 
Weight (kg)]:[October 
Weight (kg)]]))=0,"N/A",MAX(IF((Overview[Name]=Jan[[#This Row],[Name]])*ISNUMBER(Overview[[July 
Weight (kg)]:[October 
Weight (kg)]]),Overview[[July 
Weight (kg)]:[October 
Weight (kg)]]))))</f>
        <v/>
      </c>
      <c r="I17" s="57" t="str">
        <f>IF(Jan[[#This Row],[Name]]="","",IF(NOT(ISNUMBER(Jan[[#This Row],[Highest Weight in the Past 3 - 6 Months]])),"N/A",IF(Jan[[#This Row],[January Weight (kg)]]=Jan[[#This Row],[Highest Weight in the Past 3 - 6 Months]],0,Jan[[#This Row],[January Weight (kg)]]-Jan[[#This Row],[Highest Weight in the Past 3 - 6 Months]])))</f>
        <v/>
      </c>
      <c r="J17"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7" s="130"/>
      <c r="L17" s="131"/>
      <c r="M17"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7" s="64" t="str">
        <f>IF(Jan[[#This Row],[Name]]="","",IF(Jan[[#This Row],[January MUST Score ]]=0,"Low",IF(Jan[[#This Row],[January MUST Score ]]=1,"Medium","High")))</f>
        <v/>
      </c>
      <c r="O17" s="10"/>
      <c r="P17" s="70"/>
      <c r="Q17" s="12"/>
      <c r="R17" s="17"/>
      <c r="S17" s="10"/>
      <c r="T17" s="17"/>
      <c r="U17" s="70"/>
      <c r="V17" s="11"/>
      <c r="W17" s="94"/>
      <c r="X17" s="12"/>
      <c r="Y17" s="11"/>
    </row>
    <row r="18" spans="2:25" x14ac:dyDescent="0.25">
      <c r="B18" s="12"/>
      <c r="C18" s="129"/>
      <c r="D18" s="94"/>
      <c r="E18" s="58" t="str">
        <f>IF(Jan[[#This Row],[Name]]="","",Jan[[#This Row],[January Weight (kg)]]/(VLOOKUP(Jan[[#This Row],[Name]],Overview[],2,FALSE)/100)^2)</f>
        <v/>
      </c>
      <c r="F18" s="58" t="str">
        <f>IF(Jan[[#This Row],[Name]]="","",IF(VLOOKUP(Jan[[#This Row],[Name]],Overview[],8,FALSE)="","N/A",Jan[[#This Row],[January Weight (kg)]]-VLOOKUP(Jan[[#This Row],[Name]],Overview[],8,FALSE)))</f>
        <v/>
      </c>
      <c r="G18" s="175" t="str">
        <f>IF(Jan[[#This Row],[Name]]="","",IF(VLOOKUP(Jan[[#This Row],[Name]],Overview[],8,FALSE)="","N/A",(Jan[[#This Row],[January Weight (kg)]]-VLOOKUP(Jan[[#This Row],[Name]],Overview[],8,FALSE))/VLOOKUP(Jan[[#This Row],[Name]],Overview[],8,FALSE)))</f>
        <v/>
      </c>
      <c r="H18" s="61" t="str" cm="1">
        <f t="array" ref="H18">IF(Jan[[#This Row],[Name]]="","",IF(SUMPRODUCT((Overview[Name]=Jan[[#This Row],[Name]])*ISNUMBER(Overview[[July 
Weight (kg)]:[October 
Weight (kg)]]))=0,"N/A",MAX(IF((Overview[Name]=Jan[[#This Row],[Name]])*ISNUMBER(Overview[[July 
Weight (kg)]:[October 
Weight (kg)]]),Overview[[July 
Weight (kg)]:[October 
Weight (kg)]]))))</f>
        <v/>
      </c>
      <c r="I18" s="57" t="str">
        <f>IF(Jan[[#This Row],[Name]]="","",IF(NOT(ISNUMBER(Jan[[#This Row],[Highest Weight in the Past 3 - 6 Months]])),"N/A",IF(Jan[[#This Row],[January Weight (kg)]]=Jan[[#This Row],[Highest Weight in the Past 3 - 6 Months]],0,Jan[[#This Row],[January Weight (kg)]]-Jan[[#This Row],[Highest Weight in the Past 3 - 6 Months]])))</f>
        <v/>
      </c>
      <c r="J18"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8" s="130"/>
      <c r="L18" s="131"/>
      <c r="M18"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8" s="64" t="str">
        <f>IF(Jan[[#This Row],[Name]]="","",IF(Jan[[#This Row],[January MUST Score ]]=0,"Low",IF(Jan[[#This Row],[January MUST Score ]]=1,"Medium","High")))</f>
        <v/>
      </c>
      <c r="O18" s="10"/>
      <c r="P18" s="70"/>
      <c r="Q18" s="12"/>
      <c r="R18" s="17"/>
      <c r="S18" s="10"/>
      <c r="T18" s="17"/>
      <c r="U18" s="70"/>
      <c r="V18" s="11"/>
      <c r="W18" s="94"/>
      <c r="X18" s="12"/>
      <c r="Y18" s="11"/>
    </row>
    <row r="19" spans="2:25" x14ac:dyDescent="0.25">
      <c r="B19" s="12"/>
      <c r="C19" s="129"/>
      <c r="D19" s="94"/>
      <c r="E19" s="58" t="str">
        <f>IF(Jan[[#This Row],[Name]]="","",Jan[[#This Row],[January Weight (kg)]]/(VLOOKUP(Jan[[#This Row],[Name]],Overview[],2,FALSE)/100)^2)</f>
        <v/>
      </c>
      <c r="F19" s="58" t="str">
        <f>IF(Jan[[#This Row],[Name]]="","",IF(VLOOKUP(Jan[[#This Row],[Name]],Overview[],8,FALSE)="","N/A",Jan[[#This Row],[January Weight (kg)]]-VLOOKUP(Jan[[#This Row],[Name]],Overview[],8,FALSE)))</f>
        <v/>
      </c>
      <c r="G19" s="175" t="str">
        <f>IF(Jan[[#This Row],[Name]]="","",IF(VLOOKUP(Jan[[#This Row],[Name]],Overview[],8,FALSE)="","N/A",(Jan[[#This Row],[January Weight (kg)]]-VLOOKUP(Jan[[#This Row],[Name]],Overview[],8,FALSE))/VLOOKUP(Jan[[#This Row],[Name]],Overview[],8,FALSE)))</f>
        <v/>
      </c>
      <c r="H19" s="61" t="str" cm="1">
        <f t="array" ref="H19">IF(Jan[[#This Row],[Name]]="","",IF(SUMPRODUCT((Overview[Name]=Jan[[#This Row],[Name]])*ISNUMBER(Overview[[July 
Weight (kg)]:[October 
Weight (kg)]]))=0,"N/A",MAX(IF((Overview[Name]=Jan[[#This Row],[Name]])*ISNUMBER(Overview[[July 
Weight (kg)]:[October 
Weight (kg)]]),Overview[[July 
Weight (kg)]:[October 
Weight (kg)]]))))</f>
        <v/>
      </c>
      <c r="I19" s="57" t="str">
        <f>IF(Jan[[#This Row],[Name]]="","",IF(NOT(ISNUMBER(Jan[[#This Row],[Highest Weight in the Past 3 - 6 Months]])),"N/A",IF(Jan[[#This Row],[January Weight (kg)]]=Jan[[#This Row],[Highest Weight in the Past 3 - 6 Months]],0,Jan[[#This Row],[January Weight (kg)]]-Jan[[#This Row],[Highest Weight in the Past 3 - 6 Months]])))</f>
        <v/>
      </c>
      <c r="J19"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19" s="130"/>
      <c r="L19" s="131"/>
      <c r="M19"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19" s="64" t="str">
        <f>IF(Jan[[#This Row],[Name]]="","",IF(Jan[[#This Row],[January MUST Score ]]=0,"Low",IF(Jan[[#This Row],[January MUST Score ]]=1,"Medium","High")))</f>
        <v/>
      </c>
      <c r="O19" s="10"/>
      <c r="P19" s="70"/>
      <c r="Q19" s="12"/>
      <c r="R19" s="17"/>
      <c r="S19" s="10"/>
      <c r="T19" s="17"/>
      <c r="U19" s="70"/>
      <c r="V19" s="11"/>
      <c r="W19" s="94"/>
      <c r="X19" s="12"/>
      <c r="Y19" s="11"/>
    </row>
    <row r="20" spans="2:25" x14ac:dyDescent="0.25">
      <c r="B20" s="12"/>
      <c r="C20" s="129"/>
      <c r="D20" s="94"/>
      <c r="E20" s="58" t="str">
        <f>IF(Jan[[#This Row],[Name]]="","",Jan[[#This Row],[January Weight (kg)]]/(VLOOKUP(Jan[[#This Row],[Name]],Overview[],2,FALSE)/100)^2)</f>
        <v/>
      </c>
      <c r="F20" s="58" t="str">
        <f>IF(Jan[[#This Row],[Name]]="","",IF(VLOOKUP(Jan[[#This Row],[Name]],Overview[],8,FALSE)="","N/A",Jan[[#This Row],[January Weight (kg)]]-VLOOKUP(Jan[[#This Row],[Name]],Overview[],8,FALSE)))</f>
        <v/>
      </c>
      <c r="G20" s="175" t="str">
        <f>IF(Jan[[#This Row],[Name]]="","",IF(VLOOKUP(Jan[[#This Row],[Name]],Overview[],8,FALSE)="","N/A",(Jan[[#This Row],[January Weight (kg)]]-VLOOKUP(Jan[[#This Row],[Name]],Overview[],8,FALSE))/VLOOKUP(Jan[[#This Row],[Name]],Overview[],8,FALSE)))</f>
        <v/>
      </c>
      <c r="H20" s="61" t="str" cm="1">
        <f t="array" ref="H20">IF(Jan[[#This Row],[Name]]="","",IF(SUMPRODUCT((Overview[Name]=Jan[[#This Row],[Name]])*ISNUMBER(Overview[[July 
Weight (kg)]:[October 
Weight (kg)]]))=0,"N/A",MAX(IF((Overview[Name]=Jan[[#This Row],[Name]])*ISNUMBER(Overview[[July 
Weight (kg)]:[October 
Weight (kg)]]),Overview[[July 
Weight (kg)]:[October 
Weight (kg)]]))))</f>
        <v/>
      </c>
      <c r="I20" s="57" t="str">
        <f>IF(Jan[[#This Row],[Name]]="","",IF(NOT(ISNUMBER(Jan[[#This Row],[Highest Weight in the Past 3 - 6 Months]])),"N/A",IF(Jan[[#This Row],[January Weight (kg)]]=Jan[[#This Row],[Highest Weight in the Past 3 - 6 Months]],0,Jan[[#This Row],[January Weight (kg)]]-Jan[[#This Row],[Highest Weight in the Past 3 - 6 Months]])))</f>
        <v/>
      </c>
      <c r="J20"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0" s="130"/>
      <c r="L20" s="131"/>
      <c r="M20"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0" s="64" t="str">
        <f>IF(Jan[[#This Row],[Name]]="","",IF(Jan[[#This Row],[January MUST Score ]]=0,"Low",IF(Jan[[#This Row],[January MUST Score ]]=1,"Medium","High")))</f>
        <v/>
      </c>
      <c r="O20" s="10"/>
      <c r="P20" s="70"/>
      <c r="Q20" s="12"/>
      <c r="R20" s="17"/>
      <c r="S20" s="10"/>
      <c r="T20" s="17"/>
      <c r="U20" s="70"/>
      <c r="V20" s="11"/>
      <c r="W20" s="94"/>
      <c r="X20" s="12"/>
      <c r="Y20" s="11"/>
    </row>
    <row r="21" spans="2:25" x14ac:dyDescent="0.25">
      <c r="B21" s="12"/>
      <c r="C21" s="129"/>
      <c r="D21" s="94"/>
      <c r="E21" s="58" t="str">
        <f>IF(Jan[[#This Row],[Name]]="","",Jan[[#This Row],[January Weight (kg)]]/(VLOOKUP(Jan[[#This Row],[Name]],Overview[],2,FALSE)/100)^2)</f>
        <v/>
      </c>
      <c r="F21" s="58" t="str">
        <f>IF(Jan[[#This Row],[Name]]="","",IF(VLOOKUP(Jan[[#This Row],[Name]],Overview[],8,FALSE)="","N/A",Jan[[#This Row],[January Weight (kg)]]-VLOOKUP(Jan[[#This Row],[Name]],Overview[],8,FALSE)))</f>
        <v/>
      </c>
      <c r="G21" s="175" t="str">
        <f>IF(Jan[[#This Row],[Name]]="","",IF(VLOOKUP(Jan[[#This Row],[Name]],Overview[],8,FALSE)="","N/A",(Jan[[#This Row],[January Weight (kg)]]-VLOOKUP(Jan[[#This Row],[Name]],Overview[],8,FALSE))/VLOOKUP(Jan[[#This Row],[Name]],Overview[],8,FALSE)))</f>
        <v/>
      </c>
      <c r="H21" s="61" t="str" cm="1">
        <f t="array" ref="H21">IF(Jan[[#This Row],[Name]]="","",IF(SUMPRODUCT((Overview[Name]=Jan[[#This Row],[Name]])*ISNUMBER(Overview[[July 
Weight (kg)]:[October 
Weight (kg)]]))=0,"N/A",MAX(IF((Overview[Name]=Jan[[#This Row],[Name]])*ISNUMBER(Overview[[July 
Weight (kg)]:[October 
Weight (kg)]]),Overview[[July 
Weight (kg)]:[October 
Weight (kg)]]))))</f>
        <v/>
      </c>
      <c r="I21" s="57" t="str">
        <f>IF(Jan[[#This Row],[Name]]="","",IF(NOT(ISNUMBER(Jan[[#This Row],[Highest Weight in the Past 3 - 6 Months]])),"N/A",IF(Jan[[#This Row],[January Weight (kg)]]=Jan[[#This Row],[Highest Weight in the Past 3 - 6 Months]],0,Jan[[#This Row],[January Weight (kg)]]-Jan[[#This Row],[Highest Weight in the Past 3 - 6 Months]])))</f>
        <v/>
      </c>
      <c r="J21"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1" s="130"/>
      <c r="L21" s="131"/>
      <c r="M21"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1" s="64" t="str">
        <f>IF(Jan[[#This Row],[Name]]="","",IF(Jan[[#This Row],[January MUST Score ]]=0,"Low",IF(Jan[[#This Row],[January MUST Score ]]=1,"Medium","High")))</f>
        <v/>
      </c>
      <c r="O21" s="10"/>
      <c r="P21" s="70"/>
      <c r="Q21" s="12"/>
      <c r="R21" s="17"/>
      <c r="S21" s="10"/>
      <c r="T21" s="17"/>
      <c r="U21" s="70"/>
      <c r="V21" s="11"/>
      <c r="W21" s="94"/>
      <c r="X21" s="12"/>
      <c r="Y21" s="11"/>
    </row>
    <row r="22" spans="2:25" x14ac:dyDescent="0.25">
      <c r="B22" s="12"/>
      <c r="C22" s="129"/>
      <c r="D22" s="94"/>
      <c r="E22" s="58" t="str">
        <f>IF(Jan[[#This Row],[Name]]="","",Jan[[#This Row],[January Weight (kg)]]/(VLOOKUP(Jan[[#This Row],[Name]],Overview[],2,FALSE)/100)^2)</f>
        <v/>
      </c>
      <c r="F22" s="58" t="str">
        <f>IF(Jan[[#This Row],[Name]]="","",IF(VLOOKUP(Jan[[#This Row],[Name]],Overview[],8,FALSE)="","N/A",Jan[[#This Row],[January Weight (kg)]]-VLOOKUP(Jan[[#This Row],[Name]],Overview[],8,FALSE)))</f>
        <v/>
      </c>
      <c r="G22" s="175" t="str">
        <f>IF(Jan[[#This Row],[Name]]="","",IF(VLOOKUP(Jan[[#This Row],[Name]],Overview[],8,FALSE)="","N/A",(Jan[[#This Row],[January Weight (kg)]]-VLOOKUP(Jan[[#This Row],[Name]],Overview[],8,FALSE))/VLOOKUP(Jan[[#This Row],[Name]],Overview[],8,FALSE)))</f>
        <v/>
      </c>
      <c r="H22" s="61" t="str" cm="1">
        <f t="array" ref="H22">IF(Jan[[#This Row],[Name]]="","",IF(SUMPRODUCT((Overview[Name]=Jan[[#This Row],[Name]])*ISNUMBER(Overview[[July 
Weight (kg)]:[October 
Weight (kg)]]))=0,"N/A",MAX(IF((Overview[Name]=Jan[[#This Row],[Name]])*ISNUMBER(Overview[[July 
Weight (kg)]:[October 
Weight (kg)]]),Overview[[July 
Weight (kg)]:[October 
Weight (kg)]]))))</f>
        <v/>
      </c>
      <c r="I22" s="57" t="str">
        <f>IF(Jan[[#This Row],[Name]]="","",IF(NOT(ISNUMBER(Jan[[#This Row],[Highest Weight in the Past 3 - 6 Months]])),"N/A",IF(Jan[[#This Row],[January Weight (kg)]]=Jan[[#This Row],[Highest Weight in the Past 3 - 6 Months]],0,Jan[[#This Row],[January Weight (kg)]]-Jan[[#This Row],[Highest Weight in the Past 3 - 6 Months]])))</f>
        <v/>
      </c>
      <c r="J22"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2" s="130"/>
      <c r="L22" s="131"/>
      <c r="M22"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2" s="64" t="str">
        <f>IF(Jan[[#This Row],[Name]]="","",IF(Jan[[#This Row],[January MUST Score ]]=0,"Low",IF(Jan[[#This Row],[January MUST Score ]]=1,"Medium","High")))</f>
        <v/>
      </c>
      <c r="O22" s="10"/>
      <c r="P22" s="70"/>
      <c r="Q22" s="12"/>
      <c r="R22" s="17"/>
      <c r="S22" s="10"/>
      <c r="T22" s="17"/>
      <c r="U22" s="70"/>
      <c r="V22" s="11"/>
      <c r="W22" s="94"/>
      <c r="X22" s="12"/>
      <c r="Y22" s="11"/>
    </row>
    <row r="23" spans="2:25" x14ac:dyDescent="0.25">
      <c r="B23" s="12"/>
      <c r="C23" s="129"/>
      <c r="D23" s="94"/>
      <c r="E23" s="58" t="str">
        <f>IF(Jan[[#This Row],[Name]]="","",Jan[[#This Row],[January Weight (kg)]]/(VLOOKUP(Jan[[#This Row],[Name]],Overview[],2,FALSE)/100)^2)</f>
        <v/>
      </c>
      <c r="F23" s="58" t="str">
        <f>IF(Jan[[#This Row],[Name]]="","",IF(VLOOKUP(Jan[[#This Row],[Name]],Overview[],8,FALSE)="","N/A",Jan[[#This Row],[January Weight (kg)]]-VLOOKUP(Jan[[#This Row],[Name]],Overview[],8,FALSE)))</f>
        <v/>
      </c>
      <c r="G23" s="175" t="str">
        <f>IF(Jan[[#This Row],[Name]]="","",IF(VLOOKUP(Jan[[#This Row],[Name]],Overview[],8,FALSE)="","N/A",(Jan[[#This Row],[January Weight (kg)]]-VLOOKUP(Jan[[#This Row],[Name]],Overview[],8,FALSE))/VLOOKUP(Jan[[#This Row],[Name]],Overview[],8,FALSE)))</f>
        <v/>
      </c>
      <c r="H23" s="61" t="str" cm="1">
        <f t="array" ref="H23">IF(Jan[[#This Row],[Name]]="","",IF(SUMPRODUCT((Overview[Name]=Jan[[#This Row],[Name]])*ISNUMBER(Overview[[July 
Weight (kg)]:[October 
Weight (kg)]]))=0,"N/A",MAX(IF((Overview[Name]=Jan[[#This Row],[Name]])*ISNUMBER(Overview[[July 
Weight (kg)]:[October 
Weight (kg)]]),Overview[[July 
Weight (kg)]:[October 
Weight (kg)]]))))</f>
        <v/>
      </c>
      <c r="I23" s="57" t="str">
        <f>IF(Jan[[#This Row],[Name]]="","",IF(NOT(ISNUMBER(Jan[[#This Row],[Highest Weight in the Past 3 - 6 Months]])),"N/A",IF(Jan[[#This Row],[January Weight (kg)]]=Jan[[#This Row],[Highest Weight in the Past 3 - 6 Months]],0,Jan[[#This Row],[January Weight (kg)]]-Jan[[#This Row],[Highest Weight in the Past 3 - 6 Months]])))</f>
        <v/>
      </c>
      <c r="J23"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3" s="130"/>
      <c r="L23" s="131"/>
      <c r="M23"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3" s="64" t="str">
        <f>IF(Jan[[#This Row],[Name]]="","",IF(Jan[[#This Row],[January MUST Score ]]=0,"Low",IF(Jan[[#This Row],[January MUST Score ]]=1,"Medium","High")))</f>
        <v/>
      </c>
      <c r="O23" s="10"/>
      <c r="P23" s="70"/>
      <c r="Q23" s="12"/>
      <c r="R23" s="17"/>
      <c r="S23" s="10"/>
      <c r="T23" s="17"/>
      <c r="U23" s="70"/>
      <c r="V23" s="11"/>
      <c r="W23" s="94"/>
      <c r="X23" s="12"/>
      <c r="Y23" s="11"/>
    </row>
    <row r="24" spans="2:25" x14ac:dyDescent="0.25">
      <c r="B24" s="12"/>
      <c r="C24" s="129"/>
      <c r="D24" s="94"/>
      <c r="E24" s="58" t="str">
        <f>IF(Jan[[#This Row],[Name]]="","",Jan[[#This Row],[January Weight (kg)]]/(VLOOKUP(Jan[[#This Row],[Name]],Overview[],2,FALSE)/100)^2)</f>
        <v/>
      </c>
      <c r="F24" s="58" t="str">
        <f>IF(Jan[[#This Row],[Name]]="","",IF(VLOOKUP(Jan[[#This Row],[Name]],Overview[],8,FALSE)="","N/A",Jan[[#This Row],[January Weight (kg)]]-VLOOKUP(Jan[[#This Row],[Name]],Overview[],8,FALSE)))</f>
        <v/>
      </c>
      <c r="G24" s="175" t="str">
        <f>IF(Jan[[#This Row],[Name]]="","",IF(VLOOKUP(Jan[[#This Row],[Name]],Overview[],8,FALSE)="","N/A",(Jan[[#This Row],[January Weight (kg)]]-VLOOKUP(Jan[[#This Row],[Name]],Overview[],8,FALSE))/VLOOKUP(Jan[[#This Row],[Name]],Overview[],8,FALSE)))</f>
        <v/>
      </c>
      <c r="H24" s="61" t="str" cm="1">
        <f t="array" ref="H24">IF(Jan[[#This Row],[Name]]="","",IF(SUMPRODUCT((Overview[Name]=Jan[[#This Row],[Name]])*ISNUMBER(Overview[[July 
Weight (kg)]:[October 
Weight (kg)]]))=0,"N/A",MAX(IF((Overview[Name]=Jan[[#This Row],[Name]])*ISNUMBER(Overview[[July 
Weight (kg)]:[October 
Weight (kg)]]),Overview[[July 
Weight (kg)]:[October 
Weight (kg)]]))))</f>
        <v/>
      </c>
      <c r="I24" s="57" t="str">
        <f>IF(Jan[[#This Row],[Name]]="","",IF(NOT(ISNUMBER(Jan[[#This Row],[Highest Weight in the Past 3 - 6 Months]])),"N/A",IF(Jan[[#This Row],[January Weight (kg)]]=Jan[[#This Row],[Highest Weight in the Past 3 - 6 Months]],0,Jan[[#This Row],[January Weight (kg)]]-Jan[[#This Row],[Highest Weight in the Past 3 - 6 Months]])))</f>
        <v/>
      </c>
      <c r="J24"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4" s="130"/>
      <c r="L24" s="131"/>
      <c r="M24"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4" s="64" t="str">
        <f>IF(Jan[[#This Row],[Name]]="","",IF(Jan[[#This Row],[January MUST Score ]]=0,"Low",IF(Jan[[#This Row],[January MUST Score ]]=1,"Medium","High")))</f>
        <v/>
      </c>
      <c r="O24" s="10"/>
      <c r="P24" s="70"/>
      <c r="Q24" s="12"/>
      <c r="R24" s="17"/>
      <c r="S24" s="10"/>
      <c r="T24" s="17"/>
      <c r="U24" s="70"/>
      <c r="V24" s="11"/>
      <c r="W24" s="94"/>
      <c r="X24" s="12"/>
      <c r="Y24" s="11"/>
    </row>
    <row r="25" spans="2:25" x14ac:dyDescent="0.25">
      <c r="B25" s="12"/>
      <c r="C25" s="129"/>
      <c r="D25" s="94"/>
      <c r="E25" s="58" t="str">
        <f>IF(Jan[[#This Row],[Name]]="","",Jan[[#This Row],[January Weight (kg)]]/(VLOOKUP(Jan[[#This Row],[Name]],Overview[],2,FALSE)/100)^2)</f>
        <v/>
      </c>
      <c r="F25" s="58" t="str">
        <f>IF(Jan[[#This Row],[Name]]="","",IF(VLOOKUP(Jan[[#This Row],[Name]],Overview[],8,FALSE)="","N/A",Jan[[#This Row],[January Weight (kg)]]-VLOOKUP(Jan[[#This Row],[Name]],Overview[],8,FALSE)))</f>
        <v/>
      </c>
      <c r="G25" s="175" t="str">
        <f>IF(Jan[[#This Row],[Name]]="","",IF(VLOOKUP(Jan[[#This Row],[Name]],Overview[],8,FALSE)="","N/A",(Jan[[#This Row],[January Weight (kg)]]-VLOOKUP(Jan[[#This Row],[Name]],Overview[],8,FALSE))/VLOOKUP(Jan[[#This Row],[Name]],Overview[],8,FALSE)))</f>
        <v/>
      </c>
      <c r="H25" s="61" t="str" cm="1">
        <f t="array" ref="H25">IF(Jan[[#This Row],[Name]]="","",IF(SUMPRODUCT((Overview[Name]=Jan[[#This Row],[Name]])*ISNUMBER(Overview[[July 
Weight (kg)]:[October 
Weight (kg)]]))=0,"N/A",MAX(IF((Overview[Name]=Jan[[#This Row],[Name]])*ISNUMBER(Overview[[July 
Weight (kg)]:[October 
Weight (kg)]]),Overview[[July 
Weight (kg)]:[October 
Weight (kg)]]))))</f>
        <v/>
      </c>
      <c r="I25" s="57" t="str">
        <f>IF(Jan[[#This Row],[Name]]="","",IF(NOT(ISNUMBER(Jan[[#This Row],[Highest Weight in the Past 3 - 6 Months]])),"N/A",IF(Jan[[#This Row],[January Weight (kg)]]=Jan[[#This Row],[Highest Weight in the Past 3 - 6 Months]],0,Jan[[#This Row],[January Weight (kg)]]-Jan[[#This Row],[Highest Weight in the Past 3 - 6 Months]])))</f>
        <v/>
      </c>
      <c r="J25"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5" s="130"/>
      <c r="L25" s="131"/>
      <c r="M25"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5" s="64" t="str">
        <f>IF(Jan[[#This Row],[Name]]="","",IF(Jan[[#This Row],[January MUST Score ]]=0,"Low",IF(Jan[[#This Row],[January MUST Score ]]=1,"Medium","High")))</f>
        <v/>
      </c>
      <c r="O25" s="10"/>
      <c r="P25" s="70"/>
      <c r="Q25" s="12"/>
      <c r="R25" s="17"/>
      <c r="S25" s="10"/>
      <c r="T25" s="17"/>
      <c r="U25" s="70"/>
      <c r="V25" s="11"/>
      <c r="W25" s="94"/>
      <c r="X25" s="12"/>
      <c r="Y25" s="11"/>
    </row>
    <row r="26" spans="2:25" x14ac:dyDescent="0.25">
      <c r="B26" s="12"/>
      <c r="C26" s="129"/>
      <c r="D26" s="94"/>
      <c r="E26" s="58" t="str">
        <f>IF(Jan[[#This Row],[Name]]="","",Jan[[#This Row],[January Weight (kg)]]/(VLOOKUP(Jan[[#This Row],[Name]],Overview[],2,FALSE)/100)^2)</f>
        <v/>
      </c>
      <c r="F26" s="58" t="str">
        <f>IF(Jan[[#This Row],[Name]]="","",IF(VLOOKUP(Jan[[#This Row],[Name]],Overview[],8,FALSE)="","N/A",Jan[[#This Row],[January Weight (kg)]]-VLOOKUP(Jan[[#This Row],[Name]],Overview[],8,FALSE)))</f>
        <v/>
      </c>
      <c r="G26" s="175" t="str">
        <f>IF(Jan[[#This Row],[Name]]="","",IF(VLOOKUP(Jan[[#This Row],[Name]],Overview[],8,FALSE)="","N/A",(Jan[[#This Row],[January Weight (kg)]]-VLOOKUP(Jan[[#This Row],[Name]],Overview[],8,FALSE))/VLOOKUP(Jan[[#This Row],[Name]],Overview[],8,FALSE)))</f>
        <v/>
      </c>
      <c r="H26" s="61" t="str" cm="1">
        <f t="array" ref="H26">IF(Jan[[#This Row],[Name]]="","",IF(SUMPRODUCT((Overview[Name]=Jan[[#This Row],[Name]])*ISNUMBER(Overview[[July 
Weight (kg)]:[October 
Weight (kg)]]))=0,"N/A",MAX(IF((Overview[Name]=Jan[[#This Row],[Name]])*ISNUMBER(Overview[[July 
Weight (kg)]:[October 
Weight (kg)]]),Overview[[July 
Weight (kg)]:[October 
Weight (kg)]]))))</f>
        <v/>
      </c>
      <c r="I26" s="57" t="str">
        <f>IF(Jan[[#This Row],[Name]]="","",IF(NOT(ISNUMBER(Jan[[#This Row],[Highest Weight in the Past 3 - 6 Months]])),"N/A",IF(Jan[[#This Row],[January Weight (kg)]]=Jan[[#This Row],[Highest Weight in the Past 3 - 6 Months]],0,Jan[[#This Row],[January Weight (kg)]]-Jan[[#This Row],[Highest Weight in the Past 3 - 6 Months]])))</f>
        <v/>
      </c>
      <c r="J26"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6" s="130"/>
      <c r="L26" s="131"/>
      <c r="M26"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6" s="64" t="str">
        <f>IF(Jan[[#This Row],[Name]]="","",IF(Jan[[#This Row],[January MUST Score ]]=0,"Low",IF(Jan[[#This Row],[January MUST Score ]]=1,"Medium","High")))</f>
        <v/>
      </c>
      <c r="O26" s="10"/>
      <c r="P26" s="70"/>
      <c r="Q26" s="12"/>
      <c r="R26" s="17"/>
      <c r="S26" s="10"/>
      <c r="T26" s="17"/>
      <c r="U26" s="70"/>
      <c r="V26" s="11"/>
      <c r="W26" s="94"/>
      <c r="X26" s="12"/>
      <c r="Y26" s="11"/>
    </row>
    <row r="27" spans="2:25" x14ac:dyDescent="0.25">
      <c r="B27" s="12"/>
      <c r="C27" s="129"/>
      <c r="D27" s="94"/>
      <c r="E27" s="58" t="str">
        <f>IF(Jan[[#This Row],[Name]]="","",Jan[[#This Row],[January Weight (kg)]]/(VLOOKUP(Jan[[#This Row],[Name]],Overview[],2,FALSE)/100)^2)</f>
        <v/>
      </c>
      <c r="F27" s="58" t="str">
        <f>IF(Jan[[#This Row],[Name]]="","",IF(VLOOKUP(Jan[[#This Row],[Name]],Overview[],8,FALSE)="","N/A",Jan[[#This Row],[January Weight (kg)]]-VLOOKUP(Jan[[#This Row],[Name]],Overview[],8,FALSE)))</f>
        <v/>
      </c>
      <c r="G27" s="175" t="str">
        <f>IF(Jan[[#This Row],[Name]]="","",IF(VLOOKUP(Jan[[#This Row],[Name]],Overview[],8,FALSE)="","N/A",(Jan[[#This Row],[January Weight (kg)]]-VLOOKUP(Jan[[#This Row],[Name]],Overview[],8,FALSE))/VLOOKUP(Jan[[#This Row],[Name]],Overview[],8,FALSE)))</f>
        <v/>
      </c>
      <c r="H27" s="61" t="str" cm="1">
        <f t="array" ref="H27">IF(Jan[[#This Row],[Name]]="","",IF(SUMPRODUCT((Overview[Name]=Jan[[#This Row],[Name]])*ISNUMBER(Overview[[July 
Weight (kg)]:[October 
Weight (kg)]]))=0,"N/A",MAX(IF((Overview[Name]=Jan[[#This Row],[Name]])*ISNUMBER(Overview[[July 
Weight (kg)]:[October 
Weight (kg)]]),Overview[[July 
Weight (kg)]:[October 
Weight (kg)]]))))</f>
        <v/>
      </c>
      <c r="I27" s="57" t="str">
        <f>IF(Jan[[#This Row],[Name]]="","",IF(NOT(ISNUMBER(Jan[[#This Row],[Highest Weight in the Past 3 - 6 Months]])),"N/A",IF(Jan[[#This Row],[January Weight (kg)]]=Jan[[#This Row],[Highest Weight in the Past 3 - 6 Months]],0,Jan[[#This Row],[January Weight (kg)]]-Jan[[#This Row],[Highest Weight in the Past 3 - 6 Months]])))</f>
        <v/>
      </c>
      <c r="J27"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7" s="130"/>
      <c r="L27" s="131"/>
      <c r="M27"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7" s="64" t="str">
        <f>IF(Jan[[#This Row],[Name]]="","",IF(Jan[[#This Row],[January MUST Score ]]=0,"Low",IF(Jan[[#This Row],[January MUST Score ]]=1,"Medium","High")))</f>
        <v/>
      </c>
      <c r="O27" s="10"/>
      <c r="P27" s="70"/>
      <c r="Q27" s="12"/>
      <c r="R27" s="17"/>
      <c r="S27" s="10"/>
      <c r="T27" s="17"/>
      <c r="U27" s="70"/>
      <c r="V27" s="11"/>
      <c r="W27" s="94"/>
      <c r="X27" s="12"/>
      <c r="Y27" s="11"/>
    </row>
    <row r="28" spans="2:25" x14ac:dyDescent="0.25">
      <c r="B28" s="12"/>
      <c r="C28" s="129"/>
      <c r="D28" s="94"/>
      <c r="E28" s="58" t="str">
        <f>IF(Jan[[#This Row],[Name]]="","",Jan[[#This Row],[January Weight (kg)]]/(VLOOKUP(Jan[[#This Row],[Name]],Overview[],2,FALSE)/100)^2)</f>
        <v/>
      </c>
      <c r="F28" s="58" t="str">
        <f>IF(Jan[[#This Row],[Name]]="","",IF(VLOOKUP(Jan[[#This Row],[Name]],Overview[],8,FALSE)="","N/A",Jan[[#This Row],[January Weight (kg)]]-VLOOKUP(Jan[[#This Row],[Name]],Overview[],8,FALSE)))</f>
        <v/>
      </c>
      <c r="G28" s="175" t="str">
        <f>IF(Jan[[#This Row],[Name]]="","",IF(VLOOKUP(Jan[[#This Row],[Name]],Overview[],8,FALSE)="","N/A",(Jan[[#This Row],[January Weight (kg)]]-VLOOKUP(Jan[[#This Row],[Name]],Overview[],8,FALSE))/VLOOKUP(Jan[[#This Row],[Name]],Overview[],8,FALSE)))</f>
        <v/>
      </c>
      <c r="H28" s="61" t="str" cm="1">
        <f t="array" ref="H28">IF(Jan[[#This Row],[Name]]="","",IF(SUMPRODUCT((Overview[Name]=Jan[[#This Row],[Name]])*ISNUMBER(Overview[[July 
Weight (kg)]:[October 
Weight (kg)]]))=0,"N/A",MAX(IF((Overview[Name]=Jan[[#This Row],[Name]])*ISNUMBER(Overview[[July 
Weight (kg)]:[October 
Weight (kg)]]),Overview[[July 
Weight (kg)]:[October 
Weight (kg)]]))))</f>
        <v/>
      </c>
      <c r="I28" s="57" t="str">
        <f>IF(Jan[[#This Row],[Name]]="","",IF(NOT(ISNUMBER(Jan[[#This Row],[Highest Weight in the Past 3 - 6 Months]])),"N/A",IF(Jan[[#This Row],[January Weight (kg)]]=Jan[[#This Row],[Highest Weight in the Past 3 - 6 Months]],0,Jan[[#This Row],[January Weight (kg)]]-Jan[[#This Row],[Highest Weight in the Past 3 - 6 Months]])))</f>
        <v/>
      </c>
      <c r="J28"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8" s="130"/>
      <c r="L28" s="131"/>
      <c r="M28"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8" s="64" t="str">
        <f>IF(Jan[[#This Row],[Name]]="","",IF(Jan[[#This Row],[January MUST Score ]]=0,"Low",IF(Jan[[#This Row],[January MUST Score ]]=1,"Medium","High")))</f>
        <v/>
      </c>
      <c r="O28" s="10"/>
      <c r="P28" s="70"/>
      <c r="Q28" s="12"/>
      <c r="R28" s="17"/>
      <c r="S28" s="10"/>
      <c r="T28" s="17"/>
      <c r="U28" s="70"/>
      <c r="V28" s="11"/>
      <c r="W28" s="94"/>
      <c r="X28" s="12"/>
      <c r="Y28" s="11"/>
    </row>
    <row r="29" spans="2:25" x14ac:dyDescent="0.25">
      <c r="B29" s="12"/>
      <c r="C29" s="129"/>
      <c r="D29" s="94"/>
      <c r="E29" s="58" t="str">
        <f>IF(Jan[[#This Row],[Name]]="","",Jan[[#This Row],[January Weight (kg)]]/(VLOOKUP(Jan[[#This Row],[Name]],Overview[],2,FALSE)/100)^2)</f>
        <v/>
      </c>
      <c r="F29" s="58" t="str">
        <f>IF(Jan[[#This Row],[Name]]="","",IF(VLOOKUP(Jan[[#This Row],[Name]],Overview[],8,FALSE)="","N/A",Jan[[#This Row],[January Weight (kg)]]-VLOOKUP(Jan[[#This Row],[Name]],Overview[],8,FALSE)))</f>
        <v/>
      </c>
      <c r="G29" s="175" t="str">
        <f>IF(Jan[[#This Row],[Name]]="","",IF(VLOOKUP(Jan[[#This Row],[Name]],Overview[],8,FALSE)="","N/A",(Jan[[#This Row],[January Weight (kg)]]-VLOOKUP(Jan[[#This Row],[Name]],Overview[],8,FALSE))/VLOOKUP(Jan[[#This Row],[Name]],Overview[],8,FALSE)))</f>
        <v/>
      </c>
      <c r="H29" s="61" t="str" cm="1">
        <f t="array" ref="H29">IF(Jan[[#This Row],[Name]]="","",IF(SUMPRODUCT((Overview[Name]=Jan[[#This Row],[Name]])*ISNUMBER(Overview[[July 
Weight (kg)]:[October 
Weight (kg)]]))=0,"N/A",MAX(IF((Overview[Name]=Jan[[#This Row],[Name]])*ISNUMBER(Overview[[July 
Weight (kg)]:[October 
Weight (kg)]]),Overview[[July 
Weight (kg)]:[October 
Weight (kg)]]))))</f>
        <v/>
      </c>
      <c r="I29" s="57" t="str">
        <f>IF(Jan[[#This Row],[Name]]="","",IF(NOT(ISNUMBER(Jan[[#This Row],[Highest Weight in the Past 3 - 6 Months]])),"N/A",IF(Jan[[#This Row],[January Weight (kg)]]=Jan[[#This Row],[Highest Weight in the Past 3 - 6 Months]],0,Jan[[#This Row],[January Weight (kg)]]-Jan[[#This Row],[Highest Weight in the Past 3 - 6 Months]])))</f>
        <v/>
      </c>
      <c r="J29"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29" s="130"/>
      <c r="L29" s="131"/>
      <c r="M29"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29" s="64" t="str">
        <f>IF(Jan[[#This Row],[Name]]="","",IF(Jan[[#This Row],[January MUST Score ]]=0,"Low",IF(Jan[[#This Row],[January MUST Score ]]=1,"Medium","High")))</f>
        <v/>
      </c>
      <c r="O29" s="10"/>
      <c r="P29" s="70"/>
      <c r="Q29" s="12"/>
      <c r="R29" s="17"/>
      <c r="S29" s="10"/>
      <c r="T29" s="17"/>
      <c r="U29" s="70"/>
      <c r="V29" s="11"/>
      <c r="W29" s="94"/>
      <c r="X29" s="12"/>
      <c r="Y29" s="11"/>
    </row>
    <row r="30" spans="2:25" x14ac:dyDescent="0.25">
      <c r="B30" s="12"/>
      <c r="C30" s="129"/>
      <c r="D30" s="94"/>
      <c r="E30" s="58" t="str">
        <f>IF(Jan[[#This Row],[Name]]="","",Jan[[#This Row],[January Weight (kg)]]/(VLOOKUP(Jan[[#This Row],[Name]],Overview[],2,FALSE)/100)^2)</f>
        <v/>
      </c>
      <c r="F30" s="58" t="str">
        <f>IF(Jan[[#This Row],[Name]]="","",IF(VLOOKUP(Jan[[#This Row],[Name]],Overview[],8,FALSE)="","N/A",Jan[[#This Row],[January Weight (kg)]]-VLOOKUP(Jan[[#This Row],[Name]],Overview[],8,FALSE)))</f>
        <v/>
      </c>
      <c r="G30" s="175" t="str">
        <f>IF(Jan[[#This Row],[Name]]="","",IF(VLOOKUP(Jan[[#This Row],[Name]],Overview[],8,FALSE)="","N/A",(Jan[[#This Row],[January Weight (kg)]]-VLOOKUP(Jan[[#This Row],[Name]],Overview[],8,FALSE))/VLOOKUP(Jan[[#This Row],[Name]],Overview[],8,FALSE)))</f>
        <v/>
      </c>
      <c r="H30" s="61" t="str" cm="1">
        <f t="array" ref="H30">IF(Jan[[#This Row],[Name]]="","",IF(SUMPRODUCT((Overview[Name]=Jan[[#This Row],[Name]])*ISNUMBER(Overview[[July 
Weight (kg)]:[October 
Weight (kg)]]))=0,"N/A",MAX(IF((Overview[Name]=Jan[[#This Row],[Name]])*ISNUMBER(Overview[[July 
Weight (kg)]:[October 
Weight (kg)]]),Overview[[July 
Weight (kg)]:[October 
Weight (kg)]]))))</f>
        <v/>
      </c>
      <c r="I30" s="57" t="str">
        <f>IF(Jan[[#This Row],[Name]]="","",IF(NOT(ISNUMBER(Jan[[#This Row],[Highest Weight in the Past 3 - 6 Months]])),"N/A",IF(Jan[[#This Row],[January Weight (kg)]]=Jan[[#This Row],[Highest Weight in the Past 3 - 6 Months]],0,Jan[[#This Row],[January Weight (kg)]]-Jan[[#This Row],[Highest Weight in the Past 3 - 6 Months]])))</f>
        <v/>
      </c>
      <c r="J30"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0" s="130"/>
      <c r="L30" s="131"/>
      <c r="M30"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0" s="64" t="str">
        <f>IF(Jan[[#This Row],[Name]]="","",IF(Jan[[#This Row],[January MUST Score ]]=0,"Low",IF(Jan[[#This Row],[January MUST Score ]]=1,"Medium","High")))</f>
        <v/>
      </c>
      <c r="O30" s="10"/>
      <c r="P30" s="70"/>
      <c r="Q30" s="12"/>
      <c r="R30" s="17"/>
      <c r="S30" s="10"/>
      <c r="T30" s="17"/>
      <c r="U30" s="70"/>
      <c r="V30" s="11"/>
      <c r="W30" s="94"/>
      <c r="X30" s="12"/>
      <c r="Y30" s="11"/>
    </row>
    <row r="31" spans="2:25" x14ac:dyDescent="0.25">
      <c r="B31" s="12"/>
      <c r="C31" s="129"/>
      <c r="D31" s="94"/>
      <c r="E31" s="58" t="str">
        <f>IF(Jan[[#This Row],[Name]]="","",Jan[[#This Row],[January Weight (kg)]]/(VLOOKUP(Jan[[#This Row],[Name]],Overview[],2,FALSE)/100)^2)</f>
        <v/>
      </c>
      <c r="F31" s="58" t="str">
        <f>IF(Jan[[#This Row],[Name]]="","",IF(VLOOKUP(Jan[[#This Row],[Name]],Overview[],8,FALSE)="","N/A",Jan[[#This Row],[January Weight (kg)]]-VLOOKUP(Jan[[#This Row],[Name]],Overview[],8,FALSE)))</f>
        <v/>
      </c>
      <c r="G31" s="175" t="str">
        <f>IF(Jan[[#This Row],[Name]]="","",IF(VLOOKUP(Jan[[#This Row],[Name]],Overview[],8,FALSE)="","N/A",(Jan[[#This Row],[January Weight (kg)]]-VLOOKUP(Jan[[#This Row],[Name]],Overview[],8,FALSE))/VLOOKUP(Jan[[#This Row],[Name]],Overview[],8,FALSE)))</f>
        <v/>
      </c>
      <c r="H31" s="61" t="str" cm="1">
        <f t="array" ref="H31">IF(Jan[[#This Row],[Name]]="","",IF(SUMPRODUCT((Overview[Name]=Jan[[#This Row],[Name]])*ISNUMBER(Overview[[July 
Weight (kg)]:[October 
Weight (kg)]]))=0,"N/A",MAX(IF((Overview[Name]=Jan[[#This Row],[Name]])*ISNUMBER(Overview[[July 
Weight (kg)]:[October 
Weight (kg)]]),Overview[[July 
Weight (kg)]:[October 
Weight (kg)]]))))</f>
        <v/>
      </c>
      <c r="I31" s="57" t="str">
        <f>IF(Jan[[#This Row],[Name]]="","",IF(NOT(ISNUMBER(Jan[[#This Row],[Highest Weight in the Past 3 - 6 Months]])),"N/A",IF(Jan[[#This Row],[January Weight (kg)]]=Jan[[#This Row],[Highest Weight in the Past 3 - 6 Months]],0,Jan[[#This Row],[January Weight (kg)]]-Jan[[#This Row],[Highest Weight in the Past 3 - 6 Months]])))</f>
        <v/>
      </c>
      <c r="J31"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1" s="130"/>
      <c r="L31" s="131"/>
      <c r="M31"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1" s="64" t="str">
        <f>IF(Jan[[#This Row],[Name]]="","",IF(Jan[[#This Row],[January MUST Score ]]=0,"Low",IF(Jan[[#This Row],[January MUST Score ]]=1,"Medium","High")))</f>
        <v/>
      </c>
      <c r="O31" s="10"/>
      <c r="P31" s="70"/>
      <c r="Q31" s="12"/>
      <c r="R31" s="17"/>
      <c r="S31" s="10"/>
      <c r="T31" s="17"/>
      <c r="U31" s="70"/>
      <c r="V31" s="11"/>
      <c r="W31" s="94"/>
      <c r="X31" s="12"/>
      <c r="Y31" s="11"/>
    </row>
    <row r="32" spans="2:25" x14ac:dyDescent="0.25">
      <c r="B32" s="12"/>
      <c r="C32" s="129"/>
      <c r="D32" s="94"/>
      <c r="E32" s="58" t="str">
        <f>IF(Jan[[#This Row],[Name]]="","",Jan[[#This Row],[January Weight (kg)]]/(VLOOKUP(Jan[[#This Row],[Name]],Overview[],2,FALSE)/100)^2)</f>
        <v/>
      </c>
      <c r="F32" s="58" t="str">
        <f>IF(Jan[[#This Row],[Name]]="","",IF(VLOOKUP(Jan[[#This Row],[Name]],Overview[],8,FALSE)="","N/A",Jan[[#This Row],[January Weight (kg)]]-VLOOKUP(Jan[[#This Row],[Name]],Overview[],8,FALSE)))</f>
        <v/>
      </c>
      <c r="G32" s="175" t="str">
        <f>IF(Jan[[#This Row],[Name]]="","",IF(VLOOKUP(Jan[[#This Row],[Name]],Overview[],8,FALSE)="","N/A",(Jan[[#This Row],[January Weight (kg)]]-VLOOKUP(Jan[[#This Row],[Name]],Overview[],8,FALSE))/VLOOKUP(Jan[[#This Row],[Name]],Overview[],8,FALSE)))</f>
        <v/>
      </c>
      <c r="H32" s="61" t="str" cm="1">
        <f t="array" ref="H32">IF(Jan[[#This Row],[Name]]="","",IF(SUMPRODUCT((Overview[Name]=Jan[[#This Row],[Name]])*ISNUMBER(Overview[[July 
Weight (kg)]:[October 
Weight (kg)]]))=0,"N/A",MAX(IF((Overview[Name]=Jan[[#This Row],[Name]])*ISNUMBER(Overview[[July 
Weight (kg)]:[October 
Weight (kg)]]),Overview[[July 
Weight (kg)]:[October 
Weight (kg)]]))))</f>
        <v/>
      </c>
      <c r="I32" s="57" t="str">
        <f>IF(Jan[[#This Row],[Name]]="","",IF(NOT(ISNUMBER(Jan[[#This Row],[Highest Weight in the Past 3 - 6 Months]])),"N/A",IF(Jan[[#This Row],[January Weight (kg)]]=Jan[[#This Row],[Highest Weight in the Past 3 - 6 Months]],0,Jan[[#This Row],[January Weight (kg)]]-Jan[[#This Row],[Highest Weight in the Past 3 - 6 Months]])))</f>
        <v/>
      </c>
      <c r="J32"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2" s="130"/>
      <c r="L32" s="131"/>
      <c r="M32"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2" s="64" t="str">
        <f>IF(Jan[[#This Row],[Name]]="","",IF(Jan[[#This Row],[January MUST Score ]]=0,"Low",IF(Jan[[#This Row],[January MUST Score ]]=1,"Medium","High")))</f>
        <v/>
      </c>
      <c r="O32" s="10"/>
      <c r="P32" s="70"/>
      <c r="Q32" s="12"/>
      <c r="R32" s="17"/>
      <c r="S32" s="10"/>
      <c r="T32" s="17"/>
      <c r="U32" s="70"/>
      <c r="V32" s="11"/>
      <c r="W32" s="94"/>
      <c r="X32" s="12"/>
      <c r="Y32" s="11"/>
    </row>
    <row r="33" spans="2:25" x14ac:dyDescent="0.25">
      <c r="B33" s="12"/>
      <c r="C33" s="129"/>
      <c r="D33" s="94"/>
      <c r="E33" s="58" t="str">
        <f>IF(Jan[[#This Row],[Name]]="","",Jan[[#This Row],[January Weight (kg)]]/(VLOOKUP(Jan[[#This Row],[Name]],Overview[],2,FALSE)/100)^2)</f>
        <v/>
      </c>
      <c r="F33" s="58" t="str">
        <f>IF(Jan[[#This Row],[Name]]="","",IF(VLOOKUP(Jan[[#This Row],[Name]],Overview[],8,FALSE)="","N/A",Jan[[#This Row],[January Weight (kg)]]-VLOOKUP(Jan[[#This Row],[Name]],Overview[],8,FALSE)))</f>
        <v/>
      </c>
      <c r="G33" s="175" t="str">
        <f>IF(Jan[[#This Row],[Name]]="","",IF(VLOOKUP(Jan[[#This Row],[Name]],Overview[],8,FALSE)="","N/A",(Jan[[#This Row],[January Weight (kg)]]-VLOOKUP(Jan[[#This Row],[Name]],Overview[],8,FALSE))/VLOOKUP(Jan[[#This Row],[Name]],Overview[],8,FALSE)))</f>
        <v/>
      </c>
      <c r="H33" s="61" t="str" cm="1">
        <f t="array" ref="H33">IF(Jan[[#This Row],[Name]]="","",IF(SUMPRODUCT((Overview[Name]=Jan[[#This Row],[Name]])*ISNUMBER(Overview[[July 
Weight (kg)]:[October 
Weight (kg)]]))=0,"N/A",MAX(IF((Overview[Name]=Jan[[#This Row],[Name]])*ISNUMBER(Overview[[July 
Weight (kg)]:[October 
Weight (kg)]]),Overview[[July 
Weight (kg)]:[October 
Weight (kg)]]))))</f>
        <v/>
      </c>
      <c r="I33" s="57" t="str">
        <f>IF(Jan[[#This Row],[Name]]="","",IF(NOT(ISNUMBER(Jan[[#This Row],[Highest Weight in the Past 3 - 6 Months]])),"N/A",IF(Jan[[#This Row],[January Weight (kg)]]=Jan[[#This Row],[Highest Weight in the Past 3 - 6 Months]],0,Jan[[#This Row],[January Weight (kg)]]-Jan[[#This Row],[Highest Weight in the Past 3 - 6 Months]])))</f>
        <v/>
      </c>
      <c r="J33"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3" s="130"/>
      <c r="L33" s="131"/>
      <c r="M33"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3" s="64" t="str">
        <f>IF(Jan[[#This Row],[Name]]="","",IF(Jan[[#This Row],[January MUST Score ]]=0,"Low",IF(Jan[[#This Row],[January MUST Score ]]=1,"Medium","High")))</f>
        <v/>
      </c>
      <c r="O33" s="10"/>
      <c r="P33" s="70"/>
      <c r="Q33" s="12"/>
      <c r="R33" s="17"/>
      <c r="S33" s="10"/>
      <c r="T33" s="17"/>
      <c r="U33" s="70"/>
      <c r="V33" s="11"/>
      <c r="W33" s="94"/>
      <c r="X33" s="12"/>
      <c r="Y33" s="11"/>
    </row>
    <row r="34" spans="2:25" x14ac:dyDescent="0.25">
      <c r="B34" s="12"/>
      <c r="C34" s="129"/>
      <c r="D34" s="94"/>
      <c r="E34" s="58" t="str">
        <f>IF(Jan[[#This Row],[Name]]="","",Jan[[#This Row],[January Weight (kg)]]/(VLOOKUP(Jan[[#This Row],[Name]],Overview[],2,FALSE)/100)^2)</f>
        <v/>
      </c>
      <c r="F34" s="58" t="str">
        <f>IF(Jan[[#This Row],[Name]]="","",IF(VLOOKUP(Jan[[#This Row],[Name]],Overview[],8,FALSE)="","N/A",Jan[[#This Row],[January Weight (kg)]]-VLOOKUP(Jan[[#This Row],[Name]],Overview[],8,FALSE)))</f>
        <v/>
      </c>
      <c r="G34" s="175" t="str">
        <f>IF(Jan[[#This Row],[Name]]="","",IF(VLOOKUP(Jan[[#This Row],[Name]],Overview[],8,FALSE)="","N/A",(Jan[[#This Row],[January Weight (kg)]]-VLOOKUP(Jan[[#This Row],[Name]],Overview[],8,FALSE))/VLOOKUP(Jan[[#This Row],[Name]],Overview[],8,FALSE)))</f>
        <v/>
      </c>
      <c r="H34" s="61" t="str" cm="1">
        <f t="array" ref="H34">IF(Jan[[#This Row],[Name]]="","",IF(SUMPRODUCT((Overview[Name]=Jan[[#This Row],[Name]])*ISNUMBER(Overview[[July 
Weight (kg)]:[October 
Weight (kg)]]))=0,"N/A",MAX(IF((Overview[Name]=Jan[[#This Row],[Name]])*ISNUMBER(Overview[[July 
Weight (kg)]:[October 
Weight (kg)]]),Overview[[July 
Weight (kg)]:[October 
Weight (kg)]]))))</f>
        <v/>
      </c>
      <c r="I34" s="57" t="str">
        <f>IF(Jan[[#This Row],[Name]]="","",IF(NOT(ISNUMBER(Jan[[#This Row],[Highest Weight in the Past 3 - 6 Months]])),"N/A",IF(Jan[[#This Row],[January Weight (kg)]]=Jan[[#This Row],[Highest Weight in the Past 3 - 6 Months]],0,Jan[[#This Row],[January Weight (kg)]]-Jan[[#This Row],[Highest Weight in the Past 3 - 6 Months]])))</f>
        <v/>
      </c>
      <c r="J34"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4" s="130"/>
      <c r="L34" s="131"/>
      <c r="M34"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4" s="64" t="str">
        <f>IF(Jan[[#This Row],[Name]]="","",IF(Jan[[#This Row],[January MUST Score ]]=0,"Low",IF(Jan[[#This Row],[January MUST Score ]]=1,"Medium","High")))</f>
        <v/>
      </c>
      <c r="O34" s="10"/>
      <c r="P34" s="70"/>
      <c r="Q34" s="12"/>
      <c r="R34" s="17"/>
      <c r="S34" s="10"/>
      <c r="T34" s="17"/>
      <c r="U34" s="70"/>
      <c r="V34" s="11"/>
      <c r="W34" s="94"/>
      <c r="X34" s="12"/>
      <c r="Y34" s="11"/>
    </row>
    <row r="35" spans="2:25" x14ac:dyDescent="0.25">
      <c r="B35" s="12"/>
      <c r="C35" s="129"/>
      <c r="D35" s="94"/>
      <c r="E35" s="58" t="str">
        <f>IF(Jan[[#This Row],[Name]]="","",Jan[[#This Row],[January Weight (kg)]]/(VLOOKUP(Jan[[#This Row],[Name]],Overview[],2,FALSE)/100)^2)</f>
        <v/>
      </c>
      <c r="F35" s="58" t="str">
        <f>IF(Jan[[#This Row],[Name]]="","",IF(VLOOKUP(Jan[[#This Row],[Name]],Overview[],8,FALSE)="","N/A",Jan[[#This Row],[January Weight (kg)]]-VLOOKUP(Jan[[#This Row],[Name]],Overview[],8,FALSE)))</f>
        <v/>
      </c>
      <c r="G35" s="175" t="str">
        <f>IF(Jan[[#This Row],[Name]]="","",IF(VLOOKUP(Jan[[#This Row],[Name]],Overview[],8,FALSE)="","N/A",(Jan[[#This Row],[January Weight (kg)]]-VLOOKUP(Jan[[#This Row],[Name]],Overview[],8,FALSE))/VLOOKUP(Jan[[#This Row],[Name]],Overview[],8,FALSE)))</f>
        <v/>
      </c>
      <c r="H35" s="61" t="str" cm="1">
        <f t="array" ref="H35">IF(Jan[[#This Row],[Name]]="","",IF(SUMPRODUCT((Overview[Name]=Jan[[#This Row],[Name]])*ISNUMBER(Overview[[July 
Weight (kg)]:[October 
Weight (kg)]]))=0,"N/A",MAX(IF((Overview[Name]=Jan[[#This Row],[Name]])*ISNUMBER(Overview[[July 
Weight (kg)]:[October 
Weight (kg)]]),Overview[[July 
Weight (kg)]:[October 
Weight (kg)]]))))</f>
        <v/>
      </c>
      <c r="I35" s="57" t="str">
        <f>IF(Jan[[#This Row],[Name]]="","",IF(NOT(ISNUMBER(Jan[[#This Row],[Highest Weight in the Past 3 - 6 Months]])),"N/A",IF(Jan[[#This Row],[January Weight (kg)]]=Jan[[#This Row],[Highest Weight in the Past 3 - 6 Months]],0,Jan[[#This Row],[January Weight (kg)]]-Jan[[#This Row],[Highest Weight in the Past 3 - 6 Months]])))</f>
        <v/>
      </c>
      <c r="J35"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5" s="130"/>
      <c r="L35" s="131"/>
      <c r="M35"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5" s="64" t="str">
        <f>IF(Jan[[#This Row],[Name]]="","",IF(Jan[[#This Row],[January MUST Score ]]=0,"Low",IF(Jan[[#This Row],[January MUST Score ]]=1,"Medium","High")))</f>
        <v/>
      </c>
      <c r="O35" s="10"/>
      <c r="P35" s="70"/>
      <c r="Q35" s="12"/>
      <c r="R35" s="17"/>
      <c r="S35" s="10"/>
      <c r="T35" s="17"/>
      <c r="U35" s="70"/>
      <c r="V35" s="11"/>
      <c r="W35" s="94"/>
      <c r="X35" s="12"/>
      <c r="Y35" s="11"/>
    </row>
    <row r="36" spans="2:25" x14ac:dyDescent="0.25">
      <c r="B36" s="12"/>
      <c r="C36" s="129"/>
      <c r="D36" s="94"/>
      <c r="E36" s="58" t="str">
        <f>IF(Jan[[#This Row],[Name]]="","",Jan[[#This Row],[January Weight (kg)]]/(VLOOKUP(Jan[[#This Row],[Name]],Overview[],2,FALSE)/100)^2)</f>
        <v/>
      </c>
      <c r="F36" s="58" t="str">
        <f>IF(Jan[[#This Row],[Name]]="","",IF(VLOOKUP(Jan[[#This Row],[Name]],Overview[],8,FALSE)="","N/A",Jan[[#This Row],[January Weight (kg)]]-VLOOKUP(Jan[[#This Row],[Name]],Overview[],8,FALSE)))</f>
        <v/>
      </c>
      <c r="G36" s="175" t="str">
        <f>IF(Jan[[#This Row],[Name]]="","",IF(VLOOKUP(Jan[[#This Row],[Name]],Overview[],8,FALSE)="","N/A",(Jan[[#This Row],[January Weight (kg)]]-VLOOKUP(Jan[[#This Row],[Name]],Overview[],8,FALSE))/VLOOKUP(Jan[[#This Row],[Name]],Overview[],8,FALSE)))</f>
        <v/>
      </c>
      <c r="H36" s="61" t="str" cm="1">
        <f t="array" ref="H36">IF(Jan[[#This Row],[Name]]="","",IF(SUMPRODUCT((Overview[Name]=Jan[[#This Row],[Name]])*ISNUMBER(Overview[[July 
Weight (kg)]:[October 
Weight (kg)]]))=0,"N/A",MAX(IF((Overview[Name]=Jan[[#This Row],[Name]])*ISNUMBER(Overview[[July 
Weight (kg)]:[October 
Weight (kg)]]),Overview[[July 
Weight (kg)]:[October 
Weight (kg)]]))))</f>
        <v/>
      </c>
      <c r="I36" s="57" t="str">
        <f>IF(Jan[[#This Row],[Name]]="","",IF(NOT(ISNUMBER(Jan[[#This Row],[Highest Weight in the Past 3 - 6 Months]])),"N/A",IF(Jan[[#This Row],[January Weight (kg)]]=Jan[[#This Row],[Highest Weight in the Past 3 - 6 Months]],0,Jan[[#This Row],[January Weight (kg)]]-Jan[[#This Row],[Highest Weight in the Past 3 - 6 Months]])))</f>
        <v/>
      </c>
      <c r="J36"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6" s="130"/>
      <c r="L36" s="131"/>
      <c r="M36"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6" s="64" t="str">
        <f>IF(Jan[[#This Row],[Name]]="","",IF(Jan[[#This Row],[January MUST Score ]]=0,"Low",IF(Jan[[#This Row],[January MUST Score ]]=1,"Medium","High")))</f>
        <v/>
      </c>
      <c r="O36" s="10"/>
      <c r="P36" s="70"/>
      <c r="Q36" s="12"/>
      <c r="R36" s="17"/>
      <c r="S36" s="10"/>
      <c r="T36" s="17"/>
      <c r="U36" s="70"/>
      <c r="V36" s="11"/>
      <c r="W36" s="94"/>
      <c r="X36" s="12"/>
      <c r="Y36" s="11"/>
    </row>
    <row r="37" spans="2:25" x14ac:dyDescent="0.25">
      <c r="B37" s="12"/>
      <c r="C37" s="129"/>
      <c r="D37" s="94"/>
      <c r="E37" s="58" t="str">
        <f>IF(Jan[[#This Row],[Name]]="","",Jan[[#This Row],[January Weight (kg)]]/(VLOOKUP(Jan[[#This Row],[Name]],Overview[],2,FALSE)/100)^2)</f>
        <v/>
      </c>
      <c r="F37" s="58" t="str">
        <f>IF(Jan[[#This Row],[Name]]="","",IF(VLOOKUP(Jan[[#This Row],[Name]],Overview[],8,FALSE)="","N/A",Jan[[#This Row],[January Weight (kg)]]-VLOOKUP(Jan[[#This Row],[Name]],Overview[],8,FALSE)))</f>
        <v/>
      </c>
      <c r="G37" s="175" t="str">
        <f>IF(Jan[[#This Row],[Name]]="","",IF(VLOOKUP(Jan[[#This Row],[Name]],Overview[],8,FALSE)="","N/A",(Jan[[#This Row],[January Weight (kg)]]-VLOOKUP(Jan[[#This Row],[Name]],Overview[],8,FALSE))/VLOOKUP(Jan[[#This Row],[Name]],Overview[],8,FALSE)))</f>
        <v/>
      </c>
      <c r="H37" s="61" t="str" cm="1">
        <f t="array" ref="H37">IF(Jan[[#This Row],[Name]]="","",IF(SUMPRODUCT((Overview[Name]=Jan[[#This Row],[Name]])*ISNUMBER(Overview[[July 
Weight (kg)]:[October 
Weight (kg)]]))=0,"N/A",MAX(IF((Overview[Name]=Jan[[#This Row],[Name]])*ISNUMBER(Overview[[July 
Weight (kg)]:[October 
Weight (kg)]]),Overview[[July 
Weight (kg)]:[October 
Weight (kg)]]))))</f>
        <v/>
      </c>
      <c r="I37" s="57" t="str">
        <f>IF(Jan[[#This Row],[Name]]="","",IF(NOT(ISNUMBER(Jan[[#This Row],[Highest Weight in the Past 3 - 6 Months]])),"N/A",IF(Jan[[#This Row],[January Weight (kg)]]=Jan[[#This Row],[Highest Weight in the Past 3 - 6 Months]],0,Jan[[#This Row],[January Weight (kg)]]-Jan[[#This Row],[Highest Weight in the Past 3 - 6 Months]])))</f>
        <v/>
      </c>
      <c r="J37"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7" s="130"/>
      <c r="L37" s="131"/>
      <c r="M37"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7" s="64" t="str">
        <f>IF(Jan[[#This Row],[Name]]="","",IF(Jan[[#This Row],[January MUST Score ]]=0,"Low",IF(Jan[[#This Row],[January MUST Score ]]=1,"Medium","High")))</f>
        <v/>
      </c>
      <c r="O37" s="10"/>
      <c r="P37" s="70"/>
      <c r="Q37" s="12"/>
      <c r="R37" s="17"/>
      <c r="S37" s="10"/>
      <c r="T37" s="17"/>
      <c r="U37" s="70"/>
      <c r="V37" s="11"/>
      <c r="W37" s="94"/>
      <c r="X37" s="12"/>
      <c r="Y37" s="11"/>
    </row>
    <row r="38" spans="2:25" x14ac:dyDescent="0.25">
      <c r="B38" s="12"/>
      <c r="C38" s="129"/>
      <c r="D38" s="94"/>
      <c r="E38" s="58" t="str">
        <f>IF(Jan[[#This Row],[Name]]="","",Jan[[#This Row],[January Weight (kg)]]/(VLOOKUP(Jan[[#This Row],[Name]],Overview[],2,FALSE)/100)^2)</f>
        <v/>
      </c>
      <c r="F38" s="58" t="str">
        <f>IF(Jan[[#This Row],[Name]]="","",IF(VLOOKUP(Jan[[#This Row],[Name]],Overview[],8,FALSE)="","N/A",Jan[[#This Row],[January Weight (kg)]]-VLOOKUP(Jan[[#This Row],[Name]],Overview[],8,FALSE)))</f>
        <v/>
      </c>
      <c r="G38" s="175" t="str">
        <f>IF(Jan[[#This Row],[Name]]="","",IF(VLOOKUP(Jan[[#This Row],[Name]],Overview[],8,FALSE)="","N/A",(Jan[[#This Row],[January Weight (kg)]]-VLOOKUP(Jan[[#This Row],[Name]],Overview[],8,FALSE))/VLOOKUP(Jan[[#This Row],[Name]],Overview[],8,FALSE)))</f>
        <v/>
      </c>
      <c r="H38" s="61" t="str" cm="1">
        <f t="array" ref="H38">IF(Jan[[#This Row],[Name]]="","",IF(SUMPRODUCT((Overview[Name]=Jan[[#This Row],[Name]])*ISNUMBER(Overview[[July 
Weight (kg)]:[October 
Weight (kg)]]))=0,"N/A",MAX(IF((Overview[Name]=Jan[[#This Row],[Name]])*ISNUMBER(Overview[[July 
Weight (kg)]:[October 
Weight (kg)]]),Overview[[July 
Weight (kg)]:[October 
Weight (kg)]]))))</f>
        <v/>
      </c>
      <c r="I38" s="57" t="str">
        <f>IF(Jan[[#This Row],[Name]]="","",IF(NOT(ISNUMBER(Jan[[#This Row],[Highest Weight in the Past 3 - 6 Months]])),"N/A",IF(Jan[[#This Row],[January Weight (kg)]]=Jan[[#This Row],[Highest Weight in the Past 3 - 6 Months]],0,Jan[[#This Row],[January Weight (kg)]]-Jan[[#This Row],[Highest Weight in the Past 3 - 6 Months]])))</f>
        <v/>
      </c>
      <c r="J38"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8" s="130"/>
      <c r="L38" s="131"/>
      <c r="M38"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8" s="64" t="str">
        <f>IF(Jan[[#This Row],[Name]]="","",IF(Jan[[#This Row],[January MUST Score ]]=0,"Low",IF(Jan[[#This Row],[January MUST Score ]]=1,"Medium","High")))</f>
        <v/>
      </c>
      <c r="O38" s="10"/>
      <c r="P38" s="70"/>
      <c r="Q38" s="12"/>
      <c r="R38" s="17"/>
      <c r="S38" s="10"/>
      <c r="T38" s="17"/>
      <c r="U38" s="70"/>
      <c r="V38" s="11"/>
      <c r="W38" s="94"/>
      <c r="X38" s="12"/>
      <c r="Y38" s="11"/>
    </row>
    <row r="39" spans="2:25" x14ac:dyDescent="0.25">
      <c r="B39" s="12"/>
      <c r="C39" s="129"/>
      <c r="D39" s="94"/>
      <c r="E39" s="58" t="str">
        <f>IF(Jan[[#This Row],[Name]]="","",Jan[[#This Row],[January Weight (kg)]]/(VLOOKUP(Jan[[#This Row],[Name]],Overview[],2,FALSE)/100)^2)</f>
        <v/>
      </c>
      <c r="F39" s="58" t="str">
        <f>IF(Jan[[#This Row],[Name]]="","",IF(VLOOKUP(Jan[[#This Row],[Name]],Overview[],8,FALSE)="","N/A",Jan[[#This Row],[January Weight (kg)]]-VLOOKUP(Jan[[#This Row],[Name]],Overview[],8,FALSE)))</f>
        <v/>
      </c>
      <c r="G39" s="175" t="str">
        <f>IF(Jan[[#This Row],[Name]]="","",IF(VLOOKUP(Jan[[#This Row],[Name]],Overview[],8,FALSE)="","N/A",(Jan[[#This Row],[January Weight (kg)]]-VLOOKUP(Jan[[#This Row],[Name]],Overview[],8,FALSE))/VLOOKUP(Jan[[#This Row],[Name]],Overview[],8,FALSE)))</f>
        <v/>
      </c>
      <c r="H39" s="61" t="str" cm="1">
        <f t="array" ref="H39">IF(Jan[[#This Row],[Name]]="","",IF(SUMPRODUCT((Overview[Name]=Jan[[#This Row],[Name]])*ISNUMBER(Overview[[July 
Weight (kg)]:[October 
Weight (kg)]]))=0,"N/A",MAX(IF((Overview[Name]=Jan[[#This Row],[Name]])*ISNUMBER(Overview[[July 
Weight (kg)]:[October 
Weight (kg)]]),Overview[[July 
Weight (kg)]:[October 
Weight (kg)]]))))</f>
        <v/>
      </c>
      <c r="I39" s="57" t="str">
        <f>IF(Jan[[#This Row],[Name]]="","",IF(NOT(ISNUMBER(Jan[[#This Row],[Highest Weight in the Past 3 - 6 Months]])),"N/A",IF(Jan[[#This Row],[January Weight (kg)]]=Jan[[#This Row],[Highest Weight in the Past 3 - 6 Months]],0,Jan[[#This Row],[January Weight (kg)]]-Jan[[#This Row],[Highest Weight in the Past 3 - 6 Months]])))</f>
        <v/>
      </c>
      <c r="J39"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39" s="130"/>
      <c r="L39" s="131"/>
      <c r="M39"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39" s="64" t="str">
        <f>IF(Jan[[#This Row],[Name]]="","",IF(Jan[[#This Row],[January MUST Score ]]=0,"Low",IF(Jan[[#This Row],[January MUST Score ]]=1,"Medium","High")))</f>
        <v/>
      </c>
      <c r="O39" s="10"/>
      <c r="P39" s="70"/>
      <c r="Q39" s="12"/>
      <c r="R39" s="17"/>
      <c r="S39" s="10"/>
      <c r="T39" s="17"/>
      <c r="U39" s="70"/>
      <c r="V39" s="11"/>
      <c r="W39" s="94"/>
      <c r="X39" s="12"/>
      <c r="Y39" s="11"/>
    </row>
    <row r="40" spans="2:25" x14ac:dyDescent="0.25">
      <c r="B40" s="12"/>
      <c r="C40" s="129"/>
      <c r="D40" s="94"/>
      <c r="E40" s="58" t="str">
        <f>IF(Jan[[#This Row],[Name]]="","",Jan[[#This Row],[January Weight (kg)]]/(VLOOKUP(Jan[[#This Row],[Name]],Overview[],2,FALSE)/100)^2)</f>
        <v/>
      </c>
      <c r="F40" s="58" t="str">
        <f>IF(Jan[[#This Row],[Name]]="","",IF(VLOOKUP(Jan[[#This Row],[Name]],Overview[],8,FALSE)="","N/A",Jan[[#This Row],[January Weight (kg)]]-VLOOKUP(Jan[[#This Row],[Name]],Overview[],8,FALSE)))</f>
        <v/>
      </c>
      <c r="G40" s="175" t="str">
        <f>IF(Jan[[#This Row],[Name]]="","",IF(VLOOKUP(Jan[[#This Row],[Name]],Overview[],8,FALSE)="","N/A",(Jan[[#This Row],[January Weight (kg)]]-VLOOKUP(Jan[[#This Row],[Name]],Overview[],8,FALSE))/VLOOKUP(Jan[[#This Row],[Name]],Overview[],8,FALSE)))</f>
        <v/>
      </c>
      <c r="H40" s="61" t="str" cm="1">
        <f t="array" ref="H40">IF(Jan[[#This Row],[Name]]="","",IF(SUMPRODUCT((Overview[Name]=Jan[[#This Row],[Name]])*ISNUMBER(Overview[[July 
Weight (kg)]:[October 
Weight (kg)]]))=0,"N/A",MAX(IF((Overview[Name]=Jan[[#This Row],[Name]])*ISNUMBER(Overview[[July 
Weight (kg)]:[October 
Weight (kg)]]),Overview[[July 
Weight (kg)]:[October 
Weight (kg)]]))))</f>
        <v/>
      </c>
      <c r="I40" s="57" t="str">
        <f>IF(Jan[[#This Row],[Name]]="","",IF(NOT(ISNUMBER(Jan[[#This Row],[Highest Weight in the Past 3 - 6 Months]])),"N/A",IF(Jan[[#This Row],[January Weight (kg)]]=Jan[[#This Row],[Highest Weight in the Past 3 - 6 Months]],0,Jan[[#This Row],[January Weight (kg)]]-Jan[[#This Row],[Highest Weight in the Past 3 - 6 Months]])))</f>
        <v/>
      </c>
      <c r="J40"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40" s="130"/>
      <c r="L40" s="131"/>
      <c r="M40"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40" s="64" t="str">
        <f>IF(Jan[[#This Row],[Name]]="","",IF(Jan[[#This Row],[January MUST Score ]]=0,"Low",IF(Jan[[#This Row],[January MUST Score ]]=1,"Medium","High")))</f>
        <v/>
      </c>
      <c r="O40" s="10"/>
      <c r="P40" s="70"/>
      <c r="Q40" s="12"/>
      <c r="R40" s="17"/>
      <c r="S40" s="10"/>
      <c r="T40" s="17"/>
      <c r="U40" s="70"/>
      <c r="V40" s="11"/>
      <c r="W40" s="94"/>
      <c r="X40" s="12"/>
      <c r="Y40" s="11"/>
    </row>
    <row r="41" spans="2:25" x14ac:dyDescent="0.25">
      <c r="B41" s="12"/>
      <c r="C41" s="129"/>
      <c r="D41" s="94"/>
      <c r="E41" s="58" t="str">
        <f>IF(Jan[[#This Row],[Name]]="","",Jan[[#This Row],[January Weight (kg)]]/(VLOOKUP(Jan[[#This Row],[Name]],Overview[],2,FALSE)/100)^2)</f>
        <v/>
      </c>
      <c r="F41" s="58" t="str">
        <f>IF(Jan[[#This Row],[Name]]="","",IF(VLOOKUP(Jan[[#This Row],[Name]],Overview[],8,FALSE)="","N/A",Jan[[#This Row],[January Weight (kg)]]-VLOOKUP(Jan[[#This Row],[Name]],Overview[],8,FALSE)))</f>
        <v/>
      </c>
      <c r="G41" s="175" t="str">
        <f>IF(Jan[[#This Row],[Name]]="","",IF(VLOOKUP(Jan[[#This Row],[Name]],Overview[],8,FALSE)="","N/A",(Jan[[#This Row],[January Weight (kg)]]-VLOOKUP(Jan[[#This Row],[Name]],Overview[],8,FALSE))/VLOOKUP(Jan[[#This Row],[Name]],Overview[],8,FALSE)))</f>
        <v/>
      </c>
      <c r="H41" s="61" t="str" cm="1">
        <f t="array" ref="H41">IF(Jan[[#This Row],[Name]]="","",IF(SUMPRODUCT((Overview[Name]=Jan[[#This Row],[Name]])*ISNUMBER(Overview[[July 
Weight (kg)]:[October 
Weight (kg)]]))=0,"N/A",MAX(IF((Overview[Name]=Jan[[#This Row],[Name]])*ISNUMBER(Overview[[July 
Weight (kg)]:[October 
Weight (kg)]]),Overview[[July 
Weight (kg)]:[October 
Weight (kg)]]))))</f>
        <v/>
      </c>
      <c r="I41" s="57" t="str">
        <f>IF(Jan[[#This Row],[Name]]="","",IF(NOT(ISNUMBER(Jan[[#This Row],[Highest Weight in the Past 3 - 6 Months]])),"N/A",IF(Jan[[#This Row],[January Weight (kg)]]=Jan[[#This Row],[Highest Weight in the Past 3 - 6 Months]],0,Jan[[#This Row],[January Weight (kg)]]-Jan[[#This Row],[Highest Weight in the Past 3 - 6 Months]])))</f>
        <v/>
      </c>
      <c r="J41"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41" s="130"/>
      <c r="L41" s="131"/>
      <c r="M41"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41" s="64" t="str">
        <f>IF(Jan[[#This Row],[Name]]="","",IF(Jan[[#This Row],[January MUST Score ]]=0,"Low",IF(Jan[[#This Row],[January MUST Score ]]=1,"Medium","High")))</f>
        <v/>
      </c>
      <c r="O41" s="10"/>
      <c r="P41" s="70"/>
      <c r="Q41" s="12"/>
      <c r="R41" s="17"/>
      <c r="S41" s="10"/>
      <c r="T41" s="17"/>
      <c r="U41" s="70"/>
      <c r="V41" s="11"/>
      <c r="W41" s="94"/>
      <c r="X41" s="12"/>
      <c r="Y41" s="11"/>
    </row>
    <row r="42" spans="2:25" x14ac:dyDescent="0.25">
      <c r="B42" s="12"/>
      <c r="C42" s="129"/>
      <c r="D42" s="94"/>
      <c r="E42" s="58" t="str">
        <f>IF(Jan[[#This Row],[Name]]="","",Jan[[#This Row],[January Weight (kg)]]/(VLOOKUP(Jan[[#This Row],[Name]],Overview[],2,FALSE)/100)^2)</f>
        <v/>
      </c>
      <c r="F42" s="58" t="str">
        <f>IF(Jan[[#This Row],[Name]]="","",IF(VLOOKUP(Jan[[#This Row],[Name]],Overview[],8,FALSE)="","N/A",Jan[[#This Row],[January Weight (kg)]]-VLOOKUP(Jan[[#This Row],[Name]],Overview[],8,FALSE)))</f>
        <v/>
      </c>
      <c r="G42" s="175" t="str">
        <f>IF(Jan[[#This Row],[Name]]="","",IF(VLOOKUP(Jan[[#This Row],[Name]],Overview[],8,FALSE)="","N/A",(Jan[[#This Row],[January Weight (kg)]]-VLOOKUP(Jan[[#This Row],[Name]],Overview[],8,FALSE))/VLOOKUP(Jan[[#This Row],[Name]],Overview[],8,FALSE)))</f>
        <v/>
      </c>
      <c r="H42" s="61" t="str" cm="1">
        <f t="array" ref="H42">IF(Jan[[#This Row],[Name]]="","",IF(SUMPRODUCT((Overview[Name]=Jan[[#This Row],[Name]])*ISNUMBER(Overview[[July 
Weight (kg)]:[October 
Weight (kg)]]))=0,"N/A",MAX(IF((Overview[Name]=Jan[[#This Row],[Name]])*ISNUMBER(Overview[[July 
Weight (kg)]:[October 
Weight (kg)]]),Overview[[July 
Weight (kg)]:[October 
Weight (kg)]]))))</f>
        <v/>
      </c>
      <c r="I42" s="57" t="str">
        <f>IF(Jan[[#This Row],[Name]]="","",IF(NOT(ISNUMBER(Jan[[#This Row],[Highest Weight in the Past 3 - 6 Months]])),"N/A",IF(Jan[[#This Row],[January Weight (kg)]]=Jan[[#This Row],[Highest Weight in the Past 3 - 6 Months]],0,Jan[[#This Row],[January Weight (kg)]]-Jan[[#This Row],[Highest Weight in the Past 3 - 6 Months]])))</f>
        <v/>
      </c>
      <c r="J42"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42" s="130"/>
      <c r="L42" s="131"/>
      <c r="M42"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42" s="64" t="str">
        <f>IF(Jan[[#This Row],[Name]]="","",IF(Jan[[#This Row],[January MUST Score ]]=0,"Low",IF(Jan[[#This Row],[January MUST Score ]]=1,"Medium","High")))</f>
        <v/>
      </c>
      <c r="O42" s="10"/>
      <c r="P42" s="70"/>
      <c r="Q42" s="12"/>
      <c r="R42" s="17"/>
      <c r="S42" s="10"/>
      <c r="T42" s="17"/>
      <c r="U42" s="70"/>
      <c r="V42" s="11"/>
      <c r="W42" s="94"/>
      <c r="X42" s="12"/>
      <c r="Y42" s="11"/>
    </row>
    <row r="43" spans="2:25" x14ac:dyDescent="0.25">
      <c r="B43" s="12"/>
      <c r="C43" s="129"/>
      <c r="D43" s="94"/>
      <c r="E43" s="58" t="str">
        <f>IF(Jan[[#This Row],[Name]]="","",Jan[[#This Row],[January Weight (kg)]]/(VLOOKUP(Jan[[#This Row],[Name]],Overview[],2,FALSE)/100)^2)</f>
        <v/>
      </c>
      <c r="F43" s="58" t="str">
        <f>IF(Jan[[#This Row],[Name]]="","",IF(VLOOKUP(Jan[[#This Row],[Name]],Overview[],8,FALSE)="","N/A",Jan[[#This Row],[January Weight (kg)]]-VLOOKUP(Jan[[#This Row],[Name]],Overview[],8,FALSE)))</f>
        <v/>
      </c>
      <c r="G43" s="175" t="str">
        <f>IF(Jan[[#This Row],[Name]]="","",IF(VLOOKUP(Jan[[#This Row],[Name]],Overview[],8,FALSE)="","N/A",(Jan[[#This Row],[January Weight (kg)]]-VLOOKUP(Jan[[#This Row],[Name]],Overview[],8,FALSE))/VLOOKUP(Jan[[#This Row],[Name]],Overview[],8,FALSE)))</f>
        <v/>
      </c>
      <c r="H43" s="61" t="str" cm="1">
        <f t="array" ref="H43">IF(Jan[[#This Row],[Name]]="","",IF(SUMPRODUCT((Overview[Name]=Jan[[#This Row],[Name]])*ISNUMBER(Overview[[July 
Weight (kg)]:[October 
Weight (kg)]]))=0,"N/A",MAX(IF((Overview[Name]=Jan[[#This Row],[Name]])*ISNUMBER(Overview[[July 
Weight (kg)]:[October 
Weight (kg)]]),Overview[[July 
Weight (kg)]:[October 
Weight (kg)]]))))</f>
        <v/>
      </c>
      <c r="I43" s="57" t="str">
        <f>IF(Jan[[#This Row],[Name]]="","",IF(NOT(ISNUMBER(Jan[[#This Row],[Highest Weight in the Past 3 - 6 Months]])),"N/A",IF(Jan[[#This Row],[January Weight (kg)]]=Jan[[#This Row],[Highest Weight in the Past 3 - 6 Months]],0,Jan[[#This Row],[January Weight (kg)]]-Jan[[#This Row],[Highest Weight in the Past 3 - 6 Months]])))</f>
        <v/>
      </c>
      <c r="J43"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43" s="130"/>
      <c r="L43" s="131"/>
      <c r="M43" s="76"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43" s="64" t="str">
        <f>IF(Jan[[#This Row],[Name]]="","",IF(Jan[[#This Row],[January MUST Score ]]=0,"Low",IF(Jan[[#This Row],[January MUST Score ]]=1,"Medium","High")))</f>
        <v/>
      </c>
      <c r="O43" s="10"/>
      <c r="P43" s="70"/>
      <c r="Q43" s="12"/>
      <c r="R43" s="17"/>
      <c r="S43" s="10"/>
      <c r="T43" s="17"/>
      <c r="U43" s="70"/>
      <c r="V43" s="11"/>
      <c r="W43" s="94"/>
      <c r="X43" s="12"/>
      <c r="Y43" s="11"/>
    </row>
    <row r="44" spans="2:25" ht="15.75" thickBot="1" x14ac:dyDescent="0.3">
      <c r="B44" s="18"/>
      <c r="C44" s="132"/>
      <c r="D44" s="95"/>
      <c r="E44" s="60" t="str">
        <f>IF(Jan[[#This Row],[Name]]="","",Jan[[#This Row],[January Weight (kg)]]/(VLOOKUP(Jan[[#This Row],[Name]],Overview[],2,FALSE)/100)^2)</f>
        <v/>
      </c>
      <c r="F44" s="60" t="str">
        <f>IF(Jan[[#This Row],[Name]]="","",IF(VLOOKUP(Jan[[#This Row],[Name]],Overview[],8,FALSE)="","N/A",Jan[[#This Row],[January Weight (kg)]]-VLOOKUP(Jan[[#This Row],[Name]],Overview[],8,FALSE)))</f>
        <v/>
      </c>
      <c r="G44" s="176" t="str">
        <f>IF(Jan[[#This Row],[Name]]="","",IF(VLOOKUP(Jan[[#This Row],[Name]],Overview[],8,FALSE)="","N/A",(Jan[[#This Row],[January Weight (kg)]]-VLOOKUP(Jan[[#This Row],[Name]],Overview[],8,FALSE))/VLOOKUP(Jan[[#This Row],[Name]],Overview[],8,FALSE)))</f>
        <v/>
      </c>
      <c r="H44" s="61" t="str" cm="1">
        <f t="array" ref="H44">IF(Jan[[#This Row],[Name]]="","",IF(SUMPRODUCT((Overview[Name]=Jan[[#This Row],[Name]])*ISNUMBER(Overview[[July 
Weight (kg)]:[October 
Weight (kg)]]))=0,"N/A",MAX(IF((Overview[Name]=Jan[[#This Row],[Name]])*ISNUMBER(Overview[[July 
Weight (kg)]:[October 
Weight (kg)]]),Overview[[July 
Weight (kg)]:[October 
Weight (kg)]]))))</f>
        <v/>
      </c>
      <c r="I44" s="57" t="str">
        <f>IF(Jan[[#This Row],[Name]]="","",IF(NOT(ISNUMBER(Jan[[#This Row],[Highest Weight in the Past 3 - 6 Months]])),"N/A",IF(Jan[[#This Row],[January Weight (kg)]]=Jan[[#This Row],[Highest Weight in the Past 3 - 6 Months]],0,Jan[[#This Row],[January Weight (kg)]]-Jan[[#This Row],[Highest Weight in the Past 3 - 6 Months]])))</f>
        <v/>
      </c>
      <c r="J44" s="173" t="str">
        <f>IF(Jan[[#This Row],[Name]]="","",IF(OR(Jan[[#This Row],[Highest Weight in the Past 3 - 6 Months]]="",Jan[[#This Row],[Highest Weight in the Past 3 - 6 Months]]="N/A"),"N/A",IFERROR(Jan[[#This Row],[Weight (kg) Difference from Highest Weight in Past 3 - 6 Months (Current Month - Highest Month)]]/Jan[[#This Row],[Highest Weight in the Past 3 - 6 Months]],"N/A")))</f>
        <v/>
      </c>
      <c r="K44" s="133"/>
      <c r="L44" s="134"/>
      <c r="M44" s="77" t="str">
        <f>IF(Jan[[#This Row],[Name]]="","",IFERROR(IF(Jan[[#This Row],[January BMI (kg/m2)]]&gt;20,0,IF(Jan[[#This Row],[January BMI (kg/m2)]]&gt;=18.5,1,2))+IF(Jan[[#This Row],[If Weight has been lost, is this Planned? (Yes/No)]]="Yes",0,IF(Jan[[#This Row],[Weight (kg) Difference from Highest Weight in 3 - 6 months as %]]&gt;-0.05,0,IF(Jan[[#This Row],[Weight (kg) Difference from Highest Weight in 3 - 6 months as %]]&gt;=-0.1,1,2))),""))</f>
        <v/>
      </c>
      <c r="N44" s="64" t="str">
        <f>IF(Jan[[#This Row],[Name]]="","",IF(Jan[[#This Row],[January MUST Score ]]=0,"Low",IF(Jan[[#This Row],[January MUST Score ]]=1,"Medium","High")))</f>
        <v/>
      </c>
      <c r="O44" s="13"/>
      <c r="P44" s="82"/>
      <c r="Q44" s="15"/>
      <c r="R44" s="19"/>
      <c r="S44" s="13"/>
      <c r="T44" s="24"/>
      <c r="U44" s="82"/>
      <c r="V44" s="14"/>
      <c r="W44" s="95"/>
      <c r="X44" s="15"/>
      <c r="Y44" s="14"/>
    </row>
  </sheetData>
  <sheetProtection sheet="1" formatCells="0" formatColumns="0" formatRows="0" insertColumns="0" insertRows="0" insertHyperlinks="0" deleteColumns="0" deleteRows="0" sort="0" autoFilter="0" pivotTables="0"/>
  <mergeCells count="6">
    <mergeCell ref="L6:N6"/>
    <mergeCell ref="S6:V6"/>
    <mergeCell ref="H6:K6"/>
    <mergeCell ref="C6:G6"/>
    <mergeCell ref="B2:Y2"/>
    <mergeCell ref="O6:R6"/>
  </mergeCells>
  <conditionalFormatting sqref="M8:M44">
    <cfRule type="containsBlanks" priority="1" stopIfTrue="1">
      <formula>LEN(TRIM(M8))=0</formula>
    </cfRule>
    <cfRule type="cellIs" dxfId="90" priority="6" operator="greaterThanOrEqual">
      <formula>2</formula>
    </cfRule>
    <cfRule type="cellIs" dxfId="89" priority="7" operator="equal">
      <formula>1</formula>
    </cfRule>
    <cfRule type="cellIs" dxfId="88" priority="8" operator="equal">
      <formula>0</formula>
    </cfRule>
  </conditionalFormatting>
  <conditionalFormatting sqref="N8:N44">
    <cfRule type="containsText" dxfId="87" priority="2" operator="containsText" text="High">
      <formula>NOT(ISERROR(SEARCH("High",N8)))</formula>
    </cfRule>
    <cfRule type="containsText" dxfId="86" priority="3" operator="containsText" text="Medium">
      <formula>NOT(ISERROR(SEARCH("Medium",N8)))</formula>
    </cfRule>
    <cfRule type="containsText" dxfId="85" priority="4" operator="containsText" text="Low">
      <formula>NOT(ISERROR(SEARCH("Low",N8)))</formula>
    </cfRule>
  </conditionalFormatting>
  <conditionalFormatting sqref="W8:X44">
    <cfRule type="containsText" dxfId="84"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2D8998F6-A51F-42BB-A1FC-6867792F3B6D}">
          <x14:formula1>
            <xm:f>Validation!$A$2:$A$3</xm:f>
          </x14:formula1>
          <xm:sqref>O8:O44 K8:L44 W8:W44 Q8:Q44 S8:S44</xm:sqref>
        </x14:dataValidation>
        <x14:dataValidation type="list" allowBlank="1" showInputMessage="1" showErrorMessage="1" xr:uid="{75DE0BA7-129D-479A-B4DD-045CF06675DB}">
          <x14:formula1>
            <xm:f>'Weight Overview'!$B$4:$B$38</xm:f>
          </x14:formula1>
          <xm:sqref>B8:B44</xm:sqref>
        </x14:dataValidation>
        <x14:dataValidation type="list" allowBlank="1" showInputMessage="1" showErrorMessage="1" xr:uid="{6E36CAF3-6BBB-4B52-8166-25DA4BC91D07}">
          <x14:formula1>
            <xm:f>Validation!$A$27:$A$31</xm:f>
          </x14:formula1>
          <xm:sqref>U8:U44</xm:sqref>
        </x14:dataValidation>
        <x14:dataValidation type="list" allowBlank="1" showInputMessage="1" showErrorMessage="1" xr:uid="{30908B61-2361-4CF0-B0C9-642C2AD6D36C}">
          <x14:formula1>
            <xm:f>Validation!$A$33:$A$37</xm:f>
          </x14:formula1>
          <xm:sqref>V8:V44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F951-5391-4547-8B97-DE7E3850D2C0}">
  <sheetPr>
    <tabColor theme="8"/>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13" t="s">
        <v>1</v>
      </c>
      <c r="C4" s="90" t="s">
        <v>7</v>
      </c>
      <c r="D4" s="114" t="s">
        <v>2</v>
      </c>
      <c r="E4" s="88" t="s">
        <v>3</v>
      </c>
      <c r="Y4" s="62"/>
      <c r="Z4" s="2"/>
    </row>
    <row r="5" spans="2:26" ht="15.75" thickBot="1" x14ac:dyDescent="0.3">
      <c r="B5" s="74"/>
      <c r="C5" s="73"/>
      <c r="D5" s="73"/>
      <c r="E5" s="65"/>
      <c r="P5" s="81"/>
      <c r="W5" s="74"/>
      <c r="X5" s="62"/>
      <c r="Y5" s="62"/>
      <c r="Z5" s="2"/>
    </row>
    <row r="6" spans="2:26" ht="15.75" thickBot="1" x14ac:dyDescent="0.3">
      <c r="C6" s="313" t="s">
        <v>85</v>
      </c>
      <c r="D6" s="314"/>
      <c r="E6" s="314"/>
      <c r="F6" s="314"/>
      <c r="G6" s="315"/>
      <c r="H6" s="304" t="s">
        <v>68</v>
      </c>
      <c r="I6" s="305"/>
      <c r="J6" s="305"/>
      <c r="K6" s="306"/>
      <c r="L6" s="313" t="s">
        <v>69</v>
      </c>
      <c r="M6" s="314"/>
      <c r="N6" s="315"/>
      <c r="O6" s="304" t="s">
        <v>83</v>
      </c>
      <c r="P6" s="305"/>
      <c r="Q6" s="305"/>
      <c r="R6" s="305"/>
      <c r="S6" s="313" t="s">
        <v>84</v>
      </c>
      <c r="T6" s="314"/>
      <c r="U6" s="314"/>
      <c r="V6" s="315"/>
      <c r="Y6" s="63"/>
    </row>
    <row r="7" spans="2:26" ht="105.75" thickBot="1" x14ac:dyDescent="0.3">
      <c r="B7" s="119" t="s">
        <v>0</v>
      </c>
      <c r="C7" s="115" t="s">
        <v>96</v>
      </c>
      <c r="D7" s="116" t="s">
        <v>190</v>
      </c>
      <c r="E7" s="117" t="s">
        <v>106</v>
      </c>
      <c r="F7" s="117" t="s">
        <v>130</v>
      </c>
      <c r="G7" s="118" t="s">
        <v>131</v>
      </c>
      <c r="H7" s="71" t="s">
        <v>72</v>
      </c>
      <c r="I7" s="72" t="s">
        <v>70</v>
      </c>
      <c r="J7" s="67" t="s">
        <v>71</v>
      </c>
      <c r="K7" s="80" t="s">
        <v>64</v>
      </c>
      <c r="L7" s="119" t="s">
        <v>67</v>
      </c>
      <c r="M7" s="117" t="s">
        <v>107</v>
      </c>
      <c r="N7" s="118" t="s">
        <v>108</v>
      </c>
      <c r="O7" s="71" t="s">
        <v>65</v>
      </c>
      <c r="P7" s="68" t="s">
        <v>66</v>
      </c>
      <c r="Q7" s="92" t="s">
        <v>88</v>
      </c>
      <c r="R7" s="67" t="s">
        <v>86</v>
      </c>
      <c r="S7" s="115" t="s">
        <v>89</v>
      </c>
      <c r="T7" s="116" t="s">
        <v>87</v>
      </c>
      <c r="U7" s="116" t="s">
        <v>90</v>
      </c>
      <c r="V7" s="120" t="s">
        <v>91</v>
      </c>
      <c r="W7" s="68" t="s">
        <v>63</v>
      </c>
      <c r="X7" s="67" t="s">
        <v>59</v>
      </c>
      <c r="Y7" s="80" t="s">
        <v>18</v>
      </c>
    </row>
    <row r="8" spans="2:26" x14ac:dyDescent="0.25">
      <c r="B8" s="20"/>
      <c r="C8" s="125"/>
      <c r="D8" s="126"/>
      <c r="E8" s="57" t="str">
        <f>IF(Feb[[#This Row],[Name]]="","",Feb[[#This Row],[February Weight (kg)]]/(VLOOKUP(Feb[[#This Row],[Name]],Overview[],2,FALSE)/100)^2)</f>
        <v/>
      </c>
      <c r="F8" s="57" t="str">
        <f>IF(Feb[[#This Row],[Name]]="","",IF(VLOOKUP(Feb[[#This Row],[Name]],Overview[],9,FALSE)="","N/A",Feb[[#This Row],[February Weight (kg)]]-VLOOKUP(Feb[[#This Row],[Name]],Overview[],9,FALSE)))</f>
        <v/>
      </c>
      <c r="G8" s="174" t="str">
        <f>IF(Feb[[#This Row],[Name]]="","",IF(VLOOKUP(Feb[[#This Row],[Name]],Overview[],9,FALSE)="","N/A",(Feb[[#This Row],[February Weight (kg)]]-VLOOKUP(Feb[[#This Row],[Name]],Overview[],9,FALSE))/VLOOKUP(Feb[[#This Row],[Name]],Overview[],9,FALSE)))</f>
        <v/>
      </c>
      <c r="H8" s="61" t="str" cm="1">
        <f t="array" ref="H8">IF(Feb[[#This Row],[Name]]="","",IF(SUMPRODUCT((Overview[Name]=Feb[[#This Row],[Name]])*ISNUMBER(Overview[[August 
Weight (kg)]:[November Weight (kg)]]))=0,"N/A",MAX(IF((Overview[Name]=Feb[[#This Row],[Name]])*ISNUMBER(Overview[[August 
Weight (kg)]:[November Weight (kg)]]),Overview[[August 
Weight (kg)]:[November Weight (kg)]]))))</f>
        <v/>
      </c>
      <c r="I8" s="57" t="str">
        <f>IF(Feb[[#This Row],[Name]]="","",IF(NOT(ISNUMBER(Feb[[#This Row],[Highest Weight in the Past 3 - 6 Months]])),"N/A",IF(Feb[[#This Row],[February Weight (kg)]]=Feb[[#This Row],[Highest Weight in the Past 3 - 6 Months]],0,Feb[[#This Row],[February Weight (kg)]]-Feb[[#This Row],[Highest Weight in the Past 3 - 6 Months]])))</f>
        <v/>
      </c>
      <c r="J8"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8" s="127"/>
      <c r="L8" s="128"/>
      <c r="M8" s="75"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8" s="64" t="str">
        <f>IF(Feb[[#This Row],[Name]]="","",IF(Feb[[#This Row],[February MUST Score ]]=0,"Low",IF(Feb[[#This Row],[February MUST Score ]]=1,"Medium","High")))</f>
        <v/>
      </c>
      <c r="O8" s="7"/>
      <c r="P8" s="69"/>
      <c r="Q8" s="20"/>
      <c r="R8" s="22"/>
      <c r="S8" s="44"/>
      <c r="T8" s="16"/>
      <c r="U8" s="69"/>
      <c r="V8" s="8"/>
      <c r="W8" s="93"/>
      <c r="X8" s="9"/>
      <c r="Y8" s="8"/>
    </row>
    <row r="9" spans="2:26" x14ac:dyDescent="0.25">
      <c r="B9" s="12"/>
      <c r="C9" s="129"/>
      <c r="D9" s="94"/>
      <c r="E9" s="58" t="str">
        <f>IF(Feb[[#This Row],[Name]]="","",Feb[[#This Row],[February Weight (kg)]]/(VLOOKUP(Feb[[#This Row],[Name]],Overview[],2,FALSE)/100)^2)</f>
        <v/>
      </c>
      <c r="F9" s="58" t="str">
        <f>IF(Feb[[#This Row],[Name]]="","",IF(VLOOKUP(Feb[[#This Row],[Name]],Overview[],9,FALSE)="","N/A",Feb[[#This Row],[February Weight (kg)]]-VLOOKUP(Feb[[#This Row],[Name]],Overview[],9,FALSE)))</f>
        <v/>
      </c>
      <c r="G9" s="177" t="str">
        <f>IF(Feb[[#This Row],[Name]]="","",IF(VLOOKUP(Feb[[#This Row],[Name]],Overview[],9,FALSE)="","N/A",(Feb[[#This Row],[February Weight (kg)]]-VLOOKUP(Feb[[#This Row],[Name]],Overview[],9,FALSE))/VLOOKUP(Feb[[#This Row],[Name]],Overview[],9,FALSE)))</f>
        <v/>
      </c>
      <c r="H9" s="61" t="str" cm="1">
        <f t="array" ref="H9">IF(Feb[[#This Row],[Name]]="","",IF(SUMPRODUCT((Overview[Name]=Feb[[#This Row],[Name]])*ISNUMBER(Overview[[August 
Weight (kg)]:[November Weight (kg)]]))=0,"N/A",MAX(IF((Overview[Name]=Feb[[#This Row],[Name]])*ISNUMBER(Overview[[August 
Weight (kg)]:[November Weight (kg)]]),Overview[[August 
Weight (kg)]:[November Weight (kg)]]))))</f>
        <v/>
      </c>
      <c r="I9" s="57" t="str">
        <f>IF(Feb[[#This Row],[Name]]="","",IF(NOT(ISNUMBER(Feb[[#This Row],[Highest Weight in the Past 3 - 6 Months]])),"N/A",IF(Feb[[#This Row],[February Weight (kg)]]=Feb[[#This Row],[Highest Weight in the Past 3 - 6 Months]],0,Feb[[#This Row],[February Weight (kg)]]-Feb[[#This Row],[Highest Weight in the Past 3 - 6 Months]])))</f>
        <v/>
      </c>
      <c r="J9"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9" s="130"/>
      <c r="L9" s="131"/>
      <c r="M9"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9" s="64" t="str">
        <f>IF(Feb[[#This Row],[Name]]="","",IF(Feb[[#This Row],[February MUST Score ]]=0,"Low",IF(Feb[[#This Row],[February MUST Score ]]=1,"Medium","High")))</f>
        <v/>
      </c>
      <c r="O9" s="44"/>
      <c r="P9" s="66"/>
      <c r="Q9" s="20"/>
      <c r="R9" s="17"/>
      <c r="S9" s="44"/>
      <c r="T9" s="22"/>
      <c r="U9" s="66"/>
      <c r="V9" s="21"/>
      <c r="W9" s="94"/>
      <c r="X9" s="12"/>
      <c r="Y9" s="11"/>
    </row>
    <row r="10" spans="2:26" x14ac:dyDescent="0.25">
      <c r="B10" s="12"/>
      <c r="C10" s="129"/>
      <c r="D10" s="94"/>
      <c r="E10" s="58" t="str">
        <f>IF(Feb[[#This Row],[Name]]="","",Feb[[#This Row],[February Weight (kg)]]/(VLOOKUP(Feb[[#This Row],[Name]],Overview[],2,FALSE)/100)^2)</f>
        <v/>
      </c>
      <c r="F10" s="58" t="str">
        <f>IF(Feb[[#This Row],[Name]]="","",IF(VLOOKUP(Feb[[#This Row],[Name]],Overview[],9,FALSE)="","N/A",Feb[[#This Row],[February Weight (kg)]]-VLOOKUP(Feb[[#This Row],[Name]],Overview[],9,FALSE)))</f>
        <v/>
      </c>
      <c r="G10" s="177" t="str">
        <f>IF(Feb[[#This Row],[Name]]="","",IF(VLOOKUP(Feb[[#This Row],[Name]],Overview[],9,FALSE)="","N/A",(Feb[[#This Row],[February Weight (kg)]]-VLOOKUP(Feb[[#This Row],[Name]],Overview[],9,FALSE))/VLOOKUP(Feb[[#This Row],[Name]],Overview[],9,FALSE)))</f>
        <v/>
      </c>
      <c r="H10" s="61" t="str" cm="1">
        <f t="array" ref="H10">IF(Feb[[#This Row],[Name]]="","",IF(SUMPRODUCT((Overview[Name]=Feb[[#This Row],[Name]])*ISNUMBER(Overview[[August 
Weight (kg)]:[November Weight (kg)]]))=0,"N/A",MAX(IF((Overview[Name]=Feb[[#This Row],[Name]])*ISNUMBER(Overview[[August 
Weight (kg)]:[November Weight (kg)]]),Overview[[August 
Weight (kg)]:[November Weight (kg)]]))))</f>
        <v/>
      </c>
      <c r="I10" s="57" t="str">
        <f>IF(Feb[[#This Row],[Name]]="","",IF(NOT(ISNUMBER(Feb[[#This Row],[Highest Weight in the Past 3 - 6 Months]])),"N/A",IF(Feb[[#This Row],[February Weight (kg)]]=Feb[[#This Row],[Highest Weight in the Past 3 - 6 Months]],0,Feb[[#This Row],[February Weight (kg)]]-Feb[[#This Row],[Highest Weight in the Past 3 - 6 Months]])))</f>
        <v/>
      </c>
      <c r="J10"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0" s="130"/>
      <c r="L10" s="131"/>
      <c r="M10"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0" s="64" t="str">
        <f>IF(Feb[[#This Row],[Name]]="","",IF(Feb[[#This Row],[February MUST Score ]]=0,"Low",IF(Feb[[#This Row],[February MUST Score ]]=1,"Medium","High")))</f>
        <v/>
      </c>
      <c r="O10" s="10"/>
      <c r="P10" s="70"/>
      <c r="Q10" s="12"/>
      <c r="R10" s="17"/>
      <c r="S10" s="10"/>
      <c r="T10" s="17"/>
      <c r="U10" s="70"/>
      <c r="V10" s="11"/>
      <c r="W10" s="94"/>
      <c r="X10" s="12"/>
      <c r="Y10" s="11"/>
    </row>
    <row r="11" spans="2:26" x14ac:dyDescent="0.25">
      <c r="B11" s="12"/>
      <c r="C11" s="129"/>
      <c r="D11" s="94"/>
      <c r="E11" s="58" t="str">
        <f>IF(Feb[[#This Row],[Name]]="","",Feb[[#This Row],[February Weight (kg)]]/(VLOOKUP(Feb[[#This Row],[Name]],Overview[],2,FALSE)/100)^2)</f>
        <v/>
      </c>
      <c r="F11" s="58" t="str">
        <f>IF(Feb[[#This Row],[Name]]="","",IF(VLOOKUP(Feb[[#This Row],[Name]],Overview[],9,FALSE)="","N/A",Feb[[#This Row],[February Weight (kg)]]-VLOOKUP(Feb[[#This Row],[Name]],Overview[],9,FALSE)))</f>
        <v/>
      </c>
      <c r="G11" s="177" t="str">
        <f>IF(Feb[[#This Row],[Name]]="","",IF(VLOOKUP(Feb[[#This Row],[Name]],Overview[],9,FALSE)="","N/A",(Feb[[#This Row],[February Weight (kg)]]-VLOOKUP(Feb[[#This Row],[Name]],Overview[],9,FALSE))/VLOOKUP(Feb[[#This Row],[Name]],Overview[],9,FALSE)))</f>
        <v/>
      </c>
      <c r="H11" s="61" t="str" cm="1">
        <f t="array" ref="H11">IF(Feb[[#This Row],[Name]]="","",IF(SUMPRODUCT((Overview[Name]=Feb[[#This Row],[Name]])*ISNUMBER(Overview[[August 
Weight (kg)]:[November Weight (kg)]]))=0,"N/A",MAX(IF((Overview[Name]=Feb[[#This Row],[Name]])*ISNUMBER(Overview[[August 
Weight (kg)]:[November Weight (kg)]]),Overview[[August 
Weight (kg)]:[November Weight (kg)]]))))</f>
        <v/>
      </c>
      <c r="I11" s="57" t="str">
        <f>IF(Feb[[#This Row],[Name]]="","",IF(NOT(ISNUMBER(Feb[[#This Row],[Highest Weight in the Past 3 - 6 Months]])),"N/A",IF(Feb[[#This Row],[February Weight (kg)]]=Feb[[#This Row],[Highest Weight in the Past 3 - 6 Months]],0,Feb[[#This Row],[February Weight (kg)]]-Feb[[#This Row],[Highest Weight in the Past 3 - 6 Months]])))</f>
        <v/>
      </c>
      <c r="J11"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1" s="130"/>
      <c r="L11" s="131"/>
      <c r="M11"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1" s="64" t="str">
        <f>IF(Feb[[#This Row],[Name]]="","",IF(Feb[[#This Row],[February MUST Score ]]=0,"Low",IF(Feb[[#This Row],[February MUST Score ]]=1,"Medium","High")))</f>
        <v/>
      </c>
      <c r="O11" s="10"/>
      <c r="P11" s="70"/>
      <c r="Q11" s="12"/>
      <c r="R11" s="17"/>
      <c r="S11" s="10"/>
      <c r="T11" s="17"/>
      <c r="U11" s="70"/>
      <c r="V11" s="11"/>
      <c r="W11" s="94"/>
      <c r="X11" s="12"/>
      <c r="Y11" s="11"/>
    </row>
    <row r="12" spans="2:26" x14ac:dyDescent="0.25">
      <c r="B12" s="12"/>
      <c r="C12" s="129"/>
      <c r="D12" s="94"/>
      <c r="E12" s="58" t="str">
        <f>IF(Feb[[#This Row],[Name]]="","",Feb[[#This Row],[February Weight (kg)]]/(VLOOKUP(Feb[[#This Row],[Name]],Overview[],2,FALSE)/100)^2)</f>
        <v/>
      </c>
      <c r="F12" s="58" t="str">
        <f>IF(Feb[[#This Row],[Name]]="","",IF(VLOOKUP(Feb[[#This Row],[Name]],Overview[],9,FALSE)="","N/A",Feb[[#This Row],[February Weight (kg)]]-VLOOKUP(Feb[[#This Row],[Name]],Overview[],9,FALSE)))</f>
        <v/>
      </c>
      <c r="G12" s="177" t="str">
        <f>IF(Feb[[#This Row],[Name]]="","",IF(VLOOKUP(Feb[[#This Row],[Name]],Overview[],9,FALSE)="","N/A",(Feb[[#This Row],[February Weight (kg)]]-VLOOKUP(Feb[[#This Row],[Name]],Overview[],9,FALSE))/VLOOKUP(Feb[[#This Row],[Name]],Overview[],9,FALSE)))</f>
        <v/>
      </c>
      <c r="H12" s="61" t="str" cm="1">
        <f t="array" ref="H12">IF(Feb[[#This Row],[Name]]="","",IF(SUMPRODUCT((Overview[Name]=Feb[[#This Row],[Name]])*ISNUMBER(Overview[[August 
Weight (kg)]:[November Weight (kg)]]))=0,"N/A",MAX(IF((Overview[Name]=Feb[[#This Row],[Name]])*ISNUMBER(Overview[[August 
Weight (kg)]:[November Weight (kg)]]),Overview[[August 
Weight (kg)]:[November Weight (kg)]]))))</f>
        <v/>
      </c>
      <c r="I12" s="57" t="str">
        <f>IF(Feb[[#This Row],[Name]]="","",IF(NOT(ISNUMBER(Feb[[#This Row],[Highest Weight in the Past 3 - 6 Months]])),"N/A",IF(Feb[[#This Row],[February Weight (kg)]]=Feb[[#This Row],[Highest Weight in the Past 3 - 6 Months]],0,Feb[[#This Row],[February Weight (kg)]]-Feb[[#This Row],[Highest Weight in the Past 3 - 6 Months]])))</f>
        <v/>
      </c>
      <c r="J12"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2" s="130"/>
      <c r="L12" s="131"/>
      <c r="M12"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2" s="64" t="str">
        <f>IF(Feb[[#This Row],[Name]]="","",IF(Feb[[#This Row],[February MUST Score ]]=0,"Low",IF(Feb[[#This Row],[February MUST Score ]]=1,"Medium","High")))</f>
        <v/>
      </c>
      <c r="O12" s="10"/>
      <c r="P12" s="70"/>
      <c r="Q12" s="12"/>
      <c r="R12" s="17"/>
      <c r="S12" s="10"/>
      <c r="T12" s="17"/>
      <c r="U12" s="70"/>
      <c r="V12" s="11"/>
      <c r="W12" s="94"/>
      <c r="X12" s="12"/>
      <c r="Y12" s="11"/>
    </row>
    <row r="13" spans="2:26" x14ac:dyDescent="0.25">
      <c r="B13" s="12"/>
      <c r="C13" s="129"/>
      <c r="D13" s="94"/>
      <c r="E13" s="58" t="str">
        <f>IF(Feb[[#This Row],[Name]]="","",Feb[[#This Row],[February Weight (kg)]]/(VLOOKUP(Feb[[#This Row],[Name]],Overview[],2,FALSE)/100)^2)</f>
        <v/>
      </c>
      <c r="F13" s="58" t="str">
        <f>IF(Feb[[#This Row],[Name]]="","",IF(VLOOKUP(Feb[[#This Row],[Name]],Overview[],9,FALSE)="","N/A",Feb[[#This Row],[February Weight (kg)]]-VLOOKUP(Feb[[#This Row],[Name]],Overview[],9,FALSE)))</f>
        <v/>
      </c>
      <c r="G13" s="177" t="str">
        <f>IF(Feb[[#This Row],[Name]]="","",IF(VLOOKUP(Feb[[#This Row],[Name]],Overview[],9,FALSE)="","N/A",(Feb[[#This Row],[February Weight (kg)]]-VLOOKUP(Feb[[#This Row],[Name]],Overview[],9,FALSE))/VLOOKUP(Feb[[#This Row],[Name]],Overview[],9,FALSE)))</f>
        <v/>
      </c>
      <c r="H13" s="61" t="str" cm="1">
        <f t="array" ref="H13">IF(Feb[[#This Row],[Name]]="","",IF(SUMPRODUCT((Overview[Name]=Feb[[#This Row],[Name]])*ISNUMBER(Overview[[August 
Weight (kg)]:[November Weight (kg)]]))=0,"N/A",MAX(IF((Overview[Name]=Feb[[#This Row],[Name]])*ISNUMBER(Overview[[August 
Weight (kg)]:[November Weight (kg)]]),Overview[[August 
Weight (kg)]:[November Weight (kg)]]))))</f>
        <v/>
      </c>
      <c r="I13" s="57" t="str">
        <f>IF(Feb[[#This Row],[Name]]="","",IF(NOT(ISNUMBER(Feb[[#This Row],[Highest Weight in the Past 3 - 6 Months]])),"N/A",IF(Feb[[#This Row],[February Weight (kg)]]=Feb[[#This Row],[Highest Weight in the Past 3 - 6 Months]],0,Feb[[#This Row],[February Weight (kg)]]-Feb[[#This Row],[Highest Weight in the Past 3 - 6 Months]])))</f>
        <v/>
      </c>
      <c r="J13"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3" s="130"/>
      <c r="L13" s="131"/>
      <c r="M13"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3" s="64" t="str">
        <f>IF(Feb[[#This Row],[Name]]="","",IF(Feb[[#This Row],[February MUST Score ]]=0,"Low",IF(Feb[[#This Row],[February MUST Score ]]=1,"Medium","High")))</f>
        <v/>
      </c>
      <c r="O13" s="10"/>
      <c r="P13" s="70"/>
      <c r="Q13" s="12"/>
      <c r="R13" s="17"/>
      <c r="S13" s="10"/>
      <c r="T13" s="17"/>
      <c r="U13" s="70"/>
      <c r="V13" s="11"/>
      <c r="W13" s="94"/>
      <c r="X13" s="12"/>
      <c r="Y13" s="11"/>
    </row>
    <row r="14" spans="2:26" x14ac:dyDescent="0.25">
      <c r="B14" s="12"/>
      <c r="C14" s="129"/>
      <c r="D14" s="94"/>
      <c r="E14" s="58" t="str">
        <f>IF(Feb[[#This Row],[Name]]="","",Feb[[#This Row],[February Weight (kg)]]/(VLOOKUP(Feb[[#This Row],[Name]],Overview[],2,FALSE)/100)^2)</f>
        <v/>
      </c>
      <c r="F14" s="58" t="str">
        <f>IF(Feb[[#This Row],[Name]]="","",IF(VLOOKUP(Feb[[#This Row],[Name]],Overview[],9,FALSE)="","N/A",Feb[[#This Row],[February Weight (kg)]]-VLOOKUP(Feb[[#This Row],[Name]],Overview[],9,FALSE)))</f>
        <v/>
      </c>
      <c r="G14" s="177" t="str">
        <f>IF(Feb[[#This Row],[Name]]="","",IF(VLOOKUP(Feb[[#This Row],[Name]],Overview[],9,FALSE)="","N/A",(Feb[[#This Row],[February Weight (kg)]]-VLOOKUP(Feb[[#This Row],[Name]],Overview[],9,FALSE))/VLOOKUP(Feb[[#This Row],[Name]],Overview[],9,FALSE)))</f>
        <v/>
      </c>
      <c r="H14" s="61" t="str" cm="1">
        <f t="array" ref="H14">IF(Feb[[#This Row],[Name]]="","",IF(SUMPRODUCT((Overview[Name]=Feb[[#This Row],[Name]])*ISNUMBER(Overview[[August 
Weight (kg)]:[November Weight (kg)]]))=0,"N/A",MAX(IF((Overview[Name]=Feb[[#This Row],[Name]])*ISNUMBER(Overview[[August 
Weight (kg)]:[November Weight (kg)]]),Overview[[August 
Weight (kg)]:[November Weight (kg)]]))))</f>
        <v/>
      </c>
      <c r="I14" s="57" t="str">
        <f>IF(Feb[[#This Row],[Name]]="","",IF(NOT(ISNUMBER(Feb[[#This Row],[Highest Weight in the Past 3 - 6 Months]])),"N/A",IF(Feb[[#This Row],[February Weight (kg)]]=Feb[[#This Row],[Highest Weight in the Past 3 - 6 Months]],0,Feb[[#This Row],[February Weight (kg)]]-Feb[[#This Row],[Highest Weight in the Past 3 - 6 Months]])))</f>
        <v/>
      </c>
      <c r="J14"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4" s="130"/>
      <c r="L14" s="131"/>
      <c r="M14"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4" s="64" t="str">
        <f>IF(Feb[[#This Row],[Name]]="","",IF(Feb[[#This Row],[February MUST Score ]]=0,"Low",IF(Feb[[#This Row],[February MUST Score ]]=1,"Medium","High")))</f>
        <v/>
      </c>
      <c r="O14" s="10"/>
      <c r="P14" s="70"/>
      <c r="Q14" s="12"/>
      <c r="R14" s="17"/>
      <c r="S14" s="10"/>
      <c r="T14" s="17"/>
      <c r="U14" s="70"/>
      <c r="V14" s="11"/>
      <c r="W14" s="94"/>
      <c r="X14" s="12"/>
      <c r="Y14" s="11"/>
    </row>
    <row r="15" spans="2:26" x14ac:dyDescent="0.25">
      <c r="B15" s="12"/>
      <c r="C15" s="129"/>
      <c r="D15" s="94"/>
      <c r="E15" s="58" t="str">
        <f>IF(Feb[[#This Row],[Name]]="","",Feb[[#This Row],[February Weight (kg)]]/(VLOOKUP(Feb[[#This Row],[Name]],Overview[],2,FALSE)/100)^2)</f>
        <v/>
      </c>
      <c r="F15" s="58" t="str">
        <f>IF(Feb[[#This Row],[Name]]="","",IF(VLOOKUP(Feb[[#This Row],[Name]],Overview[],9,FALSE)="","N/A",Feb[[#This Row],[February Weight (kg)]]-VLOOKUP(Feb[[#This Row],[Name]],Overview[],9,FALSE)))</f>
        <v/>
      </c>
      <c r="G15" s="177" t="str">
        <f>IF(Feb[[#This Row],[Name]]="","",IF(VLOOKUP(Feb[[#This Row],[Name]],Overview[],9,FALSE)="","N/A",(Feb[[#This Row],[February Weight (kg)]]-VLOOKUP(Feb[[#This Row],[Name]],Overview[],9,FALSE))/VLOOKUP(Feb[[#This Row],[Name]],Overview[],9,FALSE)))</f>
        <v/>
      </c>
      <c r="H15" s="61" t="str" cm="1">
        <f t="array" ref="H15">IF(Feb[[#This Row],[Name]]="","",IF(SUMPRODUCT((Overview[Name]=Feb[[#This Row],[Name]])*ISNUMBER(Overview[[August 
Weight (kg)]:[November Weight (kg)]]))=0,"N/A",MAX(IF((Overview[Name]=Feb[[#This Row],[Name]])*ISNUMBER(Overview[[August 
Weight (kg)]:[November Weight (kg)]]),Overview[[August 
Weight (kg)]:[November Weight (kg)]]))))</f>
        <v/>
      </c>
      <c r="I15" s="57" t="str">
        <f>IF(Feb[[#This Row],[Name]]="","",IF(NOT(ISNUMBER(Feb[[#This Row],[Highest Weight in the Past 3 - 6 Months]])),"N/A",IF(Feb[[#This Row],[February Weight (kg)]]=Feb[[#This Row],[Highest Weight in the Past 3 - 6 Months]],0,Feb[[#This Row],[February Weight (kg)]]-Feb[[#This Row],[Highest Weight in the Past 3 - 6 Months]])))</f>
        <v/>
      </c>
      <c r="J15"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5" s="130"/>
      <c r="L15" s="131"/>
      <c r="M15"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5" s="64" t="str">
        <f>IF(Feb[[#This Row],[Name]]="","",IF(Feb[[#This Row],[February MUST Score ]]=0,"Low",IF(Feb[[#This Row],[February MUST Score ]]=1,"Medium","High")))</f>
        <v/>
      </c>
      <c r="O15" s="10"/>
      <c r="P15" s="70"/>
      <c r="Q15" s="12"/>
      <c r="R15" s="17"/>
      <c r="S15" s="10"/>
      <c r="T15" s="17"/>
      <c r="U15" s="70"/>
      <c r="V15" s="11"/>
      <c r="W15" s="94"/>
      <c r="X15" s="12"/>
      <c r="Y15" s="11"/>
    </row>
    <row r="16" spans="2:26" x14ac:dyDescent="0.25">
      <c r="B16" s="12"/>
      <c r="C16" s="129"/>
      <c r="D16" s="94"/>
      <c r="E16" s="58" t="str">
        <f>IF(Feb[[#This Row],[Name]]="","",Feb[[#This Row],[February Weight (kg)]]/(VLOOKUP(Feb[[#This Row],[Name]],Overview[],2,FALSE)/100)^2)</f>
        <v/>
      </c>
      <c r="F16" s="58" t="str">
        <f>IF(Feb[[#This Row],[Name]]="","",IF(VLOOKUP(Feb[[#This Row],[Name]],Overview[],9,FALSE)="","N/A",Feb[[#This Row],[February Weight (kg)]]-VLOOKUP(Feb[[#This Row],[Name]],Overview[],9,FALSE)))</f>
        <v/>
      </c>
      <c r="G16" s="177" t="str">
        <f>IF(Feb[[#This Row],[Name]]="","",IF(VLOOKUP(Feb[[#This Row],[Name]],Overview[],9,FALSE)="","N/A",(Feb[[#This Row],[February Weight (kg)]]-VLOOKUP(Feb[[#This Row],[Name]],Overview[],9,FALSE))/VLOOKUP(Feb[[#This Row],[Name]],Overview[],9,FALSE)))</f>
        <v/>
      </c>
      <c r="H16" s="61" t="str" cm="1">
        <f t="array" ref="H16">IF(Feb[[#This Row],[Name]]="","",IF(SUMPRODUCT((Overview[Name]=Feb[[#This Row],[Name]])*ISNUMBER(Overview[[August 
Weight (kg)]:[November Weight (kg)]]))=0,"N/A",MAX(IF((Overview[Name]=Feb[[#This Row],[Name]])*ISNUMBER(Overview[[August 
Weight (kg)]:[November Weight (kg)]]),Overview[[August 
Weight (kg)]:[November Weight (kg)]]))))</f>
        <v/>
      </c>
      <c r="I16" s="57" t="str">
        <f>IF(Feb[[#This Row],[Name]]="","",IF(NOT(ISNUMBER(Feb[[#This Row],[Highest Weight in the Past 3 - 6 Months]])),"N/A",IF(Feb[[#This Row],[February Weight (kg)]]=Feb[[#This Row],[Highest Weight in the Past 3 - 6 Months]],0,Feb[[#This Row],[February Weight (kg)]]-Feb[[#This Row],[Highest Weight in the Past 3 - 6 Months]])))</f>
        <v/>
      </c>
      <c r="J16"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6" s="130"/>
      <c r="L16" s="131"/>
      <c r="M16"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6" s="64" t="str">
        <f>IF(Feb[[#This Row],[Name]]="","",IF(Feb[[#This Row],[February MUST Score ]]=0,"Low",IF(Feb[[#This Row],[February MUST Score ]]=1,"Medium","High")))</f>
        <v/>
      </c>
      <c r="O16" s="10"/>
      <c r="P16" s="70"/>
      <c r="Q16" s="12"/>
      <c r="R16" s="17"/>
      <c r="S16" s="10"/>
      <c r="T16" s="17"/>
      <c r="U16" s="70"/>
      <c r="V16" s="11"/>
      <c r="W16" s="94"/>
      <c r="X16" s="12"/>
      <c r="Y16" s="11"/>
    </row>
    <row r="17" spans="2:25" x14ac:dyDescent="0.25">
      <c r="B17" s="12"/>
      <c r="C17" s="129"/>
      <c r="D17" s="94"/>
      <c r="E17" s="58" t="str">
        <f>IF(Feb[[#This Row],[Name]]="","",Feb[[#This Row],[February Weight (kg)]]/(VLOOKUP(Feb[[#This Row],[Name]],Overview[],2,FALSE)/100)^2)</f>
        <v/>
      </c>
      <c r="F17" s="58" t="str">
        <f>IF(Feb[[#This Row],[Name]]="","",IF(VLOOKUP(Feb[[#This Row],[Name]],Overview[],9,FALSE)="","N/A",Feb[[#This Row],[February Weight (kg)]]-VLOOKUP(Feb[[#This Row],[Name]],Overview[],9,FALSE)))</f>
        <v/>
      </c>
      <c r="G17" s="177" t="str">
        <f>IF(Feb[[#This Row],[Name]]="","",IF(VLOOKUP(Feb[[#This Row],[Name]],Overview[],9,FALSE)="","N/A",(Feb[[#This Row],[February Weight (kg)]]-VLOOKUP(Feb[[#This Row],[Name]],Overview[],9,FALSE))/VLOOKUP(Feb[[#This Row],[Name]],Overview[],9,FALSE)))</f>
        <v/>
      </c>
      <c r="H17" s="61" t="str" cm="1">
        <f t="array" ref="H17">IF(Feb[[#This Row],[Name]]="","",IF(SUMPRODUCT((Overview[Name]=Feb[[#This Row],[Name]])*ISNUMBER(Overview[[August 
Weight (kg)]:[November Weight (kg)]]))=0,"N/A",MAX(IF((Overview[Name]=Feb[[#This Row],[Name]])*ISNUMBER(Overview[[August 
Weight (kg)]:[November Weight (kg)]]),Overview[[August 
Weight (kg)]:[November Weight (kg)]]))))</f>
        <v/>
      </c>
      <c r="I17" s="57" t="str">
        <f>IF(Feb[[#This Row],[Name]]="","",IF(NOT(ISNUMBER(Feb[[#This Row],[Highest Weight in the Past 3 - 6 Months]])),"N/A",IF(Feb[[#This Row],[February Weight (kg)]]=Feb[[#This Row],[Highest Weight in the Past 3 - 6 Months]],0,Feb[[#This Row],[February Weight (kg)]]-Feb[[#This Row],[Highest Weight in the Past 3 - 6 Months]])))</f>
        <v/>
      </c>
      <c r="J17"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7" s="130"/>
      <c r="L17" s="131"/>
      <c r="M17"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7" s="64" t="str">
        <f>IF(Feb[[#This Row],[Name]]="","",IF(Feb[[#This Row],[February MUST Score ]]=0,"Low",IF(Feb[[#This Row],[February MUST Score ]]=1,"Medium","High")))</f>
        <v/>
      </c>
      <c r="O17" s="10"/>
      <c r="P17" s="70"/>
      <c r="Q17" s="12"/>
      <c r="R17" s="17"/>
      <c r="S17" s="10"/>
      <c r="T17" s="17"/>
      <c r="U17" s="70"/>
      <c r="V17" s="11"/>
      <c r="W17" s="94"/>
      <c r="X17" s="12"/>
      <c r="Y17" s="11"/>
    </row>
    <row r="18" spans="2:25" x14ac:dyDescent="0.25">
      <c r="B18" s="12"/>
      <c r="C18" s="129"/>
      <c r="D18" s="94"/>
      <c r="E18" s="58" t="str">
        <f>IF(Feb[[#This Row],[Name]]="","",Feb[[#This Row],[February Weight (kg)]]/(VLOOKUP(Feb[[#This Row],[Name]],Overview[],2,FALSE)/100)^2)</f>
        <v/>
      </c>
      <c r="F18" s="58" t="str">
        <f>IF(Feb[[#This Row],[Name]]="","",IF(VLOOKUP(Feb[[#This Row],[Name]],Overview[],9,FALSE)="","N/A",Feb[[#This Row],[February Weight (kg)]]-VLOOKUP(Feb[[#This Row],[Name]],Overview[],9,FALSE)))</f>
        <v/>
      </c>
      <c r="G18" s="177" t="str">
        <f>IF(Feb[[#This Row],[Name]]="","",IF(VLOOKUP(Feb[[#This Row],[Name]],Overview[],9,FALSE)="","N/A",(Feb[[#This Row],[February Weight (kg)]]-VLOOKUP(Feb[[#This Row],[Name]],Overview[],9,FALSE))/VLOOKUP(Feb[[#This Row],[Name]],Overview[],9,FALSE)))</f>
        <v/>
      </c>
      <c r="H18" s="61" t="str" cm="1">
        <f t="array" ref="H18">IF(Feb[[#This Row],[Name]]="","",IF(SUMPRODUCT((Overview[Name]=Feb[[#This Row],[Name]])*ISNUMBER(Overview[[August 
Weight (kg)]:[November Weight (kg)]]))=0,"N/A",MAX(IF((Overview[Name]=Feb[[#This Row],[Name]])*ISNUMBER(Overview[[August 
Weight (kg)]:[November Weight (kg)]]),Overview[[August 
Weight (kg)]:[November Weight (kg)]]))))</f>
        <v/>
      </c>
      <c r="I18" s="57" t="str">
        <f>IF(Feb[[#This Row],[Name]]="","",IF(NOT(ISNUMBER(Feb[[#This Row],[Highest Weight in the Past 3 - 6 Months]])),"N/A",IF(Feb[[#This Row],[February Weight (kg)]]=Feb[[#This Row],[Highest Weight in the Past 3 - 6 Months]],0,Feb[[#This Row],[February Weight (kg)]]-Feb[[#This Row],[Highest Weight in the Past 3 - 6 Months]])))</f>
        <v/>
      </c>
      <c r="J18"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8" s="130"/>
      <c r="L18" s="131"/>
      <c r="M18"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8" s="64" t="str">
        <f>IF(Feb[[#This Row],[Name]]="","",IF(Feb[[#This Row],[February MUST Score ]]=0,"Low",IF(Feb[[#This Row],[February MUST Score ]]=1,"Medium","High")))</f>
        <v/>
      </c>
      <c r="O18" s="10"/>
      <c r="P18" s="70"/>
      <c r="Q18" s="12"/>
      <c r="R18" s="17"/>
      <c r="S18" s="10"/>
      <c r="T18" s="17"/>
      <c r="U18" s="70"/>
      <c r="V18" s="11"/>
      <c r="W18" s="94"/>
      <c r="X18" s="12"/>
      <c r="Y18" s="11"/>
    </row>
    <row r="19" spans="2:25" x14ac:dyDescent="0.25">
      <c r="B19" s="12"/>
      <c r="C19" s="129"/>
      <c r="D19" s="94"/>
      <c r="E19" s="58" t="str">
        <f>IF(Feb[[#This Row],[Name]]="","",Feb[[#This Row],[February Weight (kg)]]/(VLOOKUP(Feb[[#This Row],[Name]],Overview[],2,FALSE)/100)^2)</f>
        <v/>
      </c>
      <c r="F19" s="58" t="str">
        <f>IF(Feb[[#This Row],[Name]]="","",IF(VLOOKUP(Feb[[#This Row],[Name]],Overview[],9,FALSE)="","N/A",Feb[[#This Row],[February Weight (kg)]]-VLOOKUP(Feb[[#This Row],[Name]],Overview[],9,FALSE)))</f>
        <v/>
      </c>
      <c r="G19" s="177" t="str">
        <f>IF(Feb[[#This Row],[Name]]="","",IF(VLOOKUP(Feb[[#This Row],[Name]],Overview[],9,FALSE)="","N/A",(Feb[[#This Row],[February Weight (kg)]]-VLOOKUP(Feb[[#This Row],[Name]],Overview[],9,FALSE))/VLOOKUP(Feb[[#This Row],[Name]],Overview[],9,FALSE)))</f>
        <v/>
      </c>
      <c r="H19" s="61" t="str" cm="1">
        <f t="array" ref="H19">IF(Feb[[#This Row],[Name]]="","",IF(SUMPRODUCT((Overview[Name]=Feb[[#This Row],[Name]])*ISNUMBER(Overview[[August 
Weight (kg)]:[November Weight (kg)]]))=0,"N/A",MAX(IF((Overview[Name]=Feb[[#This Row],[Name]])*ISNUMBER(Overview[[August 
Weight (kg)]:[November Weight (kg)]]),Overview[[August 
Weight (kg)]:[November Weight (kg)]]))))</f>
        <v/>
      </c>
      <c r="I19" s="57" t="str">
        <f>IF(Feb[[#This Row],[Name]]="","",IF(NOT(ISNUMBER(Feb[[#This Row],[Highest Weight in the Past 3 - 6 Months]])),"N/A",IF(Feb[[#This Row],[February Weight (kg)]]=Feb[[#This Row],[Highest Weight in the Past 3 - 6 Months]],0,Feb[[#This Row],[February Weight (kg)]]-Feb[[#This Row],[Highest Weight in the Past 3 - 6 Months]])))</f>
        <v/>
      </c>
      <c r="J19"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19" s="130"/>
      <c r="L19" s="131"/>
      <c r="M19"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19" s="64" t="str">
        <f>IF(Feb[[#This Row],[Name]]="","",IF(Feb[[#This Row],[February MUST Score ]]=0,"Low",IF(Feb[[#This Row],[February MUST Score ]]=1,"Medium","High")))</f>
        <v/>
      </c>
      <c r="O19" s="10"/>
      <c r="P19" s="70"/>
      <c r="Q19" s="12"/>
      <c r="R19" s="17"/>
      <c r="S19" s="10"/>
      <c r="T19" s="17"/>
      <c r="U19" s="70"/>
      <c r="V19" s="11"/>
      <c r="W19" s="94"/>
      <c r="X19" s="12"/>
      <c r="Y19" s="11"/>
    </row>
    <row r="20" spans="2:25" x14ac:dyDescent="0.25">
      <c r="B20" s="12"/>
      <c r="C20" s="129"/>
      <c r="D20" s="94"/>
      <c r="E20" s="58" t="str">
        <f>IF(Feb[[#This Row],[Name]]="","",Feb[[#This Row],[February Weight (kg)]]/(VLOOKUP(Feb[[#This Row],[Name]],Overview[],2,FALSE)/100)^2)</f>
        <v/>
      </c>
      <c r="F20" s="58" t="str">
        <f>IF(Feb[[#This Row],[Name]]="","",IF(VLOOKUP(Feb[[#This Row],[Name]],Overview[],9,FALSE)="","N/A",Feb[[#This Row],[February Weight (kg)]]-VLOOKUP(Feb[[#This Row],[Name]],Overview[],9,FALSE)))</f>
        <v/>
      </c>
      <c r="G20" s="177" t="str">
        <f>IF(Feb[[#This Row],[Name]]="","",IF(VLOOKUP(Feb[[#This Row],[Name]],Overview[],9,FALSE)="","N/A",(Feb[[#This Row],[February Weight (kg)]]-VLOOKUP(Feb[[#This Row],[Name]],Overview[],9,FALSE))/VLOOKUP(Feb[[#This Row],[Name]],Overview[],9,FALSE)))</f>
        <v/>
      </c>
      <c r="H20" s="61" t="str" cm="1">
        <f t="array" ref="H20">IF(Feb[[#This Row],[Name]]="","",IF(SUMPRODUCT((Overview[Name]=Feb[[#This Row],[Name]])*ISNUMBER(Overview[[August 
Weight (kg)]:[November Weight (kg)]]))=0,"N/A",MAX(IF((Overview[Name]=Feb[[#This Row],[Name]])*ISNUMBER(Overview[[August 
Weight (kg)]:[November Weight (kg)]]),Overview[[August 
Weight (kg)]:[November Weight (kg)]]))))</f>
        <v/>
      </c>
      <c r="I20" s="57" t="str">
        <f>IF(Feb[[#This Row],[Name]]="","",IF(NOT(ISNUMBER(Feb[[#This Row],[Highest Weight in the Past 3 - 6 Months]])),"N/A",IF(Feb[[#This Row],[February Weight (kg)]]=Feb[[#This Row],[Highest Weight in the Past 3 - 6 Months]],0,Feb[[#This Row],[February Weight (kg)]]-Feb[[#This Row],[Highest Weight in the Past 3 - 6 Months]])))</f>
        <v/>
      </c>
      <c r="J20"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0" s="130"/>
      <c r="L20" s="131"/>
      <c r="M20"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0" s="64" t="str">
        <f>IF(Feb[[#This Row],[Name]]="","",IF(Feb[[#This Row],[February MUST Score ]]=0,"Low",IF(Feb[[#This Row],[February MUST Score ]]=1,"Medium","High")))</f>
        <v/>
      </c>
      <c r="O20" s="10"/>
      <c r="P20" s="70"/>
      <c r="Q20" s="12"/>
      <c r="R20" s="17"/>
      <c r="S20" s="10"/>
      <c r="T20" s="17"/>
      <c r="U20" s="70"/>
      <c r="V20" s="11"/>
      <c r="W20" s="94"/>
      <c r="X20" s="12"/>
      <c r="Y20" s="11"/>
    </row>
    <row r="21" spans="2:25" x14ac:dyDescent="0.25">
      <c r="B21" s="12"/>
      <c r="C21" s="129"/>
      <c r="D21" s="94"/>
      <c r="E21" s="58" t="str">
        <f>IF(Feb[[#This Row],[Name]]="","",Feb[[#This Row],[February Weight (kg)]]/(VLOOKUP(Feb[[#This Row],[Name]],Overview[],2,FALSE)/100)^2)</f>
        <v/>
      </c>
      <c r="F21" s="58" t="str">
        <f>IF(Feb[[#This Row],[Name]]="","",IF(VLOOKUP(Feb[[#This Row],[Name]],Overview[],9,FALSE)="","N/A",Feb[[#This Row],[February Weight (kg)]]-VLOOKUP(Feb[[#This Row],[Name]],Overview[],9,FALSE)))</f>
        <v/>
      </c>
      <c r="G21" s="177" t="str">
        <f>IF(Feb[[#This Row],[Name]]="","",IF(VLOOKUP(Feb[[#This Row],[Name]],Overview[],9,FALSE)="","N/A",(Feb[[#This Row],[February Weight (kg)]]-VLOOKUP(Feb[[#This Row],[Name]],Overview[],9,FALSE))/VLOOKUP(Feb[[#This Row],[Name]],Overview[],9,FALSE)))</f>
        <v/>
      </c>
      <c r="H21" s="61" t="str" cm="1">
        <f t="array" ref="H21">IF(Feb[[#This Row],[Name]]="","",IF(SUMPRODUCT((Overview[Name]=Feb[[#This Row],[Name]])*ISNUMBER(Overview[[August 
Weight (kg)]:[November Weight (kg)]]))=0,"N/A",MAX(IF((Overview[Name]=Feb[[#This Row],[Name]])*ISNUMBER(Overview[[August 
Weight (kg)]:[November Weight (kg)]]),Overview[[August 
Weight (kg)]:[November Weight (kg)]]))))</f>
        <v/>
      </c>
      <c r="I21" s="57" t="str">
        <f>IF(Feb[[#This Row],[Name]]="","",IF(NOT(ISNUMBER(Feb[[#This Row],[Highest Weight in the Past 3 - 6 Months]])),"N/A",IF(Feb[[#This Row],[February Weight (kg)]]=Feb[[#This Row],[Highest Weight in the Past 3 - 6 Months]],0,Feb[[#This Row],[February Weight (kg)]]-Feb[[#This Row],[Highest Weight in the Past 3 - 6 Months]])))</f>
        <v/>
      </c>
      <c r="J21"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1" s="130"/>
      <c r="L21" s="131"/>
      <c r="M21"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1" s="64" t="str">
        <f>IF(Feb[[#This Row],[Name]]="","",IF(Feb[[#This Row],[February MUST Score ]]=0,"Low",IF(Feb[[#This Row],[February MUST Score ]]=1,"Medium","High")))</f>
        <v/>
      </c>
      <c r="O21" s="10"/>
      <c r="P21" s="70"/>
      <c r="Q21" s="12"/>
      <c r="R21" s="17"/>
      <c r="S21" s="10"/>
      <c r="T21" s="17"/>
      <c r="U21" s="70"/>
      <c r="V21" s="11"/>
      <c r="W21" s="94"/>
      <c r="X21" s="12"/>
      <c r="Y21" s="11"/>
    </row>
    <row r="22" spans="2:25" x14ac:dyDescent="0.25">
      <c r="B22" s="12"/>
      <c r="C22" s="129"/>
      <c r="D22" s="94"/>
      <c r="E22" s="58" t="str">
        <f>IF(Feb[[#This Row],[Name]]="","",Feb[[#This Row],[February Weight (kg)]]/(VLOOKUP(Feb[[#This Row],[Name]],Overview[],2,FALSE)/100)^2)</f>
        <v/>
      </c>
      <c r="F22" s="58" t="str">
        <f>IF(Feb[[#This Row],[Name]]="","",IF(VLOOKUP(Feb[[#This Row],[Name]],Overview[],9,FALSE)="","N/A",Feb[[#This Row],[February Weight (kg)]]-VLOOKUP(Feb[[#This Row],[Name]],Overview[],9,FALSE)))</f>
        <v/>
      </c>
      <c r="G22" s="177" t="str">
        <f>IF(Feb[[#This Row],[Name]]="","",IF(VLOOKUP(Feb[[#This Row],[Name]],Overview[],9,FALSE)="","N/A",(Feb[[#This Row],[February Weight (kg)]]-VLOOKUP(Feb[[#This Row],[Name]],Overview[],9,FALSE))/VLOOKUP(Feb[[#This Row],[Name]],Overview[],9,FALSE)))</f>
        <v/>
      </c>
      <c r="H22" s="61" t="str" cm="1">
        <f t="array" ref="H22">IF(Feb[[#This Row],[Name]]="","",IF(SUMPRODUCT((Overview[Name]=Feb[[#This Row],[Name]])*ISNUMBER(Overview[[August 
Weight (kg)]:[November Weight (kg)]]))=0,"N/A",MAX(IF((Overview[Name]=Feb[[#This Row],[Name]])*ISNUMBER(Overview[[August 
Weight (kg)]:[November Weight (kg)]]),Overview[[August 
Weight (kg)]:[November Weight (kg)]]))))</f>
        <v/>
      </c>
      <c r="I22" s="57" t="str">
        <f>IF(Feb[[#This Row],[Name]]="","",IF(NOT(ISNUMBER(Feb[[#This Row],[Highest Weight in the Past 3 - 6 Months]])),"N/A",IF(Feb[[#This Row],[February Weight (kg)]]=Feb[[#This Row],[Highest Weight in the Past 3 - 6 Months]],0,Feb[[#This Row],[February Weight (kg)]]-Feb[[#This Row],[Highest Weight in the Past 3 - 6 Months]])))</f>
        <v/>
      </c>
      <c r="J22"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2" s="130"/>
      <c r="L22" s="131"/>
      <c r="M22"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2" s="64" t="str">
        <f>IF(Feb[[#This Row],[Name]]="","",IF(Feb[[#This Row],[February MUST Score ]]=0,"Low",IF(Feb[[#This Row],[February MUST Score ]]=1,"Medium","High")))</f>
        <v/>
      </c>
      <c r="O22" s="10"/>
      <c r="P22" s="70"/>
      <c r="Q22" s="12"/>
      <c r="R22" s="17"/>
      <c r="S22" s="10"/>
      <c r="T22" s="17"/>
      <c r="U22" s="70"/>
      <c r="V22" s="11"/>
      <c r="W22" s="94"/>
      <c r="X22" s="12"/>
      <c r="Y22" s="11"/>
    </row>
    <row r="23" spans="2:25" x14ac:dyDescent="0.25">
      <c r="B23" s="12"/>
      <c r="C23" s="129"/>
      <c r="D23" s="94"/>
      <c r="E23" s="58" t="str">
        <f>IF(Feb[[#This Row],[Name]]="","",Feb[[#This Row],[February Weight (kg)]]/(VLOOKUP(Feb[[#This Row],[Name]],Overview[],2,FALSE)/100)^2)</f>
        <v/>
      </c>
      <c r="F23" s="58" t="str">
        <f>IF(Feb[[#This Row],[Name]]="","",IF(VLOOKUP(Feb[[#This Row],[Name]],Overview[],9,FALSE)="","N/A",Feb[[#This Row],[February Weight (kg)]]-VLOOKUP(Feb[[#This Row],[Name]],Overview[],9,FALSE)))</f>
        <v/>
      </c>
      <c r="G23" s="177" t="str">
        <f>IF(Feb[[#This Row],[Name]]="","",IF(VLOOKUP(Feb[[#This Row],[Name]],Overview[],9,FALSE)="","N/A",(Feb[[#This Row],[February Weight (kg)]]-VLOOKUP(Feb[[#This Row],[Name]],Overview[],9,FALSE))/VLOOKUP(Feb[[#This Row],[Name]],Overview[],9,FALSE)))</f>
        <v/>
      </c>
      <c r="H23" s="61" t="str" cm="1">
        <f t="array" ref="H23">IF(Feb[[#This Row],[Name]]="","",IF(SUMPRODUCT((Overview[Name]=Feb[[#This Row],[Name]])*ISNUMBER(Overview[[August 
Weight (kg)]:[November Weight (kg)]]))=0,"N/A",MAX(IF((Overview[Name]=Feb[[#This Row],[Name]])*ISNUMBER(Overview[[August 
Weight (kg)]:[November Weight (kg)]]),Overview[[August 
Weight (kg)]:[November Weight (kg)]]))))</f>
        <v/>
      </c>
      <c r="I23" s="57" t="str">
        <f>IF(Feb[[#This Row],[Name]]="","",IF(NOT(ISNUMBER(Feb[[#This Row],[Highest Weight in the Past 3 - 6 Months]])),"N/A",IF(Feb[[#This Row],[February Weight (kg)]]=Feb[[#This Row],[Highest Weight in the Past 3 - 6 Months]],0,Feb[[#This Row],[February Weight (kg)]]-Feb[[#This Row],[Highest Weight in the Past 3 - 6 Months]])))</f>
        <v/>
      </c>
      <c r="J23"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3" s="130"/>
      <c r="L23" s="131"/>
      <c r="M23"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3" s="64" t="str">
        <f>IF(Feb[[#This Row],[Name]]="","",IF(Feb[[#This Row],[February MUST Score ]]=0,"Low",IF(Feb[[#This Row],[February MUST Score ]]=1,"Medium","High")))</f>
        <v/>
      </c>
      <c r="O23" s="10"/>
      <c r="P23" s="70"/>
      <c r="Q23" s="12"/>
      <c r="R23" s="17"/>
      <c r="S23" s="10"/>
      <c r="T23" s="17"/>
      <c r="U23" s="70"/>
      <c r="V23" s="11"/>
      <c r="W23" s="94"/>
      <c r="X23" s="12"/>
      <c r="Y23" s="11"/>
    </row>
    <row r="24" spans="2:25" x14ac:dyDescent="0.25">
      <c r="B24" s="12"/>
      <c r="C24" s="129"/>
      <c r="D24" s="94"/>
      <c r="E24" s="58" t="str">
        <f>IF(Feb[[#This Row],[Name]]="","",Feb[[#This Row],[February Weight (kg)]]/(VLOOKUP(Feb[[#This Row],[Name]],Overview[],2,FALSE)/100)^2)</f>
        <v/>
      </c>
      <c r="F24" s="58" t="str">
        <f>IF(Feb[[#This Row],[Name]]="","",IF(VLOOKUP(Feb[[#This Row],[Name]],Overview[],9,FALSE)="","N/A",Feb[[#This Row],[February Weight (kg)]]-VLOOKUP(Feb[[#This Row],[Name]],Overview[],9,FALSE)))</f>
        <v/>
      </c>
      <c r="G24" s="177" t="str">
        <f>IF(Feb[[#This Row],[Name]]="","",IF(VLOOKUP(Feb[[#This Row],[Name]],Overview[],9,FALSE)="","N/A",(Feb[[#This Row],[February Weight (kg)]]-VLOOKUP(Feb[[#This Row],[Name]],Overview[],9,FALSE))/VLOOKUP(Feb[[#This Row],[Name]],Overview[],9,FALSE)))</f>
        <v/>
      </c>
      <c r="H24" s="61" t="str" cm="1">
        <f t="array" ref="H24">IF(Feb[[#This Row],[Name]]="","",IF(SUMPRODUCT((Overview[Name]=Feb[[#This Row],[Name]])*ISNUMBER(Overview[[August 
Weight (kg)]:[November Weight (kg)]]))=0,"N/A",MAX(IF((Overview[Name]=Feb[[#This Row],[Name]])*ISNUMBER(Overview[[August 
Weight (kg)]:[November Weight (kg)]]),Overview[[August 
Weight (kg)]:[November Weight (kg)]]))))</f>
        <v/>
      </c>
      <c r="I24" s="57" t="str">
        <f>IF(Feb[[#This Row],[Name]]="","",IF(NOT(ISNUMBER(Feb[[#This Row],[Highest Weight in the Past 3 - 6 Months]])),"N/A",IF(Feb[[#This Row],[February Weight (kg)]]=Feb[[#This Row],[Highest Weight in the Past 3 - 6 Months]],0,Feb[[#This Row],[February Weight (kg)]]-Feb[[#This Row],[Highest Weight in the Past 3 - 6 Months]])))</f>
        <v/>
      </c>
      <c r="J24"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4" s="130"/>
      <c r="L24" s="131"/>
      <c r="M24"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4" s="64" t="str">
        <f>IF(Feb[[#This Row],[Name]]="","",IF(Feb[[#This Row],[February MUST Score ]]=0,"Low",IF(Feb[[#This Row],[February MUST Score ]]=1,"Medium","High")))</f>
        <v/>
      </c>
      <c r="O24" s="10"/>
      <c r="P24" s="70"/>
      <c r="Q24" s="12"/>
      <c r="R24" s="17"/>
      <c r="S24" s="10"/>
      <c r="T24" s="17"/>
      <c r="U24" s="70"/>
      <c r="V24" s="11"/>
      <c r="W24" s="94"/>
      <c r="X24" s="12"/>
      <c r="Y24" s="11"/>
    </row>
    <row r="25" spans="2:25" x14ac:dyDescent="0.25">
      <c r="B25" s="12"/>
      <c r="C25" s="129"/>
      <c r="D25" s="94"/>
      <c r="E25" s="58" t="str">
        <f>IF(Feb[[#This Row],[Name]]="","",Feb[[#This Row],[February Weight (kg)]]/(VLOOKUP(Feb[[#This Row],[Name]],Overview[],2,FALSE)/100)^2)</f>
        <v/>
      </c>
      <c r="F25" s="58" t="str">
        <f>IF(Feb[[#This Row],[Name]]="","",IF(VLOOKUP(Feb[[#This Row],[Name]],Overview[],9,FALSE)="","N/A",Feb[[#This Row],[February Weight (kg)]]-VLOOKUP(Feb[[#This Row],[Name]],Overview[],9,FALSE)))</f>
        <v/>
      </c>
      <c r="G25" s="177" t="str">
        <f>IF(Feb[[#This Row],[Name]]="","",IF(VLOOKUP(Feb[[#This Row],[Name]],Overview[],9,FALSE)="","N/A",(Feb[[#This Row],[February Weight (kg)]]-VLOOKUP(Feb[[#This Row],[Name]],Overview[],9,FALSE))/VLOOKUP(Feb[[#This Row],[Name]],Overview[],9,FALSE)))</f>
        <v/>
      </c>
      <c r="H25" s="61" t="str" cm="1">
        <f t="array" ref="H25">IF(Feb[[#This Row],[Name]]="","",IF(SUMPRODUCT((Overview[Name]=Feb[[#This Row],[Name]])*ISNUMBER(Overview[[August 
Weight (kg)]:[November Weight (kg)]]))=0,"N/A",MAX(IF((Overview[Name]=Feb[[#This Row],[Name]])*ISNUMBER(Overview[[August 
Weight (kg)]:[November Weight (kg)]]),Overview[[August 
Weight (kg)]:[November Weight (kg)]]))))</f>
        <v/>
      </c>
      <c r="I25" s="57" t="str">
        <f>IF(Feb[[#This Row],[Name]]="","",IF(NOT(ISNUMBER(Feb[[#This Row],[Highest Weight in the Past 3 - 6 Months]])),"N/A",IF(Feb[[#This Row],[February Weight (kg)]]=Feb[[#This Row],[Highest Weight in the Past 3 - 6 Months]],0,Feb[[#This Row],[February Weight (kg)]]-Feb[[#This Row],[Highest Weight in the Past 3 - 6 Months]])))</f>
        <v/>
      </c>
      <c r="J25"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5" s="130"/>
      <c r="L25" s="131"/>
      <c r="M25"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5" s="64" t="str">
        <f>IF(Feb[[#This Row],[Name]]="","",IF(Feb[[#This Row],[February MUST Score ]]=0,"Low",IF(Feb[[#This Row],[February MUST Score ]]=1,"Medium","High")))</f>
        <v/>
      </c>
      <c r="O25" s="10"/>
      <c r="P25" s="70"/>
      <c r="Q25" s="12"/>
      <c r="R25" s="17"/>
      <c r="S25" s="10"/>
      <c r="T25" s="17"/>
      <c r="U25" s="70"/>
      <c r="V25" s="11"/>
      <c r="W25" s="94"/>
      <c r="X25" s="12"/>
      <c r="Y25" s="11"/>
    </row>
    <row r="26" spans="2:25" x14ac:dyDescent="0.25">
      <c r="B26" s="12"/>
      <c r="C26" s="129"/>
      <c r="D26" s="94"/>
      <c r="E26" s="58" t="str">
        <f>IF(Feb[[#This Row],[Name]]="","",Feb[[#This Row],[February Weight (kg)]]/(VLOOKUP(Feb[[#This Row],[Name]],Overview[],2,FALSE)/100)^2)</f>
        <v/>
      </c>
      <c r="F26" s="58" t="str">
        <f>IF(Feb[[#This Row],[Name]]="","",IF(VLOOKUP(Feb[[#This Row],[Name]],Overview[],9,FALSE)="","N/A",Feb[[#This Row],[February Weight (kg)]]-VLOOKUP(Feb[[#This Row],[Name]],Overview[],9,FALSE)))</f>
        <v/>
      </c>
      <c r="G26" s="177" t="str">
        <f>IF(Feb[[#This Row],[Name]]="","",IF(VLOOKUP(Feb[[#This Row],[Name]],Overview[],9,FALSE)="","N/A",(Feb[[#This Row],[February Weight (kg)]]-VLOOKUP(Feb[[#This Row],[Name]],Overview[],9,FALSE))/VLOOKUP(Feb[[#This Row],[Name]],Overview[],9,FALSE)))</f>
        <v/>
      </c>
      <c r="H26" s="61" t="str" cm="1">
        <f t="array" ref="H26">IF(Feb[[#This Row],[Name]]="","",IF(SUMPRODUCT((Overview[Name]=Feb[[#This Row],[Name]])*ISNUMBER(Overview[[August 
Weight (kg)]:[November Weight (kg)]]))=0,"N/A",MAX(IF((Overview[Name]=Feb[[#This Row],[Name]])*ISNUMBER(Overview[[August 
Weight (kg)]:[November Weight (kg)]]),Overview[[August 
Weight (kg)]:[November Weight (kg)]]))))</f>
        <v/>
      </c>
      <c r="I26" s="57" t="str">
        <f>IF(Feb[[#This Row],[Name]]="","",IF(NOT(ISNUMBER(Feb[[#This Row],[Highest Weight in the Past 3 - 6 Months]])),"N/A",IF(Feb[[#This Row],[February Weight (kg)]]=Feb[[#This Row],[Highest Weight in the Past 3 - 6 Months]],0,Feb[[#This Row],[February Weight (kg)]]-Feb[[#This Row],[Highest Weight in the Past 3 - 6 Months]])))</f>
        <v/>
      </c>
      <c r="J26"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6" s="130"/>
      <c r="L26" s="131"/>
      <c r="M26"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6" s="64" t="str">
        <f>IF(Feb[[#This Row],[Name]]="","",IF(Feb[[#This Row],[February MUST Score ]]=0,"Low",IF(Feb[[#This Row],[February MUST Score ]]=1,"Medium","High")))</f>
        <v/>
      </c>
      <c r="O26" s="10"/>
      <c r="P26" s="70"/>
      <c r="Q26" s="12"/>
      <c r="R26" s="17"/>
      <c r="S26" s="10"/>
      <c r="T26" s="17"/>
      <c r="U26" s="70"/>
      <c r="V26" s="11"/>
      <c r="W26" s="94"/>
      <c r="X26" s="12"/>
      <c r="Y26" s="11"/>
    </row>
    <row r="27" spans="2:25" x14ac:dyDescent="0.25">
      <c r="B27" s="12"/>
      <c r="C27" s="129"/>
      <c r="D27" s="94"/>
      <c r="E27" s="58" t="str">
        <f>IF(Feb[[#This Row],[Name]]="","",Feb[[#This Row],[February Weight (kg)]]/(VLOOKUP(Feb[[#This Row],[Name]],Overview[],2,FALSE)/100)^2)</f>
        <v/>
      </c>
      <c r="F27" s="58" t="str">
        <f>IF(Feb[[#This Row],[Name]]="","",IF(VLOOKUP(Feb[[#This Row],[Name]],Overview[],9,FALSE)="","N/A",Feb[[#This Row],[February Weight (kg)]]-VLOOKUP(Feb[[#This Row],[Name]],Overview[],9,FALSE)))</f>
        <v/>
      </c>
      <c r="G27" s="177" t="str">
        <f>IF(Feb[[#This Row],[Name]]="","",IF(VLOOKUP(Feb[[#This Row],[Name]],Overview[],9,FALSE)="","N/A",(Feb[[#This Row],[February Weight (kg)]]-VLOOKUP(Feb[[#This Row],[Name]],Overview[],9,FALSE))/VLOOKUP(Feb[[#This Row],[Name]],Overview[],9,FALSE)))</f>
        <v/>
      </c>
      <c r="H27" s="61" t="str" cm="1">
        <f t="array" ref="H27">IF(Feb[[#This Row],[Name]]="","",IF(SUMPRODUCT((Overview[Name]=Feb[[#This Row],[Name]])*ISNUMBER(Overview[[August 
Weight (kg)]:[November Weight (kg)]]))=0,"N/A",MAX(IF((Overview[Name]=Feb[[#This Row],[Name]])*ISNUMBER(Overview[[August 
Weight (kg)]:[November Weight (kg)]]),Overview[[August 
Weight (kg)]:[November Weight (kg)]]))))</f>
        <v/>
      </c>
      <c r="I27" s="57" t="str">
        <f>IF(Feb[[#This Row],[Name]]="","",IF(NOT(ISNUMBER(Feb[[#This Row],[Highest Weight in the Past 3 - 6 Months]])),"N/A",IF(Feb[[#This Row],[February Weight (kg)]]=Feb[[#This Row],[Highest Weight in the Past 3 - 6 Months]],0,Feb[[#This Row],[February Weight (kg)]]-Feb[[#This Row],[Highest Weight in the Past 3 - 6 Months]])))</f>
        <v/>
      </c>
      <c r="J27"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7" s="130"/>
      <c r="L27" s="131"/>
      <c r="M27"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7" s="64" t="str">
        <f>IF(Feb[[#This Row],[Name]]="","",IF(Feb[[#This Row],[February MUST Score ]]=0,"Low",IF(Feb[[#This Row],[February MUST Score ]]=1,"Medium","High")))</f>
        <v/>
      </c>
      <c r="O27" s="10"/>
      <c r="P27" s="70"/>
      <c r="Q27" s="12"/>
      <c r="R27" s="17"/>
      <c r="S27" s="10"/>
      <c r="T27" s="17"/>
      <c r="U27" s="70"/>
      <c r="V27" s="11"/>
      <c r="W27" s="94"/>
      <c r="X27" s="12"/>
      <c r="Y27" s="11"/>
    </row>
    <row r="28" spans="2:25" x14ac:dyDescent="0.25">
      <c r="B28" s="12"/>
      <c r="C28" s="129"/>
      <c r="D28" s="94"/>
      <c r="E28" s="58" t="str">
        <f>IF(Feb[[#This Row],[Name]]="","",Feb[[#This Row],[February Weight (kg)]]/(VLOOKUP(Feb[[#This Row],[Name]],Overview[],2,FALSE)/100)^2)</f>
        <v/>
      </c>
      <c r="F28" s="58" t="str">
        <f>IF(Feb[[#This Row],[Name]]="","",IF(VLOOKUP(Feb[[#This Row],[Name]],Overview[],9,FALSE)="","N/A",Feb[[#This Row],[February Weight (kg)]]-VLOOKUP(Feb[[#This Row],[Name]],Overview[],9,FALSE)))</f>
        <v/>
      </c>
      <c r="G28" s="177" t="str">
        <f>IF(Feb[[#This Row],[Name]]="","",IF(VLOOKUP(Feb[[#This Row],[Name]],Overview[],9,FALSE)="","N/A",(Feb[[#This Row],[February Weight (kg)]]-VLOOKUP(Feb[[#This Row],[Name]],Overview[],9,FALSE))/VLOOKUP(Feb[[#This Row],[Name]],Overview[],9,FALSE)))</f>
        <v/>
      </c>
      <c r="H28" s="61" t="str" cm="1">
        <f t="array" ref="H28">IF(Feb[[#This Row],[Name]]="","",IF(SUMPRODUCT((Overview[Name]=Feb[[#This Row],[Name]])*ISNUMBER(Overview[[August 
Weight (kg)]:[November Weight (kg)]]))=0,"N/A",MAX(IF((Overview[Name]=Feb[[#This Row],[Name]])*ISNUMBER(Overview[[August 
Weight (kg)]:[November Weight (kg)]]),Overview[[August 
Weight (kg)]:[November Weight (kg)]]))))</f>
        <v/>
      </c>
      <c r="I28" s="57" t="str">
        <f>IF(Feb[[#This Row],[Name]]="","",IF(NOT(ISNUMBER(Feb[[#This Row],[Highest Weight in the Past 3 - 6 Months]])),"N/A",IF(Feb[[#This Row],[February Weight (kg)]]=Feb[[#This Row],[Highest Weight in the Past 3 - 6 Months]],0,Feb[[#This Row],[February Weight (kg)]]-Feb[[#This Row],[Highest Weight in the Past 3 - 6 Months]])))</f>
        <v/>
      </c>
      <c r="J28"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8" s="130"/>
      <c r="L28" s="131"/>
      <c r="M28"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8" s="64" t="str">
        <f>IF(Feb[[#This Row],[Name]]="","",IF(Feb[[#This Row],[February MUST Score ]]=0,"Low",IF(Feb[[#This Row],[February MUST Score ]]=1,"Medium","High")))</f>
        <v/>
      </c>
      <c r="O28" s="10"/>
      <c r="P28" s="70"/>
      <c r="Q28" s="12"/>
      <c r="R28" s="17"/>
      <c r="S28" s="10"/>
      <c r="T28" s="17"/>
      <c r="U28" s="70"/>
      <c r="V28" s="11"/>
      <c r="W28" s="94"/>
      <c r="X28" s="12"/>
      <c r="Y28" s="11"/>
    </row>
    <row r="29" spans="2:25" x14ac:dyDescent="0.25">
      <c r="B29" s="12"/>
      <c r="C29" s="129"/>
      <c r="D29" s="94"/>
      <c r="E29" s="58" t="str">
        <f>IF(Feb[[#This Row],[Name]]="","",Feb[[#This Row],[February Weight (kg)]]/(VLOOKUP(Feb[[#This Row],[Name]],Overview[],2,FALSE)/100)^2)</f>
        <v/>
      </c>
      <c r="F29" s="58" t="str">
        <f>IF(Feb[[#This Row],[Name]]="","",IF(VLOOKUP(Feb[[#This Row],[Name]],Overview[],9,FALSE)="","N/A",Feb[[#This Row],[February Weight (kg)]]-VLOOKUP(Feb[[#This Row],[Name]],Overview[],9,FALSE)))</f>
        <v/>
      </c>
      <c r="G29" s="177" t="str">
        <f>IF(Feb[[#This Row],[Name]]="","",IF(VLOOKUP(Feb[[#This Row],[Name]],Overview[],9,FALSE)="","N/A",(Feb[[#This Row],[February Weight (kg)]]-VLOOKUP(Feb[[#This Row],[Name]],Overview[],9,FALSE))/VLOOKUP(Feb[[#This Row],[Name]],Overview[],9,FALSE)))</f>
        <v/>
      </c>
      <c r="H29" s="61" t="str" cm="1">
        <f t="array" ref="H29">IF(Feb[[#This Row],[Name]]="","",IF(SUMPRODUCT((Overview[Name]=Feb[[#This Row],[Name]])*ISNUMBER(Overview[[August 
Weight (kg)]:[November Weight (kg)]]))=0,"N/A",MAX(IF((Overview[Name]=Feb[[#This Row],[Name]])*ISNUMBER(Overview[[August 
Weight (kg)]:[November Weight (kg)]]),Overview[[August 
Weight (kg)]:[November Weight (kg)]]))))</f>
        <v/>
      </c>
      <c r="I29" s="57" t="str">
        <f>IF(Feb[[#This Row],[Name]]="","",IF(NOT(ISNUMBER(Feb[[#This Row],[Highest Weight in the Past 3 - 6 Months]])),"N/A",IF(Feb[[#This Row],[February Weight (kg)]]=Feb[[#This Row],[Highest Weight in the Past 3 - 6 Months]],0,Feb[[#This Row],[February Weight (kg)]]-Feb[[#This Row],[Highest Weight in the Past 3 - 6 Months]])))</f>
        <v/>
      </c>
      <c r="J29"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29" s="130"/>
      <c r="L29" s="131"/>
      <c r="M29"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29" s="64" t="str">
        <f>IF(Feb[[#This Row],[Name]]="","",IF(Feb[[#This Row],[February MUST Score ]]=0,"Low",IF(Feb[[#This Row],[February MUST Score ]]=1,"Medium","High")))</f>
        <v/>
      </c>
      <c r="O29" s="10"/>
      <c r="P29" s="70"/>
      <c r="Q29" s="12"/>
      <c r="R29" s="17"/>
      <c r="S29" s="10"/>
      <c r="T29" s="17"/>
      <c r="U29" s="70"/>
      <c r="V29" s="11"/>
      <c r="W29" s="94"/>
      <c r="X29" s="12"/>
      <c r="Y29" s="11"/>
    </row>
    <row r="30" spans="2:25" x14ac:dyDescent="0.25">
      <c r="B30" s="12"/>
      <c r="C30" s="129"/>
      <c r="D30" s="94"/>
      <c r="E30" s="58" t="str">
        <f>IF(Feb[[#This Row],[Name]]="","",Feb[[#This Row],[February Weight (kg)]]/(VLOOKUP(Feb[[#This Row],[Name]],Overview[],2,FALSE)/100)^2)</f>
        <v/>
      </c>
      <c r="F30" s="58" t="str">
        <f>IF(Feb[[#This Row],[Name]]="","",IF(VLOOKUP(Feb[[#This Row],[Name]],Overview[],9,FALSE)="","N/A",Feb[[#This Row],[February Weight (kg)]]-VLOOKUP(Feb[[#This Row],[Name]],Overview[],9,FALSE)))</f>
        <v/>
      </c>
      <c r="G30" s="177" t="str">
        <f>IF(Feb[[#This Row],[Name]]="","",IF(VLOOKUP(Feb[[#This Row],[Name]],Overview[],9,FALSE)="","N/A",(Feb[[#This Row],[February Weight (kg)]]-VLOOKUP(Feb[[#This Row],[Name]],Overview[],9,FALSE))/VLOOKUP(Feb[[#This Row],[Name]],Overview[],9,FALSE)))</f>
        <v/>
      </c>
      <c r="H30" s="61" t="str" cm="1">
        <f t="array" ref="H30">IF(Feb[[#This Row],[Name]]="","",IF(SUMPRODUCT((Overview[Name]=Feb[[#This Row],[Name]])*ISNUMBER(Overview[[August 
Weight (kg)]:[November Weight (kg)]]))=0,"N/A",MAX(IF((Overview[Name]=Feb[[#This Row],[Name]])*ISNUMBER(Overview[[August 
Weight (kg)]:[November Weight (kg)]]),Overview[[August 
Weight (kg)]:[November Weight (kg)]]))))</f>
        <v/>
      </c>
      <c r="I30" s="57" t="str">
        <f>IF(Feb[[#This Row],[Name]]="","",IF(NOT(ISNUMBER(Feb[[#This Row],[Highest Weight in the Past 3 - 6 Months]])),"N/A",IF(Feb[[#This Row],[February Weight (kg)]]=Feb[[#This Row],[Highest Weight in the Past 3 - 6 Months]],0,Feb[[#This Row],[February Weight (kg)]]-Feb[[#This Row],[Highest Weight in the Past 3 - 6 Months]])))</f>
        <v/>
      </c>
      <c r="J30"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0" s="130"/>
      <c r="L30" s="131"/>
      <c r="M30"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0" s="64" t="str">
        <f>IF(Feb[[#This Row],[Name]]="","",IF(Feb[[#This Row],[February MUST Score ]]=0,"Low",IF(Feb[[#This Row],[February MUST Score ]]=1,"Medium","High")))</f>
        <v/>
      </c>
      <c r="O30" s="10"/>
      <c r="P30" s="70"/>
      <c r="Q30" s="12"/>
      <c r="R30" s="17"/>
      <c r="S30" s="10"/>
      <c r="T30" s="17"/>
      <c r="U30" s="70"/>
      <c r="V30" s="11"/>
      <c r="W30" s="94"/>
      <c r="X30" s="12"/>
      <c r="Y30" s="11"/>
    </row>
    <row r="31" spans="2:25" x14ac:dyDescent="0.25">
      <c r="B31" s="12"/>
      <c r="C31" s="129"/>
      <c r="D31" s="94"/>
      <c r="E31" s="58" t="str">
        <f>IF(Feb[[#This Row],[Name]]="","",Feb[[#This Row],[February Weight (kg)]]/(VLOOKUP(Feb[[#This Row],[Name]],Overview[],2,FALSE)/100)^2)</f>
        <v/>
      </c>
      <c r="F31" s="58" t="str">
        <f>IF(Feb[[#This Row],[Name]]="","",IF(VLOOKUP(Feb[[#This Row],[Name]],Overview[],9,FALSE)="","N/A",Feb[[#This Row],[February Weight (kg)]]-VLOOKUP(Feb[[#This Row],[Name]],Overview[],9,FALSE)))</f>
        <v/>
      </c>
      <c r="G31" s="177" t="str">
        <f>IF(Feb[[#This Row],[Name]]="","",IF(VLOOKUP(Feb[[#This Row],[Name]],Overview[],9,FALSE)="","N/A",(Feb[[#This Row],[February Weight (kg)]]-VLOOKUP(Feb[[#This Row],[Name]],Overview[],9,FALSE))/VLOOKUP(Feb[[#This Row],[Name]],Overview[],9,FALSE)))</f>
        <v/>
      </c>
      <c r="H31" s="61" t="str" cm="1">
        <f t="array" ref="H31">IF(Feb[[#This Row],[Name]]="","",IF(SUMPRODUCT((Overview[Name]=Feb[[#This Row],[Name]])*ISNUMBER(Overview[[August 
Weight (kg)]:[November Weight (kg)]]))=0,"N/A",MAX(IF((Overview[Name]=Feb[[#This Row],[Name]])*ISNUMBER(Overview[[August 
Weight (kg)]:[November Weight (kg)]]),Overview[[August 
Weight (kg)]:[November Weight (kg)]]))))</f>
        <v/>
      </c>
      <c r="I31" s="57" t="str">
        <f>IF(Feb[[#This Row],[Name]]="","",IF(NOT(ISNUMBER(Feb[[#This Row],[Highest Weight in the Past 3 - 6 Months]])),"N/A",IF(Feb[[#This Row],[February Weight (kg)]]=Feb[[#This Row],[Highest Weight in the Past 3 - 6 Months]],0,Feb[[#This Row],[February Weight (kg)]]-Feb[[#This Row],[Highest Weight in the Past 3 - 6 Months]])))</f>
        <v/>
      </c>
      <c r="J31"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1" s="130"/>
      <c r="L31" s="131"/>
      <c r="M31"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1" s="64" t="str">
        <f>IF(Feb[[#This Row],[Name]]="","",IF(Feb[[#This Row],[February MUST Score ]]=0,"Low",IF(Feb[[#This Row],[February MUST Score ]]=1,"Medium","High")))</f>
        <v/>
      </c>
      <c r="O31" s="10"/>
      <c r="P31" s="70"/>
      <c r="Q31" s="12"/>
      <c r="R31" s="17"/>
      <c r="S31" s="10"/>
      <c r="T31" s="17"/>
      <c r="U31" s="70"/>
      <c r="V31" s="11"/>
      <c r="W31" s="94"/>
      <c r="X31" s="12"/>
      <c r="Y31" s="11"/>
    </row>
    <row r="32" spans="2:25" x14ac:dyDescent="0.25">
      <c r="B32" s="12"/>
      <c r="C32" s="129"/>
      <c r="D32" s="94"/>
      <c r="E32" s="58" t="str">
        <f>IF(Feb[[#This Row],[Name]]="","",Feb[[#This Row],[February Weight (kg)]]/(VLOOKUP(Feb[[#This Row],[Name]],Overview[],2,FALSE)/100)^2)</f>
        <v/>
      </c>
      <c r="F32" s="58" t="str">
        <f>IF(Feb[[#This Row],[Name]]="","",IF(VLOOKUP(Feb[[#This Row],[Name]],Overview[],9,FALSE)="","N/A",Feb[[#This Row],[February Weight (kg)]]-VLOOKUP(Feb[[#This Row],[Name]],Overview[],9,FALSE)))</f>
        <v/>
      </c>
      <c r="G32" s="177" t="str">
        <f>IF(Feb[[#This Row],[Name]]="","",IF(VLOOKUP(Feb[[#This Row],[Name]],Overview[],9,FALSE)="","N/A",(Feb[[#This Row],[February Weight (kg)]]-VLOOKUP(Feb[[#This Row],[Name]],Overview[],9,FALSE))/VLOOKUP(Feb[[#This Row],[Name]],Overview[],9,FALSE)))</f>
        <v/>
      </c>
      <c r="H32" s="61" t="str" cm="1">
        <f t="array" ref="H32">IF(Feb[[#This Row],[Name]]="","",IF(SUMPRODUCT((Overview[Name]=Feb[[#This Row],[Name]])*ISNUMBER(Overview[[August 
Weight (kg)]:[November Weight (kg)]]))=0,"N/A",MAX(IF((Overview[Name]=Feb[[#This Row],[Name]])*ISNUMBER(Overview[[August 
Weight (kg)]:[November Weight (kg)]]),Overview[[August 
Weight (kg)]:[November Weight (kg)]]))))</f>
        <v/>
      </c>
      <c r="I32" s="57" t="str">
        <f>IF(Feb[[#This Row],[Name]]="","",IF(NOT(ISNUMBER(Feb[[#This Row],[Highest Weight in the Past 3 - 6 Months]])),"N/A",IF(Feb[[#This Row],[February Weight (kg)]]=Feb[[#This Row],[Highest Weight in the Past 3 - 6 Months]],0,Feb[[#This Row],[February Weight (kg)]]-Feb[[#This Row],[Highest Weight in the Past 3 - 6 Months]])))</f>
        <v/>
      </c>
      <c r="J32"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2" s="130"/>
      <c r="L32" s="131"/>
      <c r="M32"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2" s="64" t="str">
        <f>IF(Feb[[#This Row],[Name]]="","",IF(Feb[[#This Row],[February MUST Score ]]=0,"Low",IF(Feb[[#This Row],[February MUST Score ]]=1,"Medium","High")))</f>
        <v/>
      </c>
      <c r="O32" s="10"/>
      <c r="P32" s="70"/>
      <c r="Q32" s="12"/>
      <c r="R32" s="17"/>
      <c r="S32" s="10"/>
      <c r="T32" s="17"/>
      <c r="U32" s="70"/>
      <c r="V32" s="11"/>
      <c r="W32" s="94"/>
      <c r="X32" s="12"/>
      <c r="Y32" s="11"/>
    </row>
    <row r="33" spans="2:25" x14ac:dyDescent="0.25">
      <c r="B33" s="12"/>
      <c r="C33" s="129"/>
      <c r="D33" s="94"/>
      <c r="E33" s="58" t="str">
        <f>IF(Feb[[#This Row],[Name]]="","",Feb[[#This Row],[February Weight (kg)]]/(VLOOKUP(Feb[[#This Row],[Name]],Overview[],2,FALSE)/100)^2)</f>
        <v/>
      </c>
      <c r="F33" s="58" t="str">
        <f>IF(Feb[[#This Row],[Name]]="","",IF(VLOOKUP(Feb[[#This Row],[Name]],Overview[],9,FALSE)="","N/A",Feb[[#This Row],[February Weight (kg)]]-VLOOKUP(Feb[[#This Row],[Name]],Overview[],9,FALSE)))</f>
        <v/>
      </c>
      <c r="G33" s="177" t="str">
        <f>IF(Feb[[#This Row],[Name]]="","",IF(VLOOKUP(Feb[[#This Row],[Name]],Overview[],9,FALSE)="","N/A",(Feb[[#This Row],[February Weight (kg)]]-VLOOKUP(Feb[[#This Row],[Name]],Overview[],9,FALSE))/VLOOKUP(Feb[[#This Row],[Name]],Overview[],9,FALSE)))</f>
        <v/>
      </c>
      <c r="H33" s="61" t="str" cm="1">
        <f t="array" ref="H33">IF(Feb[[#This Row],[Name]]="","",IF(SUMPRODUCT((Overview[Name]=Feb[[#This Row],[Name]])*ISNUMBER(Overview[[August 
Weight (kg)]:[November Weight (kg)]]))=0,"N/A",MAX(IF((Overview[Name]=Feb[[#This Row],[Name]])*ISNUMBER(Overview[[August 
Weight (kg)]:[November Weight (kg)]]),Overview[[August 
Weight (kg)]:[November Weight (kg)]]))))</f>
        <v/>
      </c>
      <c r="I33" s="57" t="str">
        <f>IF(Feb[[#This Row],[Name]]="","",IF(NOT(ISNUMBER(Feb[[#This Row],[Highest Weight in the Past 3 - 6 Months]])),"N/A",IF(Feb[[#This Row],[February Weight (kg)]]=Feb[[#This Row],[Highest Weight in the Past 3 - 6 Months]],0,Feb[[#This Row],[February Weight (kg)]]-Feb[[#This Row],[Highest Weight in the Past 3 - 6 Months]])))</f>
        <v/>
      </c>
      <c r="J33"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3" s="130"/>
      <c r="L33" s="131"/>
      <c r="M33"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3" s="64" t="str">
        <f>IF(Feb[[#This Row],[Name]]="","",IF(Feb[[#This Row],[February MUST Score ]]=0,"Low",IF(Feb[[#This Row],[February MUST Score ]]=1,"Medium","High")))</f>
        <v/>
      </c>
      <c r="O33" s="10"/>
      <c r="P33" s="70"/>
      <c r="Q33" s="12"/>
      <c r="R33" s="17"/>
      <c r="S33" s="10"/>
      <c r="T33" s="17"/>
      <c r="U33" s="70"/>
      <c r="V33" s="11"/>
      <c r="W33" s="94"/>
      <c r="X33" s="12"/>
      <c r="Y33" s="11"/>
    </row>
    <row r="34" spans="2:25" x14ac:dyDescent="0.25">
      <c r="B34" s="12"/>
      <c r="C34" s="129"/>
      <c r="D34" s="94"/>
      <c r="E34" s="58" t="str">
        <f>IF(Feb[[#This Row],[Name]]="","",Feb[[#This Row],[February Weight (kg)]]/(VLOOKUP(Feb[[#This Row],[Name]],Overview[],2,FALSE)/100)^2)</f>
        <v/>
      </c>
      <c r="F34" s="58" t="str">
        <f>IF(Feb[[#This Row],[Name]]="","",IF(VLOOKUP(Feb[[#This Row],[Name]],Overview[],9,FALSE)="","N/A",Feb[[#This Row],[February Weight (kg)]]-VLOOKUP(Feb[[#This Row],[Name]],Overview[],9,FALSE)))</f>
        <v/>
      </c>
      <c r="G34" s="177" t="str">
        <f>IF(Feb[[#This Row],[Name]]="","",IF(VLOOKUP(Feb[[#This Row],[Name]],Overview[],9,FALSE)="","N/A",(Feb[[#This Row],[February Weight (kg)]]-VLOOKUP(Feb[[#This Row],[Name]],Overview[],9,FALSE))/VLOOKUP(Feb[[#This Row],[Name]],Overview[],9,FALSE)))</f>
        <v/>
      </c>
      <c r="H34" s="61" t="str" cm="1">
        <f t="array" ref="H34">IF(Feb[[#This Row],[Name]]="","",IF(SUMPRODUCT((Overview[Name]=Feb[[#This Row],[Name]])*ISNUMBER(Overview[[August 
Weight (kg)]:[November Weight (kg)]]))=0,"N/A",MAX(IF((Overview[Name]=Feb[[#This Row],[Name]])*ISNUMBER(Overview[[August 
Weight (kg)]:[November Weight (kg)]]),Overview[[August 
Weight (kg)]:[November Weight (kg)]]))))</f>
        <v/>
      </c>
      <c r="I34" s="57" t="str">
        <f>IF(Feb[[#This Row],[Name]]="","",IF(NOT(ISNUMBER(Feb[[#This Row],[Highest Weight in the Past 3 - 6 Months]])),"N/A",IF(Feb[[#This Row],[February Weight (kg)]]=Feb[[#This Row],[Highest Weight in the Past 3 - 6 Months]],0,Feb[[#This Row],[February Weight (kg)]]-Feb[[#This Row],[Highest Weight in the Past 3 - 6 Months]])))</f>
        <v/>
      </c>
      <c r="J34"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4" s="130"/>
      <c r="L34" s="131"/>
      <c r="M34"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4" s="64" t="str">
        <f>IF(Feb[[#This Row],[Name]]="","",IF(Feb[[#This Row],[February MUST Score ]]=0,"Low",IF(Feb[[#This Row],[February MUST Score ]]=1,"Medium","High")))</f>
        <v/>
      </c>
      <c r="O34" s="10"/>
      <c r="P34" s="70"/>
      <c r="Q34" s="12"/>
      <c r="R34" s="17"/>
      <c r="S34" s="10"/>
      <c r="T34" s="17"/>
      <c r="U34" s="70"/>
      <c r="V34" s="11"/>
      <c r="W34" s="94"/>
      <c r="X34" s="12"/>
      <c r="Y34" s="11"/>
    </row>
    <row r="35" spans="2:25" x14ac:dyDescent="0.25">
      <c r="B35" s="12"/>
      <c r="C35" s="129"/>
      <c r="D35" s="94"/>
      <c r="E35" s="58" t="str">
        <f>IF(Feb[[#This Row],[Name]]="","",Feb[[#This Row],[February Weight (kg)]]/(VLOOKUP(Feb[[#This Row],[Name]],Overview[],2,FALSE)/100)^2)</f>
        <v/>
      </c>
      <c r="F35" s="58" t="str">
        <f>IF(Feb[[#This Row],[Name]]="","",IF(VLOOKUP(Feb[[#This Row],[Name]],Overview[],9,FALSE)="","N/A",Feb[[#This Row],[February Weight (kg)]]-VLOOKUP(Feb[[#This Row],[Name]],Overview[],9,FALSE)))</f>
        <v/>
      </c>
      <c r="G35" s="177" t="str">
        <f>IF(Feb[[#This Row],[Name]]="","",IF(VLOOKUP(Feb[[#This Row],[Name]],Overview[],9,FALSE)="","N/A",(Feb[[#This Row],[February Weight (kg)]]-VLOOKUP(Feb[[#This Row],[Name]],Overview[],9,FALSE))/VLOOKUP(Feb[[#This Row],[Name]],Overview[],9,FALSE)))</f>
        <v/>
      </c>
      <c r="H35" s="61" t="str" cm="1">
        <f t="array" ref="H35">IF(Feb[[#This Row],[Name]]="","",IF(SUMPRODUCT((Overview[Name]=Feb[[#This Row],[Name]])*ISNUMBER(Overview[[August 
Weight (kg)]:[November Weight (kg)]]))=0,"N/A",MAX(IF((Overview[Name]=Feb[[#This Row],[Name]])*ISNUMBER(Overview[[August 
Weight (kg)]:[November Weight (kg)]]),Overview[[August 
Weight (kg)]:[November Weight (kg)]]))))</f>
        <v/>
      </c>
      <c r="I35" s="57" t="str">
        <f>IF(Feb[[#This Row],[Name]]="","",IF(NOT(ISNUMBER(Feb[[#This Row],[Highest Weight in the Past 3 - 6 Months]])),"N/A",IF(Feb[[#This Row],[February Weight (kg)]]=Feb[[#This Row],[Highest Weight in the Past 3 - 6 Months]],0,Feb[[#This Row],[February Weight (kg)]]-Feb[[#This Row],[Highest Weight in the Past 3 - 6 Months]])))</f>
        <v/>
      </c>
      <c r="J35"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5" s="130"/>
      <c r="L35" s="131"/>
      <c r="M35"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5" s="64" t="str">
        <f>IF(Feb[[#This Row],[Name]]="","",IF(Feb[[#This Row],[February MUST Score ]]=0,"Low",IF(Feb[[#This Row],[February MUST Score ]]=1,"Medium","High")))</f>
        <v/>
      </c>
      <c r="O35" s="10"/>
      <c r="P35" s="70"/>
      <c r="Q35" s="12"/>
      <c r="R35" s="17"/>
      <c r="S35" s="10"/>
      <c r="T35" s="17"/>
      <c r="U35" s="70"/>
      <c r="V35" s="11"/>
      <c r="W35" s="94"/>
      <c r="X35" s="12"/>
      <c r="Y35" s="11"/>
    </row>
    <row r="36" spans="2:25" x14ac:dyDescent="0.25">
      <c r="B36" s="12"/>
      <c r="C36" s="129"/>
      <c r="D36" s="94"/>
      <c r="E36" s="58" t="str">
        <f>IF(Feb[[#This Row],[Name]]="","",Feb[[#This Row],[February Weight (kg)]]/(VLOOKUP(Feb[[#This Row],[Name]],Overview[],2,FALSE)/100)^2)</f>
        <v/>
      </c>
      <c r="F36" s="58" t="str">
        <f>IF(Feb[[#This Row],[Name]]="","",IF(VLOOKUP(Feb[[#This Row],[Name]],Overview[],9,FALSE)="","N/A",Feb[[#This Row],[February Weight (kg)]]-VLOOKUP(Feb[[#This Row],[Name]],Overview[],9,FALSE)))</f>
        <v/>
      </c>
      <c r="G36" s="177" t="str">
        <f>IF(Feb[[#This Row],[Name]]="","",IF(VLOOKUP(Feb[[#This Row],[Name]],Overview[],9,FALSE)="","N/A",(Feb[[#This Row],[February Weight (kg)]]-VLOOKUP(Feb[[#This Row],[Name]],Overview[],9,FALSE))/VLOOKUP(Feb[[#This Row],[Name]],Overview[],9,FALSE)))</f>
        <v/>
      </c>
      <c r="H36" s="61" t="str" cm="1">
        <f t="array" ref="H36">IF(Feb[[#This Row],[Name]]="","",IF(SUMPRODUCT((Overview[Name]=Feb[[#This Row],[Name]])*ISNUMBER(Overview[[August 
Weight (kg)]:[November Weight (kg)]]))=0,"N/A",MAX(IF((Overview[Name]=Feb[[#This Row],[Name]])*ISNUMBER(Overview[[August 
Weight (kg)]:[November Weight (kg)]]),Overview[[August 
Weight (kg)]:[November Weight (kg)]]))))</f>
        <v/>
      </c>
      <c r="I36" s="57" t="str">
        <f>IF(Feb[[#This Row],[Name]]="","",IF(NOT(ISNUMBER(Feb[[#This Row],[Highest Weight in the Past 3 - 6 Months]])),"N/A",IF(Feb[[#This Row],[February Weight (kg)]]=Feb[[#This Row],[Highest Weight in the Past 3 - 6 Months]],0,Feb[[#This Row],[February Weight (kg)]]-Feb[[#This Row],[Highest Weight in the Past 3 - 6 Months]])))</f>
        <v/>
      </c>
      <c r="J36"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6" s="130"/>
      <c r="L36" s="131"/>
      <c r="M36"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6" s="64" t="str">
        <f>IF(Feb[[#This Row],[Name]]="","",IF(Feb[[#This Row],[February MUST Score ]]=0,"Low",IF(Feb[[#This Row],[February MUST Score ]]=1,"Medium","High")))</f>
        <v/>
      </c>
      <c r="O36" s="10"/>
      <c r="P36" s="70"/>
      <c r="Q36" s="12"/>
      <c r="R36" s="17"/>
      <c r="S36" s="10"/>
      <c r="T36" s="17"/>
      <c r="U36" s="70"/>
      <c r="V36" s="11"/>
      <c r="W36" s="94"/>
      <c r="X36" s="12"/>
      <c r="Y36" s="11"/>
    </row>
    <row r="37" spans="2:25" x14ac:dyDescent="0.25">
      <c r="B37" s="12"/>
      <c r="C37" s="129"/>
      <c r="D37" s="94"/>
      <c r="E37" s="58" t="str">
        <f>IF(Feb[[#This Row],[Name]]="","",Feb[[#This Row],[February Weight (kg)]]/(VLOOKUP(Feb[[#This Row],[Name]],Overview[],2,FALSE)/100)^2)</f>
        <v/>
      </c>
      <c r="F37" s="58" t="str">
        <f>IF(Feb[[#This Row],[Name]]="","",IF(VLOOKUP(Feb[[#This Row],[Name]],Overview[],9,FALSE)="","N/A",Feb[[#This Row],[February Weight (kg)]]-VLOOKUP(Feb[[#This Row],[Name]],Overview[],9,FALSE)))</f>
        <v/>
      </c>
      <c r="G37" s="177" t="str">
        <f>IF(Feb[[#This Row],[Name]]="","",IF(VLOOKUP(Feb[[#This Row],[Name]],Overview[],9,FALSE)="","N/A",(Feb[[#This Row],[February Weight (kg)]]-VLOOKUP(Feb[[#This Row],[Name]],Overview[],9,FALSE))/VLOOKUP(Feb[[#This Row],[Name]],Overview[],9,FALSE)))</f>
        <v/>
      </c>
      <c r="H37" s="61" t="str" cm="1">
        <f t="array" ref="H37">IF(Feb[[#This Row],[Name]]="","",IF(SUMPRODUCT((Overview[Name]=Feb[[#This Row],[Name]])*ISNUMBER(Overview[[August 
Weight (kg)]:[November Weight (kg)]]))=0,"N/A",MAX(IF((Overview[Name]=Feb[[#This Row],[Name]])*ISNUMBER(Overview[[August 
Weight (kg)]:[November Weight (kg)]]),Overview[[August 
Weight (kg)]:[November Weight (kg)]]))))</f>
        <v/>
      </c>
      <c r="I37" s="57" t="str">
        <f>IF(Feb[[#This Row],[Name]]="","",IF(NOT(ISNUMBER(Feb[[#This Row],[Highest Weight in the Past 3 - 6 Months]])),"N/A",IF(Feb[[#This Row],[February Weight (kg)]]=Feb[[#This Row],[Highest Weight in the Past 3 - 6 Months]],0,Feb[[#This Row],[February Weight (kg)]]-Feb[[#This Row],[Highest Weight in the Past 3 - 6 Months]])))</f>
        <v/>
      </c>
      <c r="J37"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7" s="130"/>
      <c r="L37" s="131"/>
      <c r="M37"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7" s="64" t="str">
        <f>IF(Feb[[#This Row],[Name]]="","",IF(Feb[[#This Row],[February MUST Score ]]=0,"Low",IF(Feb[[#This Row],[February MUST Score ]]=1,"Medium","High")))</f>
        <v/>
      </c>
      <c r="O37" s="10"/>
      <c r="P37" s="70"/>
      <c r="Q37" s="12"/>
      <c r="R37" s="17"/>
      <c r="S37" s="10"/>
      <c r="T37" s="17"/>
      <c r="U37" s="70"/>
      <c r="V37" s="11"/>
      <c r="W37" s="94"/>
      <c r="X37" s="12"/>
      <c r="Y37" s="11"/>
    </row>
    <row r="38" spans="2:25" x14ac:dyDescent="0.25">
      <c r="B38" s="12"/>
      <c r="C38" s="129"/>
      <c r="D38" s="94"/>
      <c r="E38" s="58" t="str">
        <f>IF(Feb[[#This Row],[Name]]="","",Feb[[#This Row],[February Weight (kg)]]/(VLOOKUP(Feb[[#This Row],[Name]],Overview[],2,FALSE)/100)^2)</f>
        <v/>
      </c>
      <c r="F38" s="58" t="str">
        <f>IF(Feb[[#This Row],[Name]]="","",IF(VLOOKUP(Feb[[#This Row],[Name]],Overview[],9,FALSE)="","N/A",Feb[[#This Row],[February Weight (kg)]]-VLOOKUP(Feb[[#This Row],[Name]],Overview[],9,FALSE)))</f>
        <v/>
      </c>
      <c r="G38" s="177" t="str">
        <f>IF(Feb[[#This Row],[Name]]="","",IF(VLOOKUP(Feb[[#This Row],[Name]],Overview[],9,FALSE)="","N/A",(Feb[[#This Row],[February Weight (kg)]]-VLOOKUP(Feb[[#This Row],[Name]],Overview[],9,FALSE))/VLOOKUP(Feb[[#This Row],[Name]],Overview[],9,FALSE)))</f>
        <v/>
      </c>
      <c r="H38" s="61" t="str" cm="1">
        <f t="array" ref="H38">IF(Feb[[#This Row],[Name]]="","",IF(SUMPRODUCT((Overview[Name]=Feb[[#This Row],[Name]])*ISNUMBER(Overview[[August 
Weight (kg)]:[November Weight (kg)]]))=0,"N/A",MAX(IF((Overview[Name]=Feb[[#This Row],[Name]])*ISNUMBER(Overview[[August 
Weight (kg)]:[November Weight (kg)]]),Overview[[August 
Weight (kg)]:[November Weight (kg)]]))))</f>
        <v/>
      </c>
      <c r="I38" s="57" t="str">
        <f>IF(Feb[[#This Row],[Name]]="","",IF(NOT(ISNUMBER(Feb[[#This Row],[Highest Weight in the Past 3 - 6 Months]])),"N/A",IF(Feb[[#This Row],[February Weight (kg)]]=Feb[[#This Row],[Highest Weight in the Past 3 - 6 Months]],0,Feb[[#This Row],[February Weight (kg)]]-Feb[[#This Row],[Highest Weight in the Past 3 - 6 Months]])))</f>
        <v/>
      </c>
      <c r="J38"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8" s="130"/>
      <c r="L38" s="131"/>
      <c r="M38"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8" s="64" t="str">
        <f>IF(Feb[[#This Row],[Name]]="","",IF(Feb[[#This Row],[February MUST Score ]]=0,"Low",IF(Feb[[#This Row],[February MUST Score ]]=1,"Medium","High")))</f>
        <v/>
      </c>
      <c r="O38" s="10"/>
      <c r="P38" s="70"/>
      <c r="Q38" s="12"/>
      <c r="R38" s="17"/>
      <c r="S38" s="10"/>
      <c r="T38" s="17"/>
      <c r="U38" s="70"/>
      <c r="V38" s="11"/>
      <c r="W38" s="94"/>
      <c r="X38" s="12"/>
      <c r="Y38" s="11"/>
    </row>
    <row r="39" spans="2:25" x14ac:dyDescent="0.25">
      <c r="B39" s="12"/>
      <c r="C39" s="129"/>
      <c r="D39" s="94"/>
      <c r="E39" s="58" t="str">
        <f>IF(Feb[[#This Row],[Name]]="","",Feb[[#This Row],[February Weight (kg)]]/(VLOOKUP(Feb[[#This Row],[Name]],Overview[],2,FALSE)/100)^2)</f>
        <v/>
      </c>
      <c r="F39" s="58" t="str">
        <f>IF(Feb[[#This Row],[Name]]="","",IF(VLOOKUP(Feb[[#This Row],[Name]],Overview[],9,FALSE)="","N/A",Feb[[#This Row],[February Weight (kg)]]-VLOOKUP(Feb[[#This Row],[Name]],Overview[],9,FALSE)))</f>
        <v/>
      </c>
      <c r="G39" s="177" t="str">
        <f>IF(Feb[[#This Row],[Name]]="","",IF(VLOOKUP(Feb[[#This Row],[Name]],Overview[],9,FALSE)="","N/A",(Feb[[#This Row],[February Weight (kg)]]-VLOOKUP(Feb[[#This Row],[Name]],Overview[],9,FALSE))/VLOOKUP(Feb[[#This Row],[Name]],Overview[],9,FALSE)))</f>
        <v/>
      </c>
      <c r="H39" s="61" t="str" cm="1">
        <f t="array" ref="H39">IF(Feb[[#This Row],[Name]]="","",IF(SUMPRODUCT((Overview[Name]=Feb[[#This Row],[Name]])*ISNUMBER(Overview[[August 
Weight (kg)]:[November Weight (kg)]]))=0,"N/A",MAX(IF((Overview[Name]=Feb[[#This Row],[Name]])*ISNUMBER(Overview[[August 
Weight (kg)]:[November Weight (kg)]]),Overview[[August 
Weight (kg)]:[November Weight (kg)]]))))</f>
        <v/>
      </c>
      <c r="I39" s="57" t="str">
        <f>IF(Feb[[#This Row],[Name]]="","",IF(NOT(ISNUMBER(Feb[[#This Row],[Highest Weight in the Past 3 - 6 Months]])),"N/A",IF(Feb[[#This Row],[February Weight (kg)]]=Feb[[#This Row],[Highest Weight in the Past 3 - 6 Months]],0,Feb[[#This Row],[February Weight (kg)]]-Feb[[#This Row],[Highest Weight in the Past 3 - 6 Months]])))</f>
        <v/>
      </c>
      <c r="J39"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39" s="130"/>
      <c r="L39" s="131"/>
      <c r="M39"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39" s="64" t="str">
        <f>IF(Feb[[#This Row],[Name]]="","",IF(Feb[[#This Row],[February MUST Score ]]=0,"Low",IF(Feb[[#This Row],[February MUST Score ]]=1,"Medium","High")))</f>
        <v/>
      </c>
      <c r="O39" s="10"/>
      <c r="P39" s="70"/>
      <c r="Q39" s="12"/>
      <c r="R39" s="17"/>
      <c r="S39" s="10"/>
      <c r="T39" s="17"/>
      <c r="U39" s="70"/>
      <c r="V39" s="11"/>
      <c r="W39" s="94"/>
      <c r="X39" s="12"/>
      <c r="Y39" s="11"/>
    </row>
    <row r="40" spans="2:25" x14ac:dyDescent="0.25">
      <c r="B40" s="12"/>
      <c r="C40" s="129"/>
      <c r="D40" s="94"/>
      <c r="E40" s="58" t="str">
        <f>IF(Feb[[#This Row],[Name]]="","",Feb[[#This Row],[February Weight (kg)]]/(VLOOKUP(Feb[[#This Row],[Name]],Overview[],2,FALSE)/100)^2)</f>
        <v/>
      </c>
      <c r="F40" s="58" t="str">
        <f>IF(Feb[[#This Row],[Name]]="","",IF(VLOOKUP(Feb[[#This Row],[Name]],Overview[],9,FALSE)="","N/A",Feb[[#This Row],[February Weight (kg)]]-VLOOKUP(Feb[[#This Row],[Name]],Overview[],9,FALSE)))</f>
        <v/>
      </c>
      <c r="G40" s="177" t="str">
        <f>IF(Feb[[#This Row],[Name]]="","",IF(VLOOKUP(Feb[[#This Row],[Name]],Overview[],9,FALSE)="","N/A",(Feb[[#This Row],[February Weight (kg)]]-VLOOKUP(Feb[[#This Row],[Name]],Overview[],9,FALSE))/VLOOKUP(Feb[[#This Row],[Name]],Overview[],9,FALSE)))</f>
        <v/>
      </c>
      <c r="H40" s="61" t="str" cm="1">
        <f t="array" ref="H40">IF(Feb[[#This Row],[Name]]="","",IF(SUMPRODUCT((Overview[Name]=Feb[[#This Row],[Name]])*ISNUMBER(Overview[[August 
Weight (kg)]:[November Weight (kg)]]))=0,"N/A",MAX(IF((Overview[Name]=Feb[[#This Row],[Name]])*ISNUMBER(Overview[[August 
Weight (kg)]:[November Weight (kg)]]),Overview[[August 
Weight (kg)]:[November Weight (kg)]]))))</f>
        <v/>
      </c>
      <c r="I40" s="57" t="str">
        <f>IF(Feb[[#This Row],[Name]]="","",IF(NOT(ISNUMBER(Feb[[#This Row],[Highest Weight in the Past 3 - 6 Months]])),"N/A",IF(Feb[[#This Row],[February Weight (kg)]]=Feb[[#This Row],[Highest Weight in the Past 3 - 6 Months]],0,Feb[[#This Row],[February Weight (kg)]]-Feb[[#This Row],[Highest Weight in the Past 3 - 6 Months]])))</f>
        <v/>
      </c>
      <c r="J40"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40" s="130"/>
      <c r="L40" s="131"/>
      <c r="M40"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40" s="64" t="str">
        <f>IF(Feb[[#This Row],[Name]]="","",IF(Feb[[#This Row],[February MUST Score ]]=0,"Low",IF(Feb[[#This Row],[February MUST Score ]]=1,"Medium","High")))</f>
        <v/>
      </c>
      <c r="O40" s="10"/>
      <c r="P40" s="70"/>
      <c r="Q40" s="12"/>
      <c r="R40" s="17"/>
      <c r="S40" s="10"/>
      <c r="T40" s="17"/>
      <c r="U40" s="70"/>
      <c r="V40" s="11"/>
      <c r="W40" s="94"/>
      <c r="X40" s="12"/>
      <c r="Y40" s="11"/>
    </row>
    <row r="41" spans="2:25" x14ac:dyDescent="0.25">
      <c r="B41" s="12"/>
      <c r="C41" s="129"/>
      <c r="D41" s="94"/>
      <c r="E41" s="58" t="str">
        <f>IF(Feb[[#This Row],[Name]]="","",Feb[[#This Row],[February Weight (kg)]]/(VLOOKUP(Feb[[#This Row],[Name]],Overview[],2,FALSE)/100)^2)</f>
        <v/>
      </c>
      <c r="F41" s="58" t="str">
        <f>IF(Feb[[#This Row],[Name]]="","",IF(VLOOKUP(Feb[[#This Row],[Name]],Overview[],9,FALSE)="","N/A",Feb[[#This Row],[February Weight (kg)]]-VLOOKUP(Feb[[#This Row],[Name]],Overview[],9,FALSE)))</f>
        <v/>
      </c>
      <c r="G41" s="177" t="str">
        <f>IF(Feb[[#This Row],[Name]]="","",IF(VLOOKUP(Feb[[#This Row],[Name]],Overview[],9,FALSE)="","N/A",(Feb[[#This Row],[February Weight (kg)]]-VLOOKUP(Feb[[#This Row],[Name]],Overview[],9,FALSE))/VLOOKUP(Feb[[#This Row],[Name]],Overview[],9,FALSE)))</f>
        <v/>
      </c>
      <c r="H41" s="61" t="str" cm="1">
        <f t="array" ref="H41">IF(Feb[[#This Row],[Name]]="","",IF(SUMPRODUCT((Overview[Name]=Feb[[#This Row],[Name]])*ISNUMBER(Overview[[August 
Weight (kg)]:[November Weight (kg)]]))=0,"N/A",MAX(IF((Overview[Name]=Feb[[#This Row],[Name]])*ISNUMBER(Overview[[August 
Weight (kg)]:[November Weight (kg)]]),Overview[[August 
Weight (kg)]:[November Weight (kg)]]))))</f>
        <v/>
      </c>
      <c r="I41" s="57" t="str">
        <f>IF(Feb[[#This Row],[Name]]="","",IF(NOT(ISNUMBER(Feb[[#This Row],[Highest Weight in the Past 3 - 6 Months]])),"N/A",IF(Feb[[#This Row],[February Weight (kg)]]=Feb[[#This Row],[Highest Weight in the Past 3 - 6 Months]],0,Feb[[#This Row],[February Weight (kg)]]-Feb[[#This Row],[Highest Weight in the Past 3 - 6 Months]])))</f>
        <v/>
      </c>
      <c r="J41"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41" s="130"/>
      <c r="L41" s="131"/>
      <c r="M41" s="76"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41" s="64" t="str">
        <f>IF(Feb[[#This Row],[Name]]="","",IF(Feb[[#This Row],[February MUST Score ]]=0,"Low",IF(Feb[[#This Row],[February MUST Score ]]=1,"Medium","High")))</f>
        <v/>
      </c>
      <c r="O41" s="10"/>
      <c r="P41" s="70"/>
      <c r="Q41" s="12"/>
      <c r="R41" s="17"/>
      <c r="S41" s="10"/>
      <c r="T41" s="17"/>
      <c r="U41" s="70"/>
      <c r="V41" s="11"/>
      <c r="W41" s="94"/>
      <c r="X41" s="12"/>
      <c r="Y41" s="11"/>
    </row>
    <row r="42" spans="2:25" ht="15.75" thickBot="1" x14ac:dyDescent="0.3">
      <c r="B42" s="18"/>
      <c r="C42" s="132"/>
      <c r="D42" s="95"/>
      <c r="E42" s="60" t="str">
        <f>IF(Feb[[#This Row],[Name]]="","",Feb[[#This Row],[February Weight (kg)]]/(VLOOKUP(Feb[[#This Row],[Name]],Overview[],2,FALSE)/100)^2)</f>
        <v/>
      </c>
      <c r="F42" s="60" t="str">
        <f>IF(Feb[[#This Row],[Name]]="","",IF(VLOOKUP(Feb[[#This Row],[Name]],Overview[],9,FALSE)="","N/A",Feb[[#This Row],[February Weight (kg)]]-VLOOKUP(Feb[[#This Row],[Name]],Overview[],9,FALSE)))</f>
        <v/>
      </c>
      <c r="G42" s="178" t="str">
        <f>IF(Feb[[#This Row],[Name]]="","",IF(VLOOKUP(Feb[[#This Row],[Name]],Overview[],9,FALSE)="","N/A",(Feb[[#This Row],[February Weight (kg)]]-VLOOKUP(Feb[[#This Row],[Name]],Overview[],9,FALSE))/VLOOKUP(Feb[[#This Row],[Name]],Overview[],9,FALSE)))</f>
        <v/>
      </c>
      <c r="H42" s="61" t="str" cm="1">
        <f t="array" ref="H42">IF(Feb[[#This Row],[Name]]="","",IF(SUMPRODUCT((Overview[Name]=Feb[[#This Row],[Name]])*ISNUMBER(Overview[[August 
Weight (kg)]:[November Weight (kg)]]))=0,"N/A",MAX(IF((Overview[Name]=Feb[[#This Row],[Name]])*ISNUMBER(Overview[[August 
Weight (kg)]:[November Weight (kg)]]),Overview[[August 
Weight (kg)]:[November Weight (kg)]]))))</f>
        <v/>
      </c>
      <c r="I42" s="57" t="str">
        <f>IF(Feb[[#This Row],[Name]]="","",IF(NOT(ISNUMBER(Feb[[#This Row],[Highest Weight in the Past 3 - 6 Months]])),"N/A",IF(Feb[[#This Row],[February Weight (kg)]]=Feb[[#This Row],[Highest Weight in the Past 3 - 6 Months]],0,Feb[[#This Row],[February Weight (kg)]]-Feb[[#This Row],[Highest Weight in the Past 3 - 6 Months]])))</f>
        <v/>
      </c>
      <c r="J42" s="179" t="str">
        <f>IF(Feb[[#This Row],[Name]]="","",IF(OR(Feb[[#This Row],[Highest Weight in the Past 3 - 6 Months]]="",Feb[[#This Row],[Highest Weight in the Past 3 - 6 Months]]="N/A"),"N/A",IFERROR(Feb[[#This Row],[Weight (kg) Difference from Highest Weight in Past 3 - 6 Months (Current Month - Highest Month)]]/Feb[[#This Row],[Highest Weight in the Past 3 - 6 Months]],"N/A")))</f>
        <v/>
      </c>
      <c r="K42" s="133"/>
      <c r="L42" s="134"/>
      <c r="M42" s="77" t="str">
        <f>IF(Feb[[#This Row],[Name]]="","",IFERROR(IF(Feb[[#This Row],[February BMI (kg/m2)]]&gt;20,0,IF(Feb[[#This Row],[February BMI (kg/m2)]]&gt;=18.5,1,2))+IF(Feb[[#This Row],[If Weight has been lost, is this Planned? (Yes/No)]]="Yes",0,IF(Feb[[#This Row],[Weight (kg) Difference from Highest Weight in 3 - 6 months as %]]&gt;-0.05,0,IF(Feb[[#This Row],[Weight (kg) Difference from Highest Weight in 3 - 6 months as %]]&gt;=-0.1,1,2))),""))</f>
        <v/>
      </c>
      <c r="N42" s="64" t="str">
        <f>IF(Feb[[#This Row],[Name]]="","",IF(Feb[[#This Row],[February MUST Score ]]=0,"Low",IF(Feb[[#This Row],[February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83" priority="6" operator="greaterThanOrEqual">
      <formula>2</formula>
    </cfRule>
    <cfRule type="cellIs" dxfId="82" priority="7" operator="equal">
      <formula>1</formula>
    </cfRule>
    <cfRule type="cellIs" dxfId="81" priority="8" operator="equal">
      <formula>0</formula>
    </cfRule>
  </conditionalFormatting>
  <conditionalFormatting sqref="N8:N42">
    <cfRule type="containsText" dxfId="80" priority="2" operator="containsText" text="High">
      <formula>NOT(ISERROR(SEARCH("High",N8)))</formula>
    </cfRule>
    <cfRule type="containsText" dxfId="79" priority="3" operator="containsText" text="Medium">
      <formula>NOT(ISERROR(SEARCH("Medium",N8)))</formula>
    </cfRule>
    <cfRule type="containsText" dxfId="78" priority="4" operator="containsText" text="Low">
      <formula>NOT(ISERROR(SEARCH("Low",N8)))</formula>
    </cfRule>
  </conditionalFormatting>
  <conditionalFormatting sqref="W8:X42">
    <cfRule type="containsText" dxfId="77"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CEDFEE20-DEA2-4C80-839D-3F533DE9894F}">
          <x14:formula1>
            <xm:f>Validation!$A$33:$A$37</xm:f>
          </x14:formula1>
          <xm:sqref>V8:V42</xm:sqref>
        </x14:dataValidation>
        <x14:dataValidation type="list" allowBlank="1" showInputMessage="1" showErrorMessage="1" xr:uid="{398C2F61-4A7A-494B-9590-9F0A74041872}">
          <x14:formula1>
            <xm:f>Validation!$A$27:$A$31</xm:f>
          </x14:formula1>
          <xm:sqref>U8:U42</xm:sqref>
        </x14:dataValidation>
        <x14:dataValidation type="list" allowBlank="1" showInputMessage="1" showErrorMessage="1" xr:uid="{1CC5CCF4-F0E3-44C4-9689-24FDC03B7D63}">
          <x14:formula1>
            <xm:f>'Weight Overview'!$B$4:$B$38</xm:f>
          </x14:formula1>
          <xm:sqref>B8:B42</xm:sqref>
        </x14:dataValidation>
        <x14:dataValidation type="list" allowBlank="1" showInputMessage="1" showErrorMessage="1" xr:uid="{5ED05A21-CE03-4A3D-9499-FFFA33093AE2}">
          <x14:formula1>
            <xm:f>Validation!$A$2:$A$3</xm:f>
          </x14:formula1>
          <xm:sqref>O8:O42 K8:L42 W8:W42 Q8:Q42 S8:S42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D016-593E-40E1-8983-BFAC925B1A12}">
  <sheetPr>
    <tabColor rgb="FF7030A0"/>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09" t="s">
        <v>1</v>
      </c>
      <c r="C4" s="90" t="s">
        <v>8</v>
      </c>
      <c r="D4" s="110" t="s">
        <v>2</v>
      </c>
      <c r="E4" s="88" t="s">
        <v>3</v>
      </c>
      <c r="Y4" s="62"/>
      <c r="Z4" s="2"/>
    </row>
    <row r="5" spans="2:26" ht="15.75" thickBot="1" x14ac:dyDescent="0.3">
      <c r="B5" s="74"/>
      <c r="C5" s="73"/>
      <c r="D5" s="73"/>
      <c r="E5" s="65"/>
      <c r="P5" s="81"/>
      <c r="W5" s="74"/>
      <c r="X5" s="62"/>
      <c r="Y5" s="62"/>
      <c r="Z5" s="2"/>
    </row>
    <row r="6" spans="2:26" ht="15.75" thickBot="1" x14ac:dyDescent="0.3">
      <c r="C6" s="301" t="s">
        <v>85</v>
      </c>
      <c r="D6" s="302"/>
      <c r="E6" s="302"/>
      <c r="F6" s="302"/>
      <c r="G6" s="303"/>
      <c r="H6" s="304" t="s">
        <v>68</v>
      </c>
      <c r="I6" s="305"/>
      <c r="J6" s="305"/>
      <c r="K6" s="306"/>
      <c r="L6" s="301" t="s">
        <v>69</v>
      </c>
      <c r="M6" s="302"/>
      <c r="N6" s="303"/>
      <c r="O6" s="304" t="s">
        <v>83</v>
      </c>
      <c r="P6" s="305"/>
      <c r="Q6" s="305"/>
      <c r="R6" s="305"/>
      <c r="S6" s="301" t="s">
        <v>84</v>
      </c>
      <c r="T6" s="302"/>
      <c r="U6" s="302"/>
      <c r="V6" s="303"/>
      <c r="Y6" s="63"/>
    </row>
    <row r="7" spans="2:26" ht="105.75" thickBot="1" x14ac:dyDescent="0.3">
      <c r="B7" s="111" t="s">
        <v>0</v>
      </c>
      <c r="C7" s="45" t="s">
        <v>109</v>
      </c>
      <c r="D7" s="48" t="s">
        <v>124</v>
      </c>
      <c r="E7" s="46" t="s">
        <v>110</v>
      </c>
      <c r="F7" s="46" t="s">
        <v>132</v>
      </c>
      <c r="G7" s="47" t="s">
        <v>133</v>
      </c>
      <c r="H7" s="71" t="s">
        <v>72</v>
      </c>
      <c r="I7" s="72" t="s">
        <v>70</v>
      </c>
      <c r="J7" s="67" t="s">
        <v>71</v>
      </c>
      <c r="K7" s="80" t="s">
        <v>64</v>
      </c>
      <c r="L7" s="111" t="s">
        <v>67</v>
      </c>
      <c r="M7" s="46" t="s">
        <v>111</v>
      </c>
      <c r="N7" s="47" t="s">
        <v>112</v>
      </c>
      <c r="O7" s="71" t="s">
        <v>65</v>
      </c>
      <c r="P7" s="68" t="s">
        <v>66</v>
      </c>
      <c r="Q7" s="92" t="s">
        <v>88</v>
      </c>
      <c r="R7" s="67" t="s">
        <v>86</v>
      </c>
      <c r="S7" s="45" t="s">
        <v>89</v>
      </c>
      <c r="T7" s="48" t="s">
        <v>87</v>
      </c>
      <c r="U7" s="48" t="s">
        <v>90</v>
      </c>
      <c r="V7" s="112" t="s">
        <v>91</v>
      </c>
      <c r="W7" s="68" t="s">
        <v>63</v>
      </c>
      <c r="X7" s="67" t="s">
        <v>59</v>
      </c>
      <c r="Y7" s="80" t="s">
        <v>18</v>
      </c>
    </row>
    <row r="8" spans="2:26" x14ac:dyDescent="0.25">
      <c r="B8" s="20"/>
      <c r="C8" s="125"/>
      <c r="D8" s="126"/>
      <c r="E8" s="57" t="str">
        <f>IF(Mar[[#This Row],[Name]]="","",Mar[[#This Row],[March Weight (kg)]]/(VLOOKUP(Mar[[#This Row],[Name]],Overview[],2,FALSE)/100)^2)</f>
        <v/>
      </c>
      <c r="F8" s="57" t="str">
        <f>IF(Mar[[#This Row],[Name]]="","",IF(VLOOKUP(Mar[[#This Row],[Name]],Overview[],10,FALSE)="","N/A",Mar[[#This Row],[March Weight (kg)]]-VLOOKUP(Mar[[#This Row],[Name]],Overview[],10,FALSE)))</f>
        <v/>
      </c>
      <c r="G8" s="174" t="str">
        <f>IF(Mar[[#This Row],[Name]]="","",IF(VLOOKUP(Mar[[#This Row],[Name]],Overview[],10,FALSE)="","N/A",(Mar[[#This Row],[March Weight (kg)]]-VLOOKUP(Mar[[#This Row],[Name]],Overview[],10,FALSE))/VLOOKUP(Mar[[#This Row],[Name]],Overview[],10,FALSE)))</f>
        <v/>
      </c>
      <c r="H8" s="61" t="str" cm="1">
        <f t="array" ref="H8">IF(Mar[[#This Row],[Name]]="","",IF(SUMPRODUCT((Overview[Name]=Mar[[#This Row],[Name]])*ISNUMBER(Overview[[September Weight (kg)]:[December Weight (kg)]]))=0,"N/A",MAX(IF((Overview[Name]=Mar[[#This Row],[Name]])*ISNUMBER(Overview[[September Weight (kg)]:[December Weight (kg)]]),Overview[[September Weight (kg)]:[December Weight (kg)]]))))</f>
        <v/>
      </c>
      <c r="I8" s="57" t="str">
        <f>IF(Mar[[#This Row],[Name]]="","",IF(NOT(ISNUMBER(Mar[[#This Row],[Highest Weight in the Past 3 - 6 Months]])),"N/A",IF(Mar[[#This Row],[March Weight (kg)]]=Mar[[#This Row],[Highest Weight in the Past 3 - 6 Months]],0,Mar[[#This Row],[March Weight (kg)]]-Mar[[#This Row],[Highest Weight in the Past 3 - 6 Months]])))</f>
        <v/>
      </c>
      <c r="J8"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8" s="127"/>
      <c r="L8" s="128"/>
      <c r="M8" s="75"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8" s="64" t="str">
        <f>IF(Mar[[#This Row],[Name]]="","",IF(Mar[[#This Row],[March MUST Score ]]=0,"Low",IF(Mar[[#This Row],[March MUST Score ]]=1,"Medium","High")))</f>
        <v/>
      </c>
      <c r="O8" s="7"/>
      <c r="P8" s="69"/>
      <c r="Q8" s="20"/>
      <c r="R8" s="22"/>
      <c r="S8" s="44"/>
      <c r="T8" s="16"/>
      <c r="U8" s="69"/>
      <c r="V8" s="8"/>
      <c r="W8" s="93"/>
      <c r="X8" s="9"/>
      <c r="Y8" s="8"/>
    </row>
    <row r="9" spans="2:26" x14ac:dyDescent="0.25">
      <c r="B9" s="12"/>
      <c r="C9" s="129"/>
      <c r="D9" s="94"/>
      <c r="E9" s="58" t="str">
        <f>IF(Mar[[#This Row],[Name]]="","",Mar[[#This Row],[March Weight (kg)]]/(VLOOKUP(Mar[[#This Row],[Name]],Overview[],2,FALSE)/100)^2)</f>
        <v/>
      </c>
      <c r="F9" s="58" t="str">
        <f>IF(Mar[[#This Row],[Name]]="","",IF(VLOOKUP(Mar[[#This Row],[Name]],Overview[],10,FALSE)="","N/A",Mar[[#This Row],[March Weight (kg)]]-VLOOKUP(Mar[[#This Row],[Name]],Overview[],10,FALSE)))</f>
        <v/>
      </c>
      <c r="G9" s="175" t="str">
        <f>IF(Mar[[#This Row],[Name]]="","",IF(VLOOKUP(Mar[[#This Row],[Name]],Overview[],10,FALSE)="","N/A",(Mar[[#This Row],[March Weight (kg)]]-VLOOKUP(Mar[[#This Row],[Name]],Overview[],10,FALSE))/VLOOKUP(Mar[[#This Row],[Name]],Overview[],10,FALSE)))</f>
        <v/>
      </c>
      <c r="H9" s="61" t="str" cm="1">
        <f t="array" ref="H9">IF(Mar[[#This Row],[Name]]="","",IF(SUMPRODUCT((Overview[Name]=Mar[[#This Row],[Name]])*ISNUMBER(Overview[[September Weight (kg)]:[December Weight (kg)]]))=0,"N/A",MAX(IF((Overview[Name]=Mar[[#This Row],[Name]])*ISNUMBER(Overview[[September Weight (kg)]:[December Weight (kg)]]),Overview[[September Weight (kg)]:[December Weight (kg)]]))))</f>
        <v/>
      </c>
      <c r="I9" s="57" t="str">
        <f>IF(Mar[[#This Row],[Name]]="","",IF(NOT(ISNUMBER(Mar[[#This Row],[Highest Weight in the Past 3 - 6 Months]])),"N/A",IF(Mar[[#This Row],[March Weight (kg)]]=Mar[[#This Row],[Highest Weight in the Past 3 - 6 Months]],0,Mar[[#This Row],[March Weight (kg)]]-Mar[[#This Row],[Highest Weight in the Past 3 - 6 Months]])))</f>
        <v/>
      </c>
      <c r="J9"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9" s="130"/>
      <c r="L9" s="131"/>
      <c r="M9"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9" s="64" t="str">
        <f>IF(Mar[[#This Row],[Name]]="","",IF(Mar[[#This Row],[March MUST Score ]]=0,"Low",IF(Mar[[#This Row],[March MUST Score ]]=1,"Medium","High")))</f>
        <v/>
      </c>
      <c r="O9" s="44"/>
      <c r="P9" s="66"/>
      <c r="Q9" s="20"/>
      <c r="R9" s="17"/>
      <c r="S9" s="44"/>
      <c r="T9" s="22"/>
      <c r="U9" s="66"/>
      <c r="V9" s="21"/>
      <c r="W9" s="94"/>
      <c r="X9" s="12"/>
      <c r="Y9" s="11"/>
    </row>
    <row r="10" spans="2:26" x14ac:dyDescent="0.25">
      <c r="B10" s="12"/>
      <c r="C10" s="129"/>
      <c r="D10" s="94"/>
      <c r="E10" s="58" t="str">
        <f>IF(Mar[[#This Row],[Name]]="","",Mar[[#This Row],[March Weight (kg)]]/(VLOOKUP(Mar[[#This Row],[Name]],Overview[],2,FALSE)/100)^2)</f>
        <v/>
      </c>
      <c r="F10" s="58" t="str">
        <f>IF(Mar[[#This Row],[Name]]="","",IF(VLOOKUP(Mar[[#This Row],[Name]],Overview[],10,FALSE)="","N/A",Mar[[#This Row],[March Weight (kg)]]-VLOOKUP(Mar[[#This Row],[Name]],Overview[],10,FALSE)))</f>
        <v/>
      </c>
      <c r="G10" s="175" t="str">
        <f>IF(Mar[[#This Row],[Name]]="","",IF(VLOOKUP(Mar[[#This Row],[Name]],Overview[],10,FALSE)="","N/A",(Mar[[#This Row],[March Weight (kg)]]-VLOOKUP(Mar[[#This Row],[Name]],Overview[],10,FALSE))/VLOOKUP(Mar[[#This Row],[Name]],Overview[],10,FALSE)))</f>
        <v/>
      </c>
      <c r="H10" s="61" t="str" cm="1">
        <f t="array" ref="H10">IF(Mar[[#This Row],[Name]]="","",IF(SUMPRODUCT((Overview[Name]=Mar[[#This Row],[Name]])*ISNUMBER(Overview[[September Weight (kg)]:[December Weight (kg)]]))=0,"N/A",MAX(IF((Overview[Name]=Mar[[#This Row],[Name]])*ISNUMBER(Overview[[September Weight (kg)]:[December Weight (kg)]]),Overview[[September Weight (kg)]:[December Weight (kg)]]))))</f>
        <v/>
      </c>
      <c r="I10" s="57" t="str">
        <f>IF(Mar[[#This Row],[Name]]="","",IF(NOT(ISNUMBER(Mar[[#This Row],[Highest Weight in the Past 3 - 6 Months]])),"N/A",IF(Mar[[#This Row],[March Weight (kg)]]=Mar[[#This Row],[Highest Weight in the Past 3 - 6 Months]],0,Mar[[#This Row],[March Weight (kg)]]-Mar[[#This Row],[Highest Weight in the Past 3 - 6 Months]])))</f>
        <v/>
      </c>
      <c r="J10"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0" s="130"/>
      <c r="L10" s="131"/>
      <c r="M10"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0" s="64" t="str">
        <f>IF(Mar[[#This Row],[Name]]="","",IF(Mar[[#This Row],[March MUST Score ]]=0,"Low",IF(Mar[[#This Row],[March MUST Score ]]=1,"Medium","High")))</f>
        <v/>
      </c>
      <c r="O10" s="10"/>
      <c r="P10" s="70"/>
      <c r="Q10" s="12"/>
      <c r="R10" s="17"/>
      <c r="S10" s="10"/>
      <c r="T10" s="17"/>
      <c r="U10" s="70"/>
      <c r="V10" s="11"/>
      <c r="W10" s="94"/>
      <c r="X10" s="12"/>
      <c r="Y10" s="11"/>
    </row>
    <row r="11" spans="2:26" x14ac:dyDescent="0.25">
      <c r="B11" s="12"/>
      <c r="C11" s="129"/>
      <c r="D11" s="94"/>
      <c r="E11" s="58" t="str">
        <f>IF(Mar[[#This Row],[Name]]="","",Mar[[#This Row],[March Weight (kg)]]/(VLOOKUP(Mar[[#This Row],[Name]],Overview[],2,FALSE)/100)^2)</f>
        <v/>
      </c>
      <c r="F11" s="58" t="str">
        <f>IF(Mar[[#This Row],[Name]]="","",IF(VLOOKUP(Mar[[#This Row],[Name]],Overview[],10,FALSE)="","N/A",Mar[[#This Row],[March Weight (kg)]]-VLOOKUP(Mar[[#This Row],[Name]],Overview[],10,FALSE)))</f>
        <v/>
      </c>
      <c r="G11" s="175" t="str">
        <f>IF(Mar[[#This Row],[Name]]="","",IF(VLOOKUP(Mar[[#This Row],[Name]],Overview[],10,FALSE)="","N/A",(Mar[[#This Row],[March Weight (kg)]]-VLOOKUP(Mar[[#This Row],[Name]],Overview[],10,FALSE))/VLOOKUP(Mar[[#This Row],[Name]],Overview[],10,FALSE)))</f>
        <v/>
      </c>
      <c r="H11" s="61" t="str" cm="1">
        <f t="array" ref="H11">IF(Mar[[#This Row],[Name]]="","",IF(SUMPRODUCT((Overview[Name]=Mar[[#This Row],[Name]])*ISNUMBER(Overview[[September Weight (kg)]:[December Weight (kg)]]))=0,"N/A",MAX(IF((Overview[Name]=Mar[[#This Row],[Name]])*ISNUMBER(Overview[[September Weight (kg)]:[December Weight (kg)]]),Overview[[September Weight (kg)]:[December Weight (kg)]]))))</f>
        <v/>
      </c>
      <c r="I11" s="57" t="str">
        <f>IF(Mar[[#This Row],[Name]]="","",IF(NOT(ISNUMBER(Mar[[#This Row],[Highest Weight in the Past 3 - 6 Months]])),"N/A",IF(Mar[[#This Row],[March Weight (kg)]]=Mar[[#This Row],[Highest Weight in the Past 3 - 6 Months]],0,Mar[[#This Row],[March Weight (kg)]]-Mar[[#This Row],[Highest Weight in the Past 3 - 6 Months]])))</f>
        <v/>
      </c>
      <c r="J11"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1" s="130"/>
      <c r="L11" s="131"/>
      <c r="M11"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1" s="64" t="str">
        <f>IF(Mar[[#This Row],[Name]]="","",IF(Mar[[#This Row],[March MUST Score ]]=0,"Low",IF(Mar[[#This Row],[March MUST Score ]]=1,"Medium","High")))</f>
        <v/>
      </c>
      <c r="O11" s="10"/>
      <c r="P11" s="70"/>
      <c r="Q11" s="12"/>
      <c r="R11" s="17"/>
      <c r="S11" s="10"/>
      <c r="T11" s="17"/>
      <c r="U11" s="70"/>
      <c r="V11" s="11"/>
      <c r="W11" s="94"/>
      <c r="X11" s="12"/>
      <c r="Y11" s="11"/>
    </row>
    <row r="12" spans="2:26" x14ac:dyDescent="0.25">
      <c r="B12" s="12"/>
      <c r="C12" s="129"/>
      <c r="D12" s="94"/>
      <c r="E12" s="58" t="str">
        <f>IF(Mar[[#This Row],[Name]]="","",Mar[[#This Row],[March Weight (kg)]]/(VLOOKUP(Mar[[#This Row],[Name]],Overview[],2,FALSE)/100)^2)</f>
        <v/>
      </c>
      <c r="F12" s="58" t="str">
        <f>IF(Mar[[#This Row],[Name]]="","",IF(VLOOKUP(Mar[[#This Row],[Name]],Overview[],10,FALSE)="","N/A",Mar[[#This Row],[March Weight (kg)]]-VLOOKUP(Mar[[#This Row],[Name]],Overview[],10,FALSE)))</f>
        <v/>
      </c>
      <c r="G12" s="175" t="str">
        <f>IF(Mar[[#This Row],[Name]]="","",IF(VLOOKUP(Mar[[#This Row],[Name]],Overview[],10,FALSE)="","N/A",(Mar[[#This Row],[March Weight (kg)]]-VLOOKUP(Mar[[#This Row],[Name]],Overview[],10,FALSE))/VLOOKUP(Mar[[#This Row],[Name]],Overview[],10,FALSE)))</f>
        <v/>
      </c>
      <c r="H12" s="61" t="str" cm="1">
        <f t="array" ref="H12">IF(Mar[[#This Row],[Name]]="","",IF(SUMPRODUCT((Overview[Name]=Mar[[#This Row],[Name]])*ISNUMBER(Overview[[September Weight (kg)]:[December Weight (kg)]]))=0,"N/A",MAX(IF((Overview[Name]=Mar[[#This Row],[Name]])*ISNUMBER(Overview[[September Weight (kg)]:[December Weight (kg)]]),Overview[[September Weight (kg)]:[December Weight (kg)]]))))</f>
        <v/>
      </c>
      <c r="I12" s="57" t="str">
        <f>IF(Mar[[#This Row],[Name]]="","",IF(NOT(ISNUMBER(Mar[[#This Row],[Highest Weight in the Past 3 - 6 Months]])),"N/A",IF(Mar[[#This Row],[March Weight (kg)]]=Mar[[#This Row],[Highest Weight in the Past 3 - 6 Months]],0,Mar[[#This Row],[March Weight (kg)]]-Mar[[#This Row],[Highest Weight in the Past 3 - 6 Months]])))</f>
        <v/>
      </c>
      <c r="J12"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2" s="130"/>
      <c r="L12" s="131"/>
      <c r="M12"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2" s="64" t="str">
        <f>IF(Mar[[#This Row],[Name]]="","",IF(Mar[[#This Row],[March MUST Score ]]=0,"Low",IF(Mar[[#This Row],[March MUST Score ]]=1,"Medium","High")))</f>
        <v/>
      </c>
      <c r="O12" s="10"/>
      <c r="P12" s="70"/>
      <c r="Q12" s="12"/>
      <c r="R12" s="17"/>
      <c r="S12" s="10"/>
      <c r="T12" s="17"/>
      <c r="U12" s="70"/>
      <c r="V12" s="11"/>
      <c r="W12" s="94"/>
      <c r="X12" s="12"/>
      <c r="Y12" s="11"/>
    </row>
    <row r="13" spans="2:26" x14ac:dyDescent="0.25">
      <c r="B13" s="12"/>
      <c r="C13" s="129"/>
      <c r="D13" s="94"/>
      <c r="E13" s="58" t="str">
        <f>IF(Mar[[#This Row],[Name]]="","",Mar[[#This Row],[March Weight (kg)]]/(VLOOKUP(Mar[[#This Row],[Name]],Overview[],2,FALSE)/100)^2)</f>
        <v/>
      </c>
      <c r="F13" s="58" t="str">
        <f>IF(Mar[[#This Row],[Name]]="","",IF(VLOOKUP(Mar[[#This Row],[Name]],Overview[],10,FALSE)="","N/A",Mar[[#This Row],[March Weight (kg)]]-VLOOKUP(Mar[[#This Row],[Name]],Overview[],10,FALSE)))</f>
        <v/>
      </c>
      <c r="G13" s="175" t="str">
        <f>IF(Mar[[#This Row],[Name]]="","",IF(VLOOKUP(Mar[[#This Row],[Name]],Overview[],10,FALSE)="","N/A",(Mar[[#This Row],[March Weight (kg)]]-VLOOKUP(Mar[[#This Row],[Name]],Overview[],10,FALSE))/VLOOKUP(Mar[[#This Row],[Name]],Overview[],10,FALSE)))</f>
        <v/>
      </c>
      <c r="H13" s="61" t="str" cm="1">
        <f t="array" ref="H13">IF(Mar[[#This Row],[Name]]="","",IF(SUMPRODUCT((Overview[Name]=Mar[[#This Row],[Name]])*ISNUMBER(Overview[[September Weight (kg)]:[December Weight (kg)]]))=0,"N/A",MAX(IF((Overview[Name]=Mar[[#This Row],[Name]])*ISNUMBER(Overview[[September Weight (kg)]:[December Weight (kg)]]),Overview[[September Weight (kg)]:[December Weight (kg)]]))))</f>
        <v/>
      </c>
      <c r="I13" s="57" t="str">
        <f>IF(Mar[[#This Row],[Name]]="","",IF(NOT(ISNUMBER(Mar[[#This Row],[Highest Weight in the Past 3 - 6 Months]])),"N/A",IF(Mar[[#This Row],[March Weight (kg)]]=Mar[[#This Row],[Highest Weight in the Past 3 - 6 Months]],0,Mar[[#This Row],[March Weight (kg)]]-Mar[[#This Row],[Highest Weight in the Past 3 - 6 Months]])))</f>
        <v/>
      </c>
      <c r="J13"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3" s="130"/>
      <c r="L13" s="131"/>
      <c r="M13"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3" s="64" t="str">
        <f>IF(Mar[[#This Row],[Name]]="","",IF(Mar[[#This Row],[March MUST Score ]]=0,"Low",IF(Mar[[#This Row],[March MUST Score ]]=1,"Medium","High")))</f>
        <v/>
      </c>
      <c r="O13" s="10"/>
      <c r="P13" s="70"/>
      <c r="Q13" s="12"/>
      <c r="R13" s="17"/>
      <c r="S13" s="10"/>
      <c r="T13" s="17"/>
      <c r="U13" s="70"/>
      <c r="V13" s="11"/>
      <c r="W13" s="94"/>
      <c r="X13" s="12"/>
      <c r="Y13" s="11"/>
    </row>
    <row r="14" spans="2:26" x14ac:dyDescent="0.25">
      <c r="B14" s="12"/>
      <c r="C14" s="129"/>
      <c r="D14" s="94"/>
      <c r="E14" s="58" t="str">
        <f>IF(Mar[[#This Row],[Name]]="","",Mar[[#This Row],[March Weight (kg)]]/(VLOOKUP(Mar[[#This Row],[Name]],Overview[],2,FALSE)/100)^2)</f>
        <v/>
      </c>
      <c r="F14" s="58" t="str">
        <f>IF(Mar[[#This Row],[Name]]="","",IF(VLOOKUP(Mar[[#This Row],[Name]],Overview[],10,FALSE)="","N/A",Mar[[#This Row],[March Weight (kg)]]-VLOOKUP(Mar[[#This Row],[Name]],Overview[],10,FALSE)))</f>
        <v/>
      </c>
      <c r="G14" s="175" t="str">
        <f>IF(Mar[[#This Row],[Name]]="","",IF(VLOOKUP(Mar[[#This Row],[Name]],Overview[],10,FALSE)="","N/A",(Mar[[#This Row],[March Weight (kg)]]-VLOOKUP(Mar[[#This Row],[Name]],Overview[],10,FALSE))/VLOOKUP(Mar[[#This Row],[Name]],Overview[],10,FALSE)))</f>
        <v/>
      </c>
      <c r="H14" s="61" t="str" cm="1">
        <f t="array" ref="H14">IF(Mar[[#This Row],[Name]]="","",IF(SUMPRODUCT((Overview[Name]=Mar[[#This Row],[Name]])*ISNUMBER(Overview[[September Weight (kg)]:[December Weight (kg)]]))=0,"N/A",MAX(IF((Overview[Name]=Mar[[#This Row],[Name]])*ISNUMBER(Overview[[September Weight (kg)]:[December Weight (kg)]]),Overview[[September Weight (kg)]:[December Weight (kg)]]))))</f>
        <v/>
      </c>
      <c r="I14" s="57" t="str">
        <f>IF(Mar[[#This Row],[Name]]="","",IF(NOT(ISNUMBER(Mar[[#This Row],[Highest Weight in the Past 3 - 6 Months]])),"N/A",IF(Mar[[#This Row],[March Weight (kg)]]=Mar[[#This Row],[Highest Weight in the Past 3 - 6 Months]],0,Mar[[#This Row],[March Weight (kg)]]-Mar[[#This Row],[Highest Weight in the Past 3 - 6 Months]])))</f>
        <v/>
      </c>
      <c r="J14"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4" s="130"/>
      <c r="L14" s="131"/>
      <c r="M14"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4" s="64" t="str">
        <f>IF(Mar[[#This Row],[Name]]="","",IF(Mar[[#This Row],[March MUST Score ]]=0,"Low",IF(Mar[[#This Row],[March MUST Score ]]=1,"Medium","High")))</f>
        <v/>
      </c>
      <c r="O14" s="10"/>
      <c r="P14" s="70"/>
      <c r="Q14" s="12"/>
      <c r="R14" s="17"/>
      <c r="S14" s="10"/>
      <c r="T14" s="17"/>
      <c r="U14" s="70"/>
      <c r="V14" s="11"/>
      <c r="W14" s="94"/>
      <c r="X14" s="12"/>
      <c r="Y14" s="11"/>
    </row>
    <row r="15" spans="2:26" x14ac:dyDescent="0.25">
      <c r="B15" s="12"/>
      <c r="C15" s="129"/>
      <c r="D15" s="94"/>
      <c r="E15" s="58" t="str">
        <f>IF(Mar[[#This Row],[Name]]="","",Mar[[#This Row],[March Weight (kg)]]/(VLOOKUP(Mar[[#This Row],[Name]],Overview[],2,FALSE)/100)^2)</f>
        <v/>
      </c>
      <c r="F15" s="58" t="str">
        <f>IF(Mar[[#This Row],[Name]]="","",IF(VLOOKUP(Mar[[#This Row],[Name]],Overview[],10,FALSE)="","N/A",Mar[[#This Row],[March Weight (kg)]]-VLOOKUP(Mar[[#This Row],[Name]],Overview[],10,FALSE)))</f>
        <v/>
      </c>
      <c r="G15" s="175" t="str">
        <f>IF(Mar[[#This Row],[Name]]="","",IF(VLOOKUP(Mar[[#This Row],[Name]],Overview[],10,FALSE)="","N/A",(Mar[[#This Row],[March Weight (kg)]]-VLOOKUP(Mar[[#This Row],[Name]],Overview[],10,FALSE))/VLOOKUP(Mar[[#This Row],[Name]],Overview[],10,FALSE)))</f>
        <v/>
      </c>
      <c r="H15" s="61" t="str" cm="1">
        <f t="array" ref="H15">IF(Mar[[#This Row],[Name]]="","",IF(SUMPRODUCT((Overview[Name]=Mar[[#This Row],[Name]])*ISNUMBER(Overview[[September Weight (kg)]:[December Weight (kg)]]))=0,"N/A",MAX(IF((Overview[Name]=Mar[[#This Row],[Name]])*ISNUMBER(Overview[[September Weight (kg)]:[December Weight (kg)]]),Overview[[September Weight (kg)]:[December Weight (kg)]]))))</f>
        <v/>
      </c>
      <c r="I15" s="57" t="str">
        <f>IF(Mar[[#This Row],[Name]]="","",IF(NOT(ISNUMBER(Mar[[#This Row],[Highest Weight in the Past 3 - 6 Months]])),"N/A",IF(Mar[[#This Row],[March Weight (kg)]]=Mar[[#This Row],[Highest Weight in the Past 3 - 6 Months]],0,Mar[[#This Row],[March Weight (kg)]]-Mar[[#This Row],[Highest Weight in the Past 3 - 6 Months]])))</f>
        <v/>
      </c>
      <c r="J15"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5" s="130"/>
      <c r="L15" s="131"/>
      <c r="M15"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5" s="64" t="str">
        <f>IF(Mar[[#This Row],[Name]]="","",IF(Mar[[#This Row],[March MUST Score ]]=0,"Low",IF(Mar[[#This Row],[March MUST Score ]]=1,"Medium","High")))</f>
        <v/>
      </c>
      <c r="O15" s="10"/>
      <c r="P15" s="70"/>
      <c r="Q15" s="12"/>
      <c r="R15" s="17"/>
      <c r="S15" s="10"/>
      <c r="T15" s="17"/>
      <c r="U15" s="70"/>
      <c r="V15" s="11"/>
      <c r="W15" s="94"/>
      <c r="X15" s="12"/>
      <c r="Y15" s="11"/>
    </row>
    <row r="16" spans="2:26" x14ac:dyDescent="0.25">
      <c r="B16" s="12"/>
      <c r="C16" s="129"/>
      <c r="D16" s="94"/>
      <c r="E16" s="58" t="str">
        <f>IF(Mar[[#This Row],[Name]]="","",Mar[[#This Row],[March Weight (kg)]]/(VLOOKUP(Mar[[#This Row],[Name]],Overview[],2,FALSE)/100)^2)</f>
        <v/>
      </c>
      <c r="F16" s="58" t="str">
        <f>IF(Mar[[#This Row],[Name]]="","",IF(VLOOKUP(Mar[[#This Row],[Name]],Overview[],10,FALSE)="","N/A",Mar[[#This Row],[March Weight (kg)]]-VLOOKUP(Mar[[#This Row],[Name]],Overview[],10,FALSE)))</f>
        <v/>
      </c>
      <c r="G16" s="175" t="str">
        <f>IF(Mar[[#This Row],[Name]]="","",IF(VLOOKUP(Mar[[#This Row],[Name]],Overview[],10,FALSE)="","N/A",(Mar[[#This Row],[March Weight (kg)]]-VLOOKUP(Mar[[#This Row],[Name]],Overview[],10,FALSE))/VLOOKUP(Mar[[#This Row],[Name]],Overview[],10,FALSE)))</f>
        <v/>
      </c>
      <c r="H16" s="61" t="str" cm="1">
        <f t="array" ref="H16">IF(Mar[[#This Row],[Name]]="","",IF(SUMPRODUCT((Overview[Name]=Mar[[#This Row],[Name]])*ISNUMBER(Overview[[September Weight (kg)]:[December Weight (kg)]]))=0,"N/A",MAX(IF((Overview[Name]=Mar[[#This Row],[Name]])*ISNUMBER(Overview[[September Weight (kg)]:[December Weight (kg)]]),Overview[[September Weight (kg)]:[December Weight (kg)]]))))</f>
        <v/>
      </c>
      <c r="I16" s="57" t="str">
        <f>IF(Mar[[#This Row],[Name]]="","",IF(NOT(ISNUMBER(Mar[[#This Row],[Highest Weight in the Past 3 - 6 Months]])),"N/A",IF(Mar[[#This Row],[March Weight (kg)]]=Mar[[#This Row],[Highest Weight in the Past 3 - 6 Months]],0,Mar[[#This Row],[March Weight (kg)]]-Mar[[#This Row],[Highest Weight in the Past 3 - 6 Months]])))</f>
        <v/>
      </c>
      <c r="J16"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6" s="130"/>
      <c r="L16" s="131"/>
      <c r="M16"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6" s="64" t="str">
        <f>IF(Mar[[#This Row],[Name]]="","",IF(Mar[[#This Row],[March MUST Score ]]=0,"Low",IF(Mar[[#This Row],[March MUST Score ]]=1,"Medium","High")))</f>
        <v/>
      </c>
      <c r="O16" s="10"/>
      <c r="P16" s="70"/>
      <c r="Q16" s="12"/>
      <c r="R16" s="17"/>
      <c r="S16" s="10"/>
      <c r="T16" s="17"/>
      <c r="U16" s="70"/>
      <c r="V16" s="11"/>
      <c r="W16" s="94"/>
      <c r="X16" s="12"/>
      <c r="Y16" s="11"/>
    </row>
    <row r="17" spans="2:25" x14ac:dyDescent="0.25">
      <c r="B17" s="12"/>
      <c r="C17" s="129"/>
      <c r="D17" s="94"/>
      <c r="E17" s="58" t="str">
        <f>IF(Mar[[#This Row],[Name]]="","",Mar[[#This Row],[March Weight (kg)]]/(VLOOKUP(Mar[[#This Row],[Name]],Overview[],2,FALSE)/100)^2)</f>
        <v/>
      </c>
      <c r="F17" s="58" t="str">
        <f>IF(Mar[[#This Row],[Name]]="","",IF(VLOOKUP(Mar[[#This Row],[Name]],Overview[],10,FALSE)="","N/A",Mar[[#This Row],[March Weight (kg)]]-VLOOKUP(Mar[[#This Row],[Name]],Overview[],10,FALSE)))</f>
        <v/>
      </c>
      <c r="G17" s="175" t="str">
        <f>IF(Mar[[#This Row],[Name]]="","",IF(VLOOKUP(Mar[[#This Row],[Name]],Overview[],10,FALSE)="","N/A",(Mar[[#This Row],[March Weight (kg)]]-VLOOKUP(Mar[[#This Row],[Name]],Overview[],10,FALSE))/VLOOKUP(Mar[[#This Row],[Name]],Overview[],10,FALSE)))</f>
        <v/>
      </c>
      <c r="H17" s="61" t="str" cm="1">
        <f t="array" ref="H17">IF(Mar[[#This Row],[Name]]="","",IF(SUMPRODUCT((Overview[Name]=Mar[[#This Row],[Name]])*ISNUMBER(Overview[[September Weight (kg)]:[December Weight (kg)]]))=0,"N/A",MAX(IF((Overview[Name]=Mar[[#This Row],[Name]])*ISNUMBER(Overview[[September Weight (kg)]:[December Weight (kg)]]),Overview[[September Weight (kg)]:[December Weight (kg)]]))))</f>
        <v/>
      </c>
      <c r="I17" s="57" t="str">
        <f>IF(Mar[[#This Row],[Name]]="","",IF(NOT(ISNUMBER(Mar[[#This Row],[Highest Weight in the Past 3 - 6 Months]])),"N/A",IF(Mar[[#This Row],[March Weight (kg)]]=Mar[[#This Row],[Highest Weight in the Past 3 - 6 Months]],0,Mar[[#This Row],[March Weight (kg)]]-Mar[[#This Row],[Highest Weight in the Past 3 - 6 Months]])))</f>
        <v/>
      </c>
      <c r="J17"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7" s="130"/>
      <c r="L17" s="131"/>
      <c r="M17"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7" s="64" t="str">
        <f>IF(Mar[[#This Row],[Name]]="","",IF(Mar[[#This Row],[March MUST Score ]]=0,"Low",IF(Mar[[#This Row],[March MUST Score ]]=1,"Medium","High")))</f>
        <v/>
      </c>
      <c r="O17" s="10"/>
      <c r="P17" s="70"/>
      <c r="Q17" s="12"/>
      <c r="R17" s="17"/>
      <c r="S17" s="10"/>
      <c r="T17" s="17"/>
      <c r="U17" s="70"/>
      <c r="V17" s="11"/>
      <c r="W17" s="94"/>
      <c r="X17" s="12"/>
      <c r="Y17" s="11"/>
    </row>
    <row r="18" spans="2:25" x14ac:dyDescent="0.25">
      <c r="B18" s="12"/>
      <c r="C18" s="129"/>
      <c r="D18" s="94"/>
      <c r="E18" s="58" t="str">
        <f>IF(Mar[[#This Row],[Name]]="","",Mar[[#This Row],[March Weight (kg)]]/(VLOOKUP(Mar[[#This Row],[Name]],Overview[],2,FALSE)/100)^2)</f>
        <v/>
      </c>
      <c r="F18" s="58" t="str">
        <f>IF(Mar[[#This Row],[Name]]="","",IF(VLOOKUP(Mar[[#This Row],[Name]],Overview[],10,FALSE)="","N/A",Mar[[#This Row],[March Weight (kg)]]-VLOOKUP(Mar[[#This Row],[Name]],Overview[],10,FALSE)))</f>
        <v/>
      </c>
      <c r="G18" s="175" t="str">
        <f>IF(Mar[[#This Row],[Name]]="","",IF(VLOOKUP(Mar[[#This Row],[Name]],Overview[],10,FALSE)="","N/A",(Mar[[#This Row],[March Weight (kg)]]-VLOOKUP(Mar[[#This Row],[Name]],Overview[],10,FALSE))/VLOOKUP(Mar[[#This Row],[Name]],Overview[],10,FALSE)))</f>
        <v/>
      </c>
      <c r="H18" s="61" t="str" cm="1">
        <f t="array" ref="H18">IF(Mar[[#This Row],[Name]]="","",IF(SUMPRODUCT((Overview[Name]=Mar[[#This Row],[Name]])*ISNUMBER(Overview[[September Weight (kg)]:[December Weight (kg)]]))=0,"N/A",MAX(IF((Overview[Name]=Mar[[#This Row],[Name]])*ISNUMBER(Overview[[September Weight (kg)]:[December Weight (kg)]]),Overview[[September Weight (kg)]:[December Weight (kg)]]))))</f>
        <v/>
      </c>
      <c r="I18" s="57" t="str">
        <f>IF(Mar[[#This Row],[Name]]="","",IF(NOT(ISNUMBER(Mar[[#This Row],[Highest Weight in the Past 3 - 6 Months]])),"N/A",IF(Mar[[#This Row],[March Weight (kg)]]=Mar[[#This Row],[Highest Weight in the Past 3 - 6 Months]],0,Mar[[#This Row],[March Weight (kg)]]-Mar[[#This Row],[Highest Weight in the Past 3 - 6 Months]])))</f>
        <v/>
      </c>
      <c r="J18"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8" s="130"/>
      <c r="L18" s="131"/>
      <c r="M18"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8" s="64" t="str">
        <f>IF(Mar[[#This Row],[Name]]="","",IF(Mar[[#This Row],[March MUST Score ]]=0,"Low",IF(Mar[[#This Row],[March MUST Score ]]=1,"Medium","High")))</f>
        <v/>
      </c>
      <c r="O18" s="10"/>
      <c r="P18" s="70"/>
      <c r="Q18" s="12"/>
      <c r="R18" s="17"/>
      <c r="S18" s="10"/>
      <c r="T18" s="17"/>
      <c r="U18" s="70"/>
      <c r="V18" s="11"/>
      <c r="W18" s="94"/>
      <c r="X18" s="12"/>
      <c r="Y18" s="11"/>
    </row>
    <row r="19" spans="2:25" x14ac:dyDescent="0.25">
      <c r="B19" s="12"/>
      <c r="C19" s="129"/>
      <c r="D19" s="94"/>
      <c r="E19" s="58" t="str">
        <f>IF(Mar[[#This Row],[Name]]="","",Mar[[#This Row],[March Weight (kg)]]/(VLOOKUP(Mar[[#This Row],[Name]],Overview[],2,FALSE)/100)^2)</f>
        <v/>
      </c>
      <c r="F19" s="58" t="str">
        <f>IF(Mar[[#This Row],[Name]]="","",IF(VLOOKUP(Mar[[#This Row],[Name]],Overview[],10,FALSE)="","N/A",Mar[[#This Row],[March Weight (kg)]]-VLOOKUP(Mar[[#This Row],[Name]],Overview[],10,FALSE)))</f>
        <v/>
      </c>
      <c r="G19" s="175" t="str">
        <f>IF(Mar[[#This Row],[Name]]="","",IF(VLOOKUP(Mar[[#This Row],[Name]],Overview[],10,FALSE)="","N/A",(Mar[[#This Row],[March Weight (kg)]]-VLOOKUP(Mar[[#This Row],[Name]],Overview[],10,FALSE))/VLOOKUP(Mar[[#This Row],[Name]],Overview[],10,FALSE)))</f>
        <v/>
      </c>
      <c r="H19" s="61" t="str" cm="1">
        <f t="array" ref="H19">IF(Mar[[#This Row],[Name]]="","",IF(SUMPRODUCT((Overview[Name]=Mar[[#This Row],[Name]])*ISNUMBER(Overview[[September Weight (kg)]:[December Weight (kg)]]))=0,"N/A",MAX(IF((Overview[Name]=Mar[[#This Row],[Name]])*ISNUMBER(Overview[[September Weight (kg)]:[December Weight (kg)]]),Overview[[September Weight (kg)]:[December Weight (kg)]]))))</f>
        <v/>
      </c>
      <c r="I19" s="57" t="str">
        <f>IF(Mar[[#This Row],[Name]]="","",IF(NOT(ISNUMBER(Mar[[#This Row],[Highest Weight in the Past 3 - 6 Months]])),"N/A",IF(Mar[[#This Row],[March Weight (kg)]]=Mar[[#This Row],[Highest Weight in the Past 3 - 6 Months]],0,Mar[[#This Row],[March Weight (kg)]]-Mar[[#This Row],[Highest Weight in the Past 3 - 6 Months]])))</f>
        <v/>
      </c>
      <c r="J19"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19" s="130"/>
      <c r="L19" s="131"/>
      <c r="M19"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19" s="64" t="str">
        <f>IF(Mar[[#This Row],[Name]]="","",IF(Mar[[#This Row],[March MUST Score ]]=0,"Low",IF(Mar[[#This Row],[March MUST Score ]]=1,"Medium","High")))</f>
        <v/>
      </c>
      <c r="O19" s="10"/>
      <c r="P19" s="70"/>
      <c r="Q19" s="12"/>
      <c r="R19" s="17"/>
      <c r="S19" s="10"/>
      <c r="T19" s="17"/>
      <c r="U19" s="70"/>
      <c r="V19" s="11"/>
      <c r="W19" s="94"/>
      <c r="X19" s="12"/>
      <c r="Y19" s="11"/>
    </row>
    <row r="20" spans="2:25" x14ac:dyDescent="0.25">
      <c r="B20" s="12"/>
      <c r="C20" s="129"/>
      <c r="D20" s="94"/>
      <c r="E20" s="58" t="str">
        <f>IF(Mar[[#This Row],[Name]]="","",Mar[[#This Row],[March Weight (kg)]]/(VLOOKUP(Mar[[#This Row],[Name]],Overview[],2,FALSE)/100)^2)</f>
        <v/>
      </c>
      <c r="F20" s="58" t="str">
        <f>IF(Mar[[#This Row],[Name]]="","",IF(VLOOKUP(Mar[[#This Row],[Name]],Overview[],10,FALSE)="","N/A",Mar[[#This Row],[March Weight (kg)]]-VLOOKUP(Mar[[#This Row],[Name]],Overview[],10,FALSE)))</f>
        <v/>
      </c>
      <c r="G20" s="175" t="str">
        <f>IF(Mar[[#This Row],[Name]]="","",IF(VLOOKUP(Mar[[#This Row],[Name]],Overview[],10,FALSE)="","N/A",(Mar[[#This Row],[March Weight (kg)]]-VLOOKUP(Mar[[#This Row],[Name]],Overview[],10,FALSE))/VLOOKUP(Mar[[#This Row],[Name]],Overview[],10,FALSE)))</f>
        <v/>
      </c>
      <c r="H20" s="61" t="str" cm="1">
        <f t="array" ref="H20">IF(Mar[[#This Row],[Name]]="","",IF(SUMPRODUCT((Overview[Name]=Mar[[#This Row],[Name]])*ISNUMBER(Overview[[September Weight (kg)]:[December Weight (kg)]]))=0,"N/A",MAX(IF((Overview[Name]=Mar[[#This Row],[Name]])*ISNUMBER(Overview[[September Weight (kg)]:[December Weight (kg)]]),Overview[[September Weight (kg)]:[December Weight (kg)]]))))</f>
        <v/>
      </c>
      <c r="I20" s="57" t="str">
        <f>IF(Mar[[#This Row],[Name]]="","",IF(NOT(ISNUMBER(Mar[[#This Row],[Highest Weight in the Past 3 - 6 Months]])),"N/A",IF(Mar[[#This Row],[March Weight (kg)]]=Mar[[#This Row],[Highest Weight in the Past 3 - 6 Months]],0,Mar[[#This Row],[March Weight (kg)]]-Mar[[#This Row],[Highest Weight in the Past 3 - 6 Months]])))</f>
        <v/>
      </c>
      <c r="J20"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0" s="130"/>
      <c r="L20" s="131"/>
      <c r="M20"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0" s="64" t="str">
        <f>IF(Mar[[#This Row],[Name]]="","",IF(Mar[[#This Row],[March MUST Score ]]=0,"Low",IF(Mar[[#This Row],[March MUST Score ]]=1,"Medium","High")))</f>
        <v/>
      </c>
      <c r="O20" s="10"/>
      <c r="P20" s="70"/>
      <c r="Q20" s="12"/>
      <c r="R20" s="17"/>
      <c r="S20" s="10"/>
      <c r="T20" s="17"/>
      <c r="U20" s="70"/>
      <c r="V20" s="11"/>
      <c r="W20" s="94"/>
      <c r="X20" s="12"/>
      <c r="Y20" s="11"/>
    </row>
    <row r="21" spans="2:25" x14ac:dyDescent="0.25">
      <c r="B21" s="12"/>
      <c r="C21" s="129"/>
      <c r="D21" s="94"/>
      <c r="E21" s="58" t="str">
        <f>IF(Mar[[#This Row],[Name]]="","",Mar[[#This Row],[March Weight (kg)]]/(VLOOKUP(Mar[[#This Row],[Name]],Overview[],2,FALSE)/100)^2)</f>
        <v/>
      </c>
      <c r="F21" s="58" t="str">
        <f>IF(Mar[[#This Row],[Name]]="","",IF(VLOOKUP(Mar[[#This Row],[Name]],Overview[],10,FALSE)="","N/A",Mar[[#This Row],[March Weight (kg)]]-VLOOKUP(Mar[[#This Row],[Name]],Overview[],10,FALSE)))</f>
        <v/>
      </c>
      <c r="G21" s="175" t="str">
        <f>IF(Mar[[#This Row],[Name]]="","",IF(VLOOKUP(Mar[[#This Row],[Name]],Overview[],10,FALSE)="","N/A",(Mar[[#This Row],[March Weight (kg)]]-VLOOKUP(Mar[[#This Row],[Name]],Overview[],10,FALSE))/VLOOKUP(Mar[[#This Row],[Name]],Overview[],10,FALSE)))</f>
        <v/>
      </c>
      <c r="H21" s="61" t="str" cm="1">
        <f t="array" ref="H21">IF(Mar[[#This Row],[Name]]="","",IF(SUMPRODUCT((Overview[Name]=Mar[[#This Row],[Name]])*ISNUMBER(Overview[[September Weight (kg)]:[December Weight (kg)]]))=0,"N/A",MAX(IF((Overview[Name]=Mar[[#This Row],[Name]])*ISNUMBER(Overview[[September Weight (kg)]:[December Weight (kg)]]),Overview[[September Weight (kg)]:[December Weight (kg)]]))))</f>
        <v/>
      </c>
      <c r="I21" s="57" t="str">
        <f>IF(Mar[[#This Row],[Name]]="","",IF(NOT(ISNUMBER(Mar[[#This Row],[Highest Weight in the Past 3 - 6 Months]])),"N/A",IF(Mar[[#This Row],[March Weight (kg)]]=Mar[[#This Row],[Highest Weight in the Past 3 - 6 Months]],0,Mar[[#This Row],[March Weight (kg)]]-Mar[[#This Row],[Highest Weight in the Past 3 - 6 Months]])))</f>
        <v/>
      </c>
      <c r="J21"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1" s="130"/>
      <c r="L21" s="131"/>
      <c r="M21"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1" s="64" t="str">
        <f>IF(Mar[[#This Row],[Name]]="","",IF(Mar[[#This Row],[March MUST Score ]]=0,"Low",IF(Mar[[#This Row],[March MUST Score ]]=1,"Medium","High")))</f>
        <v/>
      </c>
      <c r="O21" s="10"/>
      <c r="P21" s="70"/>
      <c r="Q21" s="12"/>
      <c r="R21" s="17"/>
      <c r="S21" s="10"/>
      <c r="T21" s="17"/>
      <c r="U21" s="70"/>
      <c r="V21" s="11"/>
      <c r="W21" s="94"/>
      <c r="X21" s="12"/>
      <c r="Y21" s="11"/>
    </row>
    <row r="22" spans="2:25" x14ac:dyDescent="0.25">
      <c r="B22" s="12"/>
      <c r="C22" s="129"/>
      <c r="D22" s="94"/>
      <c r="E22" s="58" t="str">
        <f>IF(Mar[[#This Row],[Name]]="","",Mar[[#This Row],[March Weight (kg)]]/(VLOOKUP(Mar[[#This Row],[Name]],Overview[],2,FALSE)/100)^2)</f>
        <v/>
      </c>
      <c r="F22" s="58" t="str">
        <f>IF(Mar[[#This Row],[Name]]="","",IF(VLOOKUP(Mar[[#This Row],[Name]],Overview[],10,FALSE)="","N/A",Mar[[#This Row],[March Weight (kg)]]-VLOOKUP(Mar[[#This Row],[Name]],Overview[],10,FALSE)))</f>
        <v/>
      </c>
      <c r="G22" s="175" t="str">
        <f>IF(Mar[[#This Row],[Name]]="","",IF(VLOOKUP(Mar[[#This Row],[Name]],Overview[],10,FALSE)="","N/A",(Mar[[#This Row],[March Weight (kg)]]-VLOOKUP(Mar[[#This Row],[Name]],Overview[],10,FALSE))/VLOOKUP(Mar[[#This Row],[Name]],Overview[],10,FALSE)))</f>
        <v/>
      </c>
      <c r="H22" s="61" t="str" cm="1">
        <f t="array" ref="H22">IF(Mar[[#This Row],[Name]]="","",IF(SUMPRODUCT((Overview[Name]=Mar[[#This Row],[Name]])*ISNUMBER(Overview[[September Weight (kg)]:[December Weight (kg)]]))=0,"N/A",MAX(IF((Overview[Name]=Mar[[#This Row],[Name]])*ISNUMBER(Overview[[September Weight (kg)]:[December Weight (kg)]]),Overview[[September Weight (kg)]:[December Weight (kg)]]))))</f>
        <v/>
      </c>
      <c r="I22" s="57" t="str">
        <f>IF(Mar[[#This Row],[Name]]="","",IF(NOT(ISNUMBER(Mar[[#This Row],[Highest Weight in the Past 3 - 6 Months]])),"N/A",IF(Mar[[#This Row],[March Weight (kg)]]=Mar[[#This Row],[Highest Weight in the Past 3 - 6 Months]],0,Mar[[#This Row],[March Weight (kg)]]-Mar[[#This Row],[Highest Weight in the Past 3 - 6 Months]])))</f>
        <v/>
      </c>
      <c r="J22"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2" s="130"/>
      <c r="L22" s="131"/>
      <c r="M22"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2" s="64" t="str">
        <f>IF(Mar[[#This Row],[Name]]="","",IF(Mar[[#This Row],[March MUST Score ]]=0,"Low",IF(Mar[[#This Row],[March MUST Score ]]=1,"Medium","High")))</f>
        <v/>
      </c>
      <c r="O22" s="10"/>
      <c r="P22" s="70"/>
      <c r="Q22" s="12"/>
      <c r="R22" s="17"/>
      <c r="S22" s="10"/>
      <c r="T22" s="17"/>
      <c r="U22" s="70"/>
      <c r="V22" s="11"/>
      <c r="W22" s="94"/>
      <c r="X22" s="12"/>
      <c r="Y22" s="11"/>
    </row>
    <row r="23" spans="2:25" x14ac:dyDescent="0.25">
      <c r="B23" s="12"/>
      <c r="C23" s="129"/>
      <c r="D23" s="94"/>
      <c r="E23" s="58" t="str">
        <f>IF(Mar[[#This Row],[Name]]="","",Mar[[#This Row],[March Weight (kg)]]/(VLOOKUP(Mar[[#This Row],[Name]],Overview[],2,FALSE)/100)^2)</f>
        <v/>
      </c>
      <c r="F23" s="58" t="str">
        <f>IF(Mar[[#This Row],[Name]]="","",IF(VLOOKUP(Mar[[#This Row],[Name]],Overview[],10,FALSE)="","N/A",Mar[[#This Row],[March Weight (kg)]]-VLOOKUP(Mar[[#This Row],[Name]],Overview[],10,FALSE)))</f>
        <v/>
      </c>
      <c r="G23" s="175" t="str">
        <f>IF(Mar[[#This Row],[Name]]="","",IF(VLOOKUP(Mar[[#This Row],[Name]],Overview[],10,FALSE)="","N/A",(Mar[[#This Row],[March Weight (kg)]]-VLOOKUP(Mar[[#This Row],[Name]],Overview[],10,FALSE))/VLOOKUP(Mar[[#This Row],[Name]],Overview[],10,FALSE)))</f>
        <v/>
      </c>
      <c r="H23" s="61" t="str" cm="1">
        <f t="array" ref="H23">IF(Mar[[#This Row],[Name]]="","",IF(SUMPRODUCT((Overview[Name]=Mar[[#This Row],[Name]])*ISNUMBER(Overview[[September Weight (kg)]:[December Weight (kg)]]))=0,"N/A",MAX(IF((Overview[Name]=Mar[[#This Row],[Name]])*ISNUMBER(Overview[[September Weight (kg)]:[December Weight (kg)]]),Overview[[September Weight (kg)]:[December Weight (kg)]]))))</f>
        <v/>
      </c>
      <c r="I23" s="57" t="str">
        <f>IF(Mar[[#This Row],[Name]]="","",IF(NOT(ISNUMBER(Mar[[#This Row],[Highest Weight in the Past 3 - 6 Months]])),"N/A",IF(Mar[[#This Row],[March Weight (kg)]]=Mar[[#This Row],[Highest Weight in the Past 3 - 6 Months]],0,Mar[[#This Row],[March Weight (kg)]]-Mar[[#This Row],[Highest Weight in the Past 3 - 6 Months]])))</f>
        <v/>
      </c>
      <c r="J23"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3" s="130"/>
      <c r="L23" s="131"/>
      <c r="M23"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3" s="64" t="str">
        <f>IF(Mar[[#This Row],[Name]]="","",IF(Mar[[#This Row],[March MUST Score ]]=0,"Low",IF(Mar[[#This Row],[March MUST Score ]]=1,"Medium","High")))</f>
        <v/>
      </c>
      <c r="O23" s="10"/>
      <c r="P23" s="70"/>
      <c r="Q23" s="12"/>
      <c r="R23" s="17"/>
      <c r="S23" s="10"/>
      <c r="T23" s="17"/>
      <c r="U23" s="70"/>
      <c r="V23" s="11"/>
      <c r="W23" s="94"/>
      <c r="X23" s="12"/>
      <c r="Y23" s="11"/>
    </row>
    <row r="24" spans="2:25" x14ac:dyDescent="0.25">
      <c r="B24" s="12"/>
      <c r="C24" s="129"/>
      <c r="D24" s="94"/>
      <c r="E24" s="58" t="str">
        <f>IF(Mar[[#This Row],[Name]]="","",Mar[[#This Row],[March Weight (kg)]]/(VLOOKUP(Mar[[#This Row],[Name]],Overview[],2,FALSE)/100)^2)</f>
        <v/>
      </c>
      <c r="F24" s="58" t="str">
        <f>IF(Mar[[#This Row],[Name]]="","",IF(VLOOKUP(Mar[[#This Row],[Name]],Overview[],10,FALSE)="","N/A",Mar[[#This Row],[March Weight (kg)]]-VLOOKUP(Mar[[#This Row],[Name]],Overview[],10,FALSE)))</f>
        <v/>
      </c>
      <c r="G24" s="175" t="str">
        <f>IF(Mar[[#This Row],[Name]]="","",IF(VLOOKUP(Mar[[#This Row],[Name]],Overview[],10,FALSE)="","N/A",(Mar[[#This Row],[March Weight (kg)]]-VLOOKUP(Mar[[#This Row],[Name]],Overview[],10,FALSE))/VLOOKUP(Mar[[#This Row],[Name]],Overview[],10,FALSE)))</f>
        <v/>
      </c>
      <c r="H24" s="61" t="str" cm="1">
        <f t="array" ref="H24">IF(Mar[[#This Row],[Name]]="","",IF(SUMPRODUCT((Overview[Name]=Mar[[#This Row],[Name]])*ISNUMBER(Overview[[September Weight (kg)]:[December Weight (kg)]]))=0,"N/A",MAX(IF((Overview[Name]=Mar[[#This Row],[Name]])*ISNUMBER(Overview[[September Weight (kg)]:[December Weight (kg)]]),Overview[[September Weight (kg)]:[December Weight (kg)]]))))</f>
        <v/>
      </c>
      <c r="I24" s="57" t="str">
        <f>IF(Mar[[#This Row],[Name]]="","",IF(NOT(ISNUMBER(Mar[[#This Row],[Highest Weight in the Past 3 - 6 Months]])),"N/A",IF(Mar[[#This Row],[March Weight (kg)]]=Mar[[#This Row],[Highest Weight in the Past 3 - 6 Months]],0,Mar[[#This Row],[March Weight (kg)]]-Mar[[#This Row],[Highest Weight in the Past 3 - 6 Months]])))</f>
        <v/>
      </c>
      <c r="J24"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4" s="130"/>
      <c r="L24" s="131"/>
      <c r="M24"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4" s="64" t="str">
        <f>IF(Mar[[#This Row],[Name]]="","",IF(Mar[[#This Row],[March MUST Score ]]=0,"Low",IF(Mar[[#This Row],[March MUST Score ]]=1,"Medium","High")))</f>
        <v/>
      </c>
      <c r="O24" s="10"/>
      <c r="P24" s="70"/>
      <c r="Q24" s="12"/>
      <c r="R24" s="17"/>
      <c r="S24" s="10"/>
      <c r="T24" s="17"/>
      <c r="U24" s="70"/>
      <c r="V24" s="11"/>
      <c r="W24" s="94"/>
      <c r="X24" s="12"/>
      <c r="Y24" s="11"/>
    </row>
    <row r="25" spans="2:25" x14ac:dyDescent="0.25">
      <c r="B25" s="12"/>
      <c r="C25" s="129"/>
      <c r="D25" s="94"/>
      <c r="E25" s="58" t="str">
        <f>IF(Mar[[#This Row],[Name]]="","",Mar[[#This Row],[March Weight (kg)]]/(VLOOKUP(Mar[[#This Row],[Name]],Overview[],2,FALSE)/100)^2)</f>
        <v/>
      </c>
      <c r="F25" s="58" t="str">
        <f>IF(Mar[[#This Row],[Name]]="","",IF(VLOOKUP(Mar[[#This Row],[Name]],Overview[],10,FALSE)="","N/A",Mar[[#This Row],[March Weight (kg)]]-VLOOKUP(Mar[[#This Row],[Name]],Overview[],10,FALSE)))</f>
        <v/>
      </c>
      <c r="G25" s="175" t="str">
        <f>IF(Mar[[#This Row],[Name]]="","",IF(VLOOKUP(Mar[[#This Row],[Name]],Overview[],10,FALSE)="","N/A",(Mar[[#This Row],[March Weight (kg)]]-VLOOKUP(Mar[[#This Row],[Name]],Overview[],10,FALSE))/VLOOKUP(Mar[[#This Row],[Name]],Overview[],10,FALSE)))</f>
        <v/>
      </c>
      <c r="H25" s="61" t="str" cm="1">
        <f t="array" ref="H25">IF(Mar[[#This Row],[Name]]="","",IF(SUMPRODUCT((Overview[Name]=Mar[[#This Row],[Name]])*ISNUMBER(Overview[[September Weight (kg)]:[December Weight (kg)]]))=0,"N/A",MAX(IF((Overview[Name]=Mar[[#This Row],[Name]])*ISNUMBER(Overview[[September Weight (kg)]:[December Weight (kg)]]),Overview[[September Weight (kg)]:[December Weight (kg)]]))))</f>
        <v/>
      </c>
      <c r="I25" s="57" t="str">
        <f>IF(Mar[[#This Row],[Name]]="","",IF(NOT(ISNUMBER(Mar[[#This Row],[Highest Weight in the Past 3 - 6 Months]])),"N/A",IF(Mar[[#This Row],[March Weight (kg)]]=Mar[[#This Row],[Highest Weight in the Past 3 - 6 Months]],0,Mar[[#This Row],[March Weight (kg)]]-Mar[[#This Row],[Highest Weight in the Past 3 - 6 Months]])))</f>
        <v/>
      </c>
      <c r="J25"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5" s="130"/>
      <c r="L25" s="131"/>
      <c r="M25"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5" s="64" t="str">
        <f>IF(Mar[[#This Row],[Name]]="","",IF(Mar[[#This Row],[March MUST Score ]]=0,"Low",IF(Mar[[#This Row],[March MUST Score ]]=1,"Medium","High")))</f>
        <v/>
      </c>
      <c r="O25" s="10"/>
      <c r="P25" s="70"/>
      <c r="Q25" s="12"/>
      <c r="R25" s="17"/>
      <c r="S25" s="10"/>
      <c r="T25" s="17"/>
      <c r="U25" s="70"/>
      <c r="V25" s="11"/>
      <c r="W25" s="94"/>
      <c r="X25" s="12"/>
      <c r="Y25" s="11"/>
    </row>
    <row r="26" spans="2:25" x14ac:dyDescent="0.25">
      <c r="B26" s="12"/>
      <c r="C26" s="129"/>
      <c r="D26" s="94"/>
      <c r="E26" s="58" t="str">
        <f>IF(Mar[[#This Row],[Name]]="","",Mar[[#This Row],[March Weight (kg)]]/(VLOOKUP(Mar[[#This Row],[Name]],Overview[],2,FALSE)/100)^2)</f>
        <v/>
      </c>
      <c r="F26" s="58" t="str">
        <f>IF(Mar[[#This Row],[Name]]="","",IF(VLOOKUP(Mar[[#This Row],[Name]],Overview[],10,FALSE)="","N/A",Mar[[#This Row],[March Weight (kg)]]-VLOOKUP(Mar[[#This Row],[Name]],Overview[],10,FALSE)))</f>
        <v/>
      </c>
      <c r="G26" s="175" t="str">
        <f>IF(Mar[[#This Row],[Name]]="","",IF(VLOOKUP(Mar[[#This Row],[Name]],Overview[],10,FALSE)="","N/A",(Mar[[#This Row],[March Weight (kg)]]-VLOOKUP(Mar[[#This Row],[Name]],Overview[],10,FALSE))/VLOOKUP(Mar[[#This Row],[Name]],Overview[],10,FALSE)))</f>
        <v/>
      </c>
      <c r="H26" s="61" t="str" cm="1">
        <f t="array" ref="H26">IF(Mar[[#This Row],[Name]]="","",IF(SUMPRODUCT((Overview[Name]=Mar[[#This Row],[Name]])*ISNUMBER(Overview[[September Weight (kg)]:[December Weight (kg)]]))=0,"N/A",MAX(IF((Overview[Name]=Mar[[#This Row],[Name]])*ISNUMBER(Overview[[September Weight (kg)]:[December Weight (kg)]]),Overview[[September Weight (kg)]:[December Weight (kg)]]))))</f>
        <v/>
      </c>
      <c r="I26" s="57" t="str">
        <f>IF(Mar[[#This Row],[Name]]="","",IF(NOT(ISNUMBER(Mar[[#This Row],[Highest Weight in the Past 3 - 6 Months]])),"N/A",IF(Mar[[#This Row],[March Weight (kg)]]=Mar[[#This Row],[Highest Weight in the Past 3 - 6 Months]],0,Mar[[#This Row],[March Weight (kg)]]-Mar[[#This Row],[Highest Weight in the Past 3 - 6 Months]])))</f>
        <v/>
      </c>
      <c r="J26"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6" s="130"/>
      <c r="L26" s="131"/>
      <c r="M26"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6" s="64" t="str">
        <f>IF(Mar[[#This Row],[Name]]="","",IF(Mar[[#This Row],[March MUST Score ]]=0,"Low",IF(Mar[[#This Row],[March MUST Score ]]=1,"Medium","High")))</f>
        <v/>
      </c>
      <c r="O26" s="10"/>
      <c r="P26" s="70"/>
      <c r="Q26" s="12"/>
      <c r="R26" s="17"/>
      <c r="S26" s="10"/>
      <c r="T26" s="17"/>
      <c r="U26" s="70"/>
      <c r="V26" s="11"/>
      <c r="W26" s="94"/>
      <c r="X26" s="12"/>
      <c r="Y26" s="11"/>
    </row>
    <row r="27" spans="2:25" x14ac:dyDescent="0.25">
      <c r="B27" s="12"/>
      <c r="C27" s="129"/>
      <c r="D27" s="94"/>
      <c r="E27" s="58" t="str">
        <f>IF(Mar[[#This Row],[Name]]="","",Mar[[#This Row],[March Weight (kg)]]/(VLOOKUP(Mar[[#This Row],[Name]],Overview[],2,FALSE)/100)^2)</f>
        <v/>
      </c>
      <c r="F27" s="58" t="str">
        <f>IF(Mar[[#This Row],[Name]]="","",IF(VLOOKUP(Mar[[#This Row],[Name]],Overview[],10,FALSE)="","N/A",Mar[[#This Row],[March Weight (kg)]]-VLOOKUP(Mar[[#This Row],[Name]],Overview[],10,FALSE)))</f>
        <v/>
      </c>
      <c r="G27" s="175" t="str">
        <f>IF(Mar[[#This Row],[Name]]="","",IF(VLOOKUP(Mar[[#This Row],[Name]],Overview[],10,FALSE)="","N/A",(Mar[[#This Row],[March Weight (kg)]]-VLOOKUP(Mar[[#This Row],[Name]],Overview[],10,FALSE))/VLOOKUP(Mar[[#This Row],[Name]],Overview[],10,FALSE)))</f>
        <v/>
      </c>
      <c r="H27" s="61" t="str" cm="1">
        <f t="array" ref="H27">IF(Mar[[#This Row],[Name]]="","",IF(SUMPRODUCT((Overview[Name]=Mar[[#This Row],[Name]])*ISNUMBER(Overview[[September Weight (kg)]:[December Weight (kg)]]))=0,"N/A",MAX(IF((Overview[Name]=Mar[[#This Row],[Name]])*ISNUMBER(Overview[[September Weight (kg)]:[December Weight (kg)]]),Overview[[September Weight (kg)]:[December Weight (kg)]]))))</f>
        <v/>
      </c>
      <c r="I27" s="57" t="str">
        <f>IF(Mar[[#This Row],[Name]]="","",IF(NOT(ISNUMBER(Mar[[#This Row],[Highest Weight in the Past 3 - 6 Months]])),"N/A",IF(Mar[[#This Row],[March Weight (kg)]]=Mar[[#This Row],[Highest Weight in the Past 3 - 6 Months]],0,Mar[[#This Row],[March Weight (kg)]]-Mar[[#This Row],[Highest Weight in the Past 3 - 6 Months]])))</f>
        <v/>
      </c>
      <c r="J27"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7" s="130"/>
      <c r="L27" s="131"/>
      <c r="M27"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7" s="64" t="str">
        <f>IF(Mar[[#This Row],[Name]]="","",IF(Mar[[#This Row],[March MUST Score ]]=0,"Low",IF(Mar[[#This Row],[March MUST Score ]]=1,"Medium","High")))</f>
        <v/>
      </c>
      <c r="O27" s="10"/>
      <c r="P27" s="70"/>
      <c r="Q27" s="12"/>
      <c r="R27" s="17"/>
      <c r="S27" s="10"/>
      <c r="T27" s="17"/>
      <c r="U27" s="70"/>
      <c r="V27" s="11"/>
      <c r="W27" s="94"/>
      <c r="X27" s="12"/>
      <c r="Y27" s="11"/>
    </row>
    <row r="28" spans="2:25" x14ac:dyDescent="0.25">
      <c r="B28" s="12"/>
      <c r="C28" s="129"/>
      <c r="D28" s="94"/>
      <c r="E28" s="58" t="str">
        <f>IF(Mar[[#This Row],[Name]]="","",Mar[[#This Row],[March Weight (kg)]]/(VLOOKUP(Mar[[#This Row],[Name]],Overview[],2,FALSE)/100)^2)</f>
        <v/>
      </c>
      <c r="F28" s="58" t="str">
        <f>IF(Mar[[#This Row],[Name]]="","",IF(VLOOKUP(Mar[[#This Row],[Name]],Overview[],10,FALSE)="","N/A",Mar[[#This Row],[March Weight (kg)]]-VLOOKUP(Mar[[#This Row],[Name]],Overview[],10,FALSE)))</f>
        <v/>
      </c>
      <c r="G28" s="175" t="str">
        <f>IF(Mar[[#This Row],[Name]]="","",IF(VLOOKUP(Mar[[#This Row],[Name]],Overview[],10,FALSE)="","N/A",(Mar[[#This Row],[March Weight (kg)]]-VLOOKUP(Mar[[#This Row],[Name]],Overview[],10,FALSE))/VLOOKUP(Mar[[#This Row],[Name]],Overview[],10,FALSE)))</f>
        <v/>
      </c>
      <c r="H28" s="61" t="str" cm="1">
        <f t="array" ref="H28">IF(Mar[[#This Row],[Name]]="","",IF(SUMPRODUCT((Overview[Name]=Mar[[#This Row],[Name]])*ISNUMBER(Overview[[September Weight (kg)]:[December Weight (kg)]]))=0,"N/A",MAX(IF((Overview[Name]=Mar[[#This Row],[Name]])*ISNUMBER(Overview[[September Weight (kg)]:[December Weight (kg)]]),Overview[[September Weight (kg)]:[December Weight (kg)]]))))</f>
        <v/>
      </c>
      <c r="I28" s="57" t="str">
        <f>IF(Mar[[#This Row],[Name]]="","",IF(NOT(ISNUMBER(Mar[[#This Row],[Highest Weight in the Past 3 - 6 Months]])),"N/A",IF(Mar[[#This Row],[March Weight (kg)]]=Mar[[#This Row],[Highest Weight in the Past 3 - 6 Months]],0,Mar[[#This Row],[March Weight (kg)]]-Mar[[#This Row],[Highest Weight in the Past 3 - 6 Months]])))</f>
        <v/>
      </c>
      <c r="J28"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8" s="130"/>
      <c r="L28" s="131"/>
      <c r="M28"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8" s="64" t="str">
        <f>IF(Mar[[#This Row],[Name]]="","",IF(Mar[[#This Row],[March MUST Score ]]=0,"Low",IF(Mar[[#This Row],[March MUST Score ]]=1,"Medium","High")))</f>
        <v/>
      </c>
      <c r="O28" s="10"/>
      <c r="P28" s="70"/>
      <c r="Q28" s="12"/>
      <c r="R28" s="17"/>
      <c r="S28" s="10"/>
      <c r="T28" s="17"/>
      <c r="U28" s="70"/>
      <c r="V28" s="11"/>
      <c r="W28" s="94"/>
      <c r="X28" s="12"/>
      <c r="Y28" s="11"/>
    </row>
    <row r="29" spans="2:25" x14ac:dyDescent="0.25">
      <c r="B29" s="12"/>
      <c r="C29" s="129"/>
      <c r="D29" s="94"/>
      <c r="E29" s="58" t="str">
        <f>IF(Mar[[#This Row],[Name]]="","",Mar[[#This Row],[March Weight (kg)]]/(VLOOKUP(Mar[[#This Row],[Name]],Overview[],2,FALSE)/100)^2)</f>
        <v/>
      </c>
      <c r="F29" s="58" t="str">
        <f>IF(Mar[[#This Row],[Name]]="","",IF(VLOOKUP(Mar[[#This Row],[Name]],Overview[],10,FALSE)="","N/A",Mar[[#This Row],[March Weight (kg)]]-VLOOKUP(Mar[[#This Row],[Name]],Overview[],10,FALSE)))</f>
        <v/>
      </c>
      <c r="G29" s="175" t="str">
        <f>IF(Mar[[#This Row],[Name]]="","",IF(VLOOKUP(Mar[[#This Row],[Name]],Overview[],10,FALSE)="","N/A",(Mar[[#This Row],[March Weight (kg)]]-VLOOKUP(Mar[[#This Row],[Name]],Overview[],10,FALSE))/VLOOKUP(Mar[[#This Row],[Name]],Overview[],10,FALSE)))</f>
        <v/>
      </c>
      <c r="H29" s="61" t="str" cm="1">
        <f t="array" ref="H29">IF(Mar[[#This Row],[Name]]="","",IF(SUMPRODUCT((Overview[Name]=Mar[[#This Row],[Name]])*ISNUMBER(Overview[[September Weight (kg)]:[December Weight (kg)]]))=0,"N/A",MAX(IF((Overview[Name]=Mar[[#This Row],[Name]])*ISNUMBER(Overview[[September Weight (kg)]:[December Weight (kg)]]),Overview[[September Weight (kg)]:[December Weight (kg)]]))))</f>
        <v/>
      </c>
      <c r="I29" s="57" t="str">
        <f>IF(Mar[[#This Row],[Name]]="","",IF(NOT(ISNUMBER(Mar[[#This Row],[Highest Weight in the Past 3 - 6 Months]])),"N/A",IF(Mar[[#This Row],[March Weight (kg)]]=Mar[[#This Row],[Highest Weight in the Past 3 - 6 Months]],0,Mar[[#This Row],[March Weight (kg)]]-Mar[[#This Row],[Highest Weight in the Past 3 - 6 Months]])))</f>
        <v/>
      </c>
      <c r="J29"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29" s="130"/>
      <c r="L29" s="131"/>
      <c r="M29"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29" s="64" t="str">
        <f>IF(Mar[[#This Row],[Name]]="","",IF(Mar[[#This Row],[March MUST Score ]]=0,"Low",IF(Mar[[#This Row],[March MUST Score ]]=1,"Medium","High")))</f>
        <v/>
      </c>
      <c r="O29" s="10"/>
      <c r="P29" s="70"/>
      <c r="Q29" s="12"/>
      <c r="R29" s="17"/>
      <c r="S29" s="10"/>
      <c r="T29" s="17"/>
      <c r="U29" s="70"/>
      <c r="V29" s="11"/>
      <c r="W29" s="94"/>
      <c r="X29" s="12"/>
      <c r="Y29" s="11"/>
    </row>
    <row r="30" spans="2:25" x14ac:dyDescent="0.25">
      <c r="B30" s="12"/>
      <c r="C30" s="129"/>
      <c r="D30" s="94"/>
      <c r="E30" s="58" t="str">
        <f>IF(Mar[[#This Row],[Name]]="","",Mar[[#This Row],[March Weight (kg)]]/(VLOOKUP(Mar[[#This Row],[Name]],Overview[],2,FALSE)/100)^2)</f>
        <v/>
      </c>
      <c r="F30" s="58" t="str">
        <f>IF(Mar[[#This Row],[Name]]="","",IF(VLOOKUP(Mar[[#This Row],[Name]],Overview[],10,FALSE)="","N/A",Mar[[#This Row],[March Weight (kg)]]-VLOOKUP(Mar[[#This Row],[Name]],Overview[],10,FALSE)))</f>
        <v/>
      </c>
      <c r="G30" s="175" t="str">
        <f>IF(Mar[[#This Row],[Name]]="","",IF(VLOOKUP(Mar[[#This Row],[Name]],Overview[],10,FALSE)="","N/A",(Mar[[#This Row],[March Weight (kg)]]-VLOOKUP(Mar[[#This Row],[Name]],Overview[],10,FALSE))/VLOOKUP(Mar[[#This Row],[Name]],Overview[],10,FALSE)))</f>
        <v/>
      </c>
      <c r="H30" s="61" t="str" cm="1">
        <f t="array" ref="H30">IF(Mar[[#This Row],[Name]]="","",IF(SUMPRODUCT((Overview[Name]=Mar[[#This Row],[Name]])*ISNUMBER(Overview[[September Weight (kg)]:[December Weight (kg)]]))=0,"N/A",MAX(IF((Overview[Name]=Mar[[#This Row],[Name]])*ISNUMBER(Overview[[September Weight (kg)]:[December Weight (kg)]]),Overview[[September Weight (kg)]:[December Weight (kg)]]))))</f>
        <v/>
      </c>
      <c r="I30" s="57" t="str">
        <f>IF(Mar[[#This Row],[Name]]="","",IF(NOT(ISNUMBER(Mar[[#This Row],[Highest Weight in the Past 3 - 6 Months]])),"N/A",IF(Mar[[#This Row],[March Weight (kg)]]=Mar[[#This Row],[Highest Weight in the Past 3 - 6 Months]],0,Mar[[#This Row],[March Weight (kg)]]-Mar[[#This Row],[Highest Weight in the Past 3 - 6 Months]])))</f>
        <v/>
      </c>
      <c r="J30"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0" s="130"/>
      <c r="L30" s="131"/>
      <c r="M30"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0" s="64" t="str">
        <f>IF(Mar[[#This Row],[Name]]="","",IF(Mar[[#This Row],[March MUST Score ]]=0,"Low",IF(Mar[[#This Row],[March MUST Score ]]=1,"Medium","High")))</f>
        <v/>
      </c>
      <c r="O30" s="10"/>
      <c r="P30" s="70"/>
      <c r="Q30" s="12"/>
      <c r="R30" s="17"/>
      <c r="S30" s="10"/>
      <c r="T30" s="17"/>
      <c r="U30" s="70"/>
      <c r="V30" s="11"/>
      <c r="W30" s="94"/>
      <c r="X30" s="12"/>
      <c r="Y30" s="11"/>
    </row>
    <row r="31" spans="2:25" x14ac:dyDescent="0.25">
      <c r="B31" s="12"/>
      <c r="C31" s="129"/>
      <c r="D31" s="94"/>
      <c r="E31" s="58" t="str">
        <f>IF(Mar[[#This Row],[Name]]="","",Mar[[#This Row],[March Weight (kg)]]/(VLOOKUP(Mar[[#This Row],[Name]],Overview[],2,FALSE)/100)^2)</f>
        <v/>
      </c>
      <c r="F31" s="58" t="str">
        <f>IF(Mar[[#This Row],[Name]]="","",IF(VLOOKUP(Mar[[#This Row],[Name]],Overview[],10,FALSE)="","N/A",Mar[[#This Row],[March Weight (kg)]]-VLOOKUP(Mar[[#This Row],[Name]],Overview[],10,FALSE)))</f>
        <v/>
      </c>
      <c r="G31" s="175" t="str">
        <f>IF(Mar[[#This Row],[Name]]="","",IF(VLOOKUP(Mar[[#This Row],[Name]],Overview[],10,FALSE)="","N/A",(Mar[[#This Row],[March Weight (kg)]]-VLOOKUP(Mar[[#This Row],[Name]],Overview[],10,FALSE))/VLOOKUP(Mar[[#This Row],[Name]],Overview[],10,FALSE)))</f>
        <v/>
      </c>
      <c r="H31" s="61" t="str" cm="1">
        <f t="array" ref="H31">IF(Mar[[#This Row],[Name]]="","",IF(SUMPRODUCT((Overview[Name]=Mar[[#This Row],[Name]])*ISNUMBER(Overview[[September Weight (kg)]:[December Weight (kg)]]))=0,"N/A",MAX(IF((Overview[Name]=Mar[[#This Row],[Name]])*ISNUMBER(Overview[[September Weight (kg)]:[December Weight (kg)]]),Overview[[September Weight (kg)]:[December Weight (kg)]]))))</f>
        <v/>
      </c>
      <c r="I31" s="57" t="str">
        <f>IF(Mar[[#This Row],[Name]]="","",IF(NOT(ISNUMBER(Mar[[#This Row],[Highest Weight in the Past 3 - 6 Months]])),"N/A",IF(Mar[[#This Row],[March Weight (kg)]]=Mar[[#This Row],[Highest Weight in the Past 3 - 6 Months]],0,Mar[[#This Row],[March Weight (kg)]]-Mar[[#This Row],[Highest Weight in the Past 3 - 6 Months]])))</f>
        <v/>
      </c>
      <c r="J31"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1" s="130"/>
      <c r="L31" s="131"/>
      <c r="M31"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1" s="64" t="str">
        <f>IF(Mar[[#This Row],[Name]]="","",IF(Mar[[#This Row],[March MUST Score ]]=0,"Low",IF(Mar[[#This Row],[March MUST Score ]]=1,"Medium","High")))</f>
        <v/>
      </c>
      <c r="O31" s="10"/>
      <c r="P31" s="70"/>
      <c r="Q31" s="12"/>
      <c r="R31" s="17"/>
      <c r="S31" s="10"/>
      <c r="T31" s="17"/>
      <c r="U31" s="70"/>
      <c r="V31" s="11"/>
      <c r="W31" s="94"/>
      <c r="X31" s="12"/>
      <c r="Y31" s="11"/>
    </row>
    <row r="32" spans="2:25" x14ac:dyDescent="0.25">
      <c r="B32" s="12"/>
      <c r="C32" s="129"/>
      <c r="D32" s="94"/>
      <c r="E32" s="58" t="str">
        <f>IF(Mar[[#This Row],[Name]]="","",Mar[[#This Row],[March Weight (kg)]]/(VLOOKUP(Mar[[#This Row],[Name]],Overview[],2,FALSE)/100)^2)</f>
        <v/>
      </c>
      <c r="F32" s="58" t="str">
        <f>IF(Mar[[#This Row],[Name]]="","",IF(VLOOKUP(Mar[[#This Row],[Name]],Overview[],10,FALSE)="","N/A",Mar[[#This Row],[March Weight (kg)]]-VLOOKUP(Mar[[#This Row],[Name]],Overview[],10,FALSE)))</f>
        <v/>
      </c>
      <c r="G32" s="175" t="str">
        <f>IF(Mar[[#This Row],[Name]]="","",IF(VLOOKUP(Mar[[#This Row],[Name]],Overview[],10,FALSE)="","N/A",(Mar[[#This Row],[March Weight (kg)]]-VLOOKUP(Mar[[#This Row],[Name]],Overview[],10,FALSE))/VLOOKUP(Mar[[#This Row],[Name]],Overview[],10,FALSE)))</f>
        <v/>
      </c>
      <c r="H32" s="61" t="str" cm="1">
        <f t="array" ref="H32">IF(Mar[[#This Row],[Name]]="","",IF(SUMPRODUCT((Overview[Name]=Mar[[#This Row],[Name]])*ISNUMBER(Overview[[September Weight (kg)]:[December Weight (kg)]]))=0,"N/A",MAX(IF((Overview[Name]=Mar[[#This Row],[Name]])*ISNUMBER(Overview[[September Weight (kg)]:[December Weight (kg)]]),Overview[[September Weight (kg)]:[December Weight (kg)]]))))</f>
        <v/>
      </c>
      <c r="I32" s="57" t="str">
        <f>IF(Mar[[#This Row],[Name]]="","",IF(NOT(ISNUMBER(Mar[[#This Row],[Highest Weight in the Past 3 - 6 Months]])),"N/A",IF(Mar[[#This Row],[March Weight (kg)]]=Mar[[#This Row],[Highest Weight in the Past 3 - 6 Months]],0,Mar[[#This Row],[March Weight (kg)]]-Mar[[#This Row],[Highest Weight in the Past 3 - 6 Months]])))</f>
        <v/>
      </c>
      <c r="J32"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2" s="130"/>
      <c r="L32" s="131"/>
      <c r="M32"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2" s="64" t="str">
        <f>IF(Mar[[#This Row],[Name]]="","",IF(Mar[[#This Row],[March MUST Score ]]=0,"Low",IF(Mar[[#This Row],[March MUST Score ]]=1,"Medium","High")))</f>
        <v/>
      </c>
      <c r="O32" s="10"/>
      <c r="P32" s="70"/>
      <c r="Q32" s="12"/>
      <c r="R32" s="17"/>
      <c r="S32" s="10"/>
      <c r="T32" s="17"/>
      <c r="U32" s="70"/>
      <c r="V32" s="11"/>
      <c r="W32" s="94"/>
      <c r="X32" s="12"/>
      <c r="Y32" s="11"/>
    </row>
    <row r="33" spans="2:25" x14ac:dyDescent="0.25">
      <c r="B33" s="12"/>
      <c r="C33" s="129"/>
      <c r="D33" s="94"/>
      <c r="E33" s="58" t="str">
        <f>IF(Mar[[#This Row],[Name]]="","",Mar[[#This Row],[March Weight (kg)]]/(VLOOKUP(Mar[[#This Row],[Name]],Overview[],2,FALSE)/100)^2)</f>
        <v/>
      </c>
      <c r="F33" s="58" t="str">
        <f>IF(Mar[[#This Row],[Name]]="","",IF(VLOOKUP(Mar[[#This Row],[Name]],Overview[],10,FALSE)="","N/A",Mar[[#This Row],[March Weight (kg)]]-VLOOKUP(Mar[[#This Row],[Name]],Overview[],10,FALSE)))</f>
        <v/>
      </c>
      <c r="G33" s="175" t="str">
        <f>IF(Mar[[#This Row],[Name]]="","",IF(VLOOKUP(Mar[[#This Row],[Name]],Overview[],10,FALSE)="","N/A",(Mar[[#This Row],[March Weight (kg)]]-VLOOKUP(Mar[[#This Row],[Name]],Overview[],10,FALSE))/VLOOKUP(Mar[[#This Row],[Name]],Overview[],10,FALSE)))</f>
        <v/>
      </c>
      <c r="H33" s="61" t="str" cm="1">
        <f t="array" ref="H33">IF(Mar[[#This Row],[Name]]="","",IF(SUMPRODUCT((Overview[Name]=Mar[[#This Row],[Name]])*ISNUMBER(Overview[[September Weight (kg)]:[December Weight (kg)]]))=0,"N/A",MAX(IF((Overview[Name]=Mar[[#This Row],[Name]])*ISNUMBER(Overview[[September Weight (kg)]:[December Weight (kg)]]),Overview[[September Weight (kg)]:[December Weight (kg)]]))))</f>
        <v/>
      </c>
      <c r="I33" s="57" t="str">
        <f>IF(Mar[[#This Row],[Name]]="","",IF(NOT(ISNUMBER(Mar[[#This Row],[Highest Weight in the Past 3 - 6 Months]])),"N/A",IF(Mar[[#This Row],[March Weight (kg)]]=Mar[[#This Row],[Highest Weight in the Past 3 - 6 Months]],0,Mar[[#This Row],[March Weight (kg)]]-Mar[[#This Row],[Highest Weight in the Past 3 - 6 Months]])))</f>
        <v/>
      </c>
      <c r="J33"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3" s="130"/>
      <c r="L33" s="131"/>
      <c r="M33"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3" s="64" t="str">
        <f>IF(Mar[[#This Row],[Name]]="","",IF(Mar[[#This Row],[March MUST Score ]]=0,"Low",IF(Mar[[#This Row],[March MUST Score ]]=1,"Medium","High")))</f>
        <v/>
      </c>
      <c r="O33" s="10"/>
      <c r="P33" s="70"/>
      <c r="Q33" s="12"/>
      <c r="R33" s="17"/>
      <c r="S33" s="10"/>
      <c r="T33" s="17"/>
      <c r="U33" s="70"/>
      <c r="V33" s="11"/>
      <c r="W33" s="94"/>
      <c r="X33" s="12"/>
      <c r="Y33" s="11"/>
    </row>
    <row r="34" spans="2:25" x14ac:dyDescent="0.25">
      <c r="B34" s="12"/>
      <c r="C34" s="129"/>
      <c r="D34" s="94"/>
      <c r="E34" s="58" t="str">
        <f>IF(Mar[[#This Row],[Name]]="","",Mar[[#This Row],[March Weight (kg)]]/(VLOOKUP(Mar[[#This Row],[Name]],Overview[],2,FALSE)/100)^2)</f>
        <v/>
      </c>
      <c r="F34" s="58" t="str">
        <f>IF(Mar[[#This Row],[Name]]="","",IF(VLOOKUP(Mar[[#This Row],[Name]],Overview[],10,FALSE)="","N/A",Mar[[#This Row],[March Weight (kg)]]-VLOOKUP(Mar[[#This Row],[Name]],Overview[],10,FALSE)))</f>
        <v/>
      </c>
      <c r="G34" s="175" t="str">
        <f>IF(Mar[[#This Row],[Name]]="","",IF(VLOOKUP(Mar[[#This Row],[Name]],Overview[],10,FALSE)="","N/A",(Mar[[#This Row],[March Weight (kg)]]-VLOOKUP(Mar[[#This Row],[Name]],Overview[],10,FALSE))/VLOOKUP(Mar[[#This Row],[Name]],Overview[],10,FALSE)))</f>
        <v/>
      </c>
      <c r="H34" s="61" t="str" cm="1">
        <f t="array" ref="H34">IF(Mar[[#This Row],[Name]]="","",IF(SUMPRODUCT((Overview[Name]=Mar[[#This Row],[Name]])*ISNUMBER(Overview[[September Weight (kg)]:[December Weight (kg)]]))=0,"N/A",MAX(IF((Overview[Name]=Mar[[#This Row],[Name]])*ISNUMBER(Overview[[September Weight (kg)]:[December Weight (kg)]]),Overview[[September Weight (kg)]:[December Weight (kg)]]))))</f>
        <v/>
      </c>
      <c r="I34" s="57" t="str">
        <f>IF(Mar[[#This Row],[Name]]="","",IF(NOT(ISNUMBER(Mar[[#This Row],[Highest Weight in the Past 3 - 6 Months]])),"N/A",IF(Mar[[#This Row],[March Weight (kg)]]=Mar[[#This Row],[Highest Weight in the Past 3 - 6 Months]],0,Mar[[#This Row],[March Weight (kg)]]-Mar[[#This Row],[Highest Weight in the Past 3 - 6 Months]])))</f>
        <v/>
      </c>
      <c r="J34"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4" s="130"/>
      <c r="L34" s="131"/>
      <c r="M34"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4" s="64" t="str">
        <f>IF(Mar[[#This Row],[Name]]="","",IF(Mar[[#This Row],[March MUST Score ]]=0,"Low",IF(Mar[[#This Row],[March MUST Score ]]=1,"Medium","High")))</f>
        <v/>
      </c>
      <c r="O34" s="10"/>
      <c r="P34" s="70"/>
      <c r="Q34" s="12"/>
      <c r="R34" s="17"/>
      <c r="S34" s="10"/>
      <c r="T34" s="17"/>
      <c r="U34" s="70"/>
      <c r="V34" s="11"/>
      <c r="W34" s="94"/>
      <c r="X34" s="12"/>
      <c r="Y34" s="11"/>
    </row>
    <row r="35" spans="2:25" x14ac:dyDescent="0.25">
      <c r="B35" s="12"/>
      <c r="C35" s="129"/>
      <c r="D35" s="94"/>
      <c r="E35" s="58" t="str">
        <f>IF(Mar[[#This Row],[Name]]="","",Mar[[#This Row],[March Weight (kg)]]/(VLOOKUP(Mar[[#This Row],[Name]],Overview[],2,FALSE)/100)^2)</f>
        <v/>
      </c>
      <c r="F35" s="58" t="str">
        <f>IF(Mar[[#This Row],[Name]]="","",IF(VLOOKUP(Mar[[#This Row],[Name]],Overview[],10,FALSE)="","N/A",Mar[[#This Row],[March Weight (kg)]]-VLOOKUP(Mar[[#This Row],[Name]],Overview[],10,FALSE)))</f>
        <v/>
      </c>
      <c r="G35" s="175" t="str">
        <f>IF(Mar[[#This Row],[Name]]="","",IF(VLOOKUP(Mar[[#This Row],[Name]],Overview[],10,FALSE)="","N/A",(Mar[[#This Row],[March Weight (kg)]]-VLOOKUP(Mar[[#This Row],[Name]],Overview[],10,FALSE))/VLOOKUP(Mar[[#This Row],[Name]],Overview[],10,FALSE)))</f>
        <v/>
      </c>
      <c r="H35" s="61" t="str" cm="1">
        <f t="array" ref="H35">IF(Mar[[#This Row],[Name]]="","",IF(SUMPRODUCT((Overview[Name]=Mar[[#This Row],[Name]])*ISNUMBER(Overview[[September Weight (kg)]:[December Weight (kg)]]))=0,"N/A",MAX(IF((Overview[Name]=Mar[[#This Row],[Name]])*ISNUMBER(Overview[[September Weight (kg)]:[December Weight (kg)]]),Overview[[September Weight (kg)]:[December Weight (kg)]]))))</f>
        <v/>
      </c>
      <c r="I35" s="57" t="str">
        <f>IF(Mar[[#This Row],[Name]]="","",IF(NOT(ISNUMBER(Mar[[#This Row],[Highest Weight in the Past 3 - 6 Months]])),"N/A",IF(Mar[[#This Row],[March Weight (kg)]]=Mar[[#This Row],[Highest Weight in the Past 3 - 6 Months]],0,Mar[[#This Row],[March Weight (kg)]]-Mar[[#This Row],[Highest Weight in the Past 3 - 6 Months]])))</f>
        <v/>
      </c>
      <c r="J35"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5" s="130"/>
      <c r="L35" s="131"/>
      <c r="M35"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5" s="64" t="str">
        <f>IF(Mar[[#This Row],[Name]]="","",IF(Mar[[#This Row],[March MUST Score ]]=0,"Low",IF(Mar[[#This Row],[March MUST Score ]]=1,"Medium","High")))</f>
        <v/>
      </c>
      <c r="O35" s="10"/>
      <c r="P35" s="70"/>
      <c r="Q35" s="12"/>
      <c r="R35" s="17"/>
      <c r="S35" s="10"/>
      <c r="T35" s="17"/>
      <c r="U35" s="70"/>
      <c r="V35" s="11"/>
      <c r="W35" s="94"/>
      <c r="X35" s="12"/>
      <c r="Y35" s="11"/>
    </row>
    <row r="36" spans="2:25" x14ac:dyDescent="0.25">
      <c r="B36" s="12"/>
      <c r="C36" s="129"/>
      <c r="D36" s="94"/>
      <c r="E36" s="58" t="str">
        <f>IF(Mar[[#This Row],[Name]]="","",Mar[[#This Row],[March Weight (kg)]]/(VLOOKUP(Mar[[#This Row],[Name]],Overview[],2,FALSE)/100)^2)</f>
        <v/>
      </c>
      <c r="F36" s="58" t="str">
        <f>IF(Mar[[#This Row],[Name]]="","",IF(VLOOKUP(Mar[[#This Row],[Name]],Overview[],10,FALSE)="","N/A",Mar[[#This Row],[March Weight (kg)]]-VLOOKUP(Mar[[#This Row],[Name]],Overview[],10,FALSE)))</f>
        <v/>
      </c>
      <c r="G36" s="175" t="str">
        <f>IF(Mar[[#This Row],[Name]]="","",IF(VLOOKUP(Mar[[#This Row],[Name]],Overview[],10,FALSE)="","N/A",(Mar[[#This Row],[March Weight (kg)]]-VLOOKUP(Mar[[#This Row],[Name]],Overview[],10,FALSE))/VLOOKUP(Mar[[#This Row],[Name]],Overview[],10,FALSE)))</f>
        <v/>
      </c>
      <c r="H36" s="61" t="str" cm="1">
        <f t="array" ref="H36">IF(Mar[[#This Row],[Name]]="","",IF(SUMPRODUCT((Overview[Name]=Mar[[#This Row],[Name]])*ISNUMBER(Overview[[September Weight (kg)]:[December Weight (kg)]]))=0,"N/A",MAX(IF((Overview[Name]=Mar[[#This Row],[Name]])*ISNUMBER(Overview[[September Weight (kg)]:[December Weight (kg)]]),Overview[[September Weight (kg)]:[December Weight (kg)]]))))</f>
        <v/>
      </c>
      <c r="I36" s="57" t="str">
        <f>IF(Mar[[#This Row],[Name]]="","",IF(NOT(ISNUMBER(Mar[[#This Row],[Highest Weight in the Past 3 - 6 Months]])),"N/A",IF(Mar[[#This Row],[March Weight (kg)]]=Mar[[#This Row],[Highest Weight in the Past 3 - 6 Months]],0,Mar[[#This Row],[March Weight (kg)]]-Mar[[#This Row],[Highest Weight in the Past 3 - 6 Months]])))</f>
        <v/>
      </c>
      <c r="J36"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6" s="130"/>
      <c r="L36" s="131"/>
      <c r="M36"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6" s="64" t="str">
        <f>IF(Mar[[#This Row],[Name]]="","",IF(Mar[[#This Row],[March MUST Score ]]=0,"Low",IF(Mar[[#This Row],[March MUST Score ]]=1,"Medium","High")))</f>
        <v/>
      </c>
      <c r="O36" s="10"/>
      <c r="P36" s="70"/>
      <c r="Q36" s="12"/>
      <c r="R36" s="17"/>
      <c r="S36" s="10"/>
      <c r="T36" s="17"/>
      <c r="U36" s="70"/>
      <c r="V36" s="11"/>
      <c r="W36" s="94"/>
      <c r="X36" s="12"/>
      <c r="Y36" s="11"/>
    </row>
    <row r="37" spans="2:25" x14ac:dyDescent="0.25">
      <c r="B37" s="12"/>
      <c r="C37" s="129"/>
      <c r="D37" s="94"/>
      <c r="E37" s="58" t="str">
        <f>IF(Mar[[#This Row],[Name]]="","",Mar[[#This Row],[March Weight (kg)]]/(VLOOKUP(Mar[[#This Row],[Name]],Overview[],2,FALSE)/100)^2)</f>
        <v/>
      </c>
      <c r="F37" s="58" t="str">
        <f>IF(Mar[[#This Row],[Name]]="","",IF(VLOOKUP(Mar[[#This Row],[Name]],Overview[],10,FALSE)="","N/A",Mar[[#This Row],[March Weight (kg)]]-VLOOKUP(Mar[[#This Row],[Name]],Overview[],10,FALSE)))</f>
        <v/>
      </c>
      <c r="G37" s="175" t="str">
        <f>IF(Mar[[#This Row],[Name]]="","",IF(VLOOKUP(Mar[[#This Row],[Name]],Overview[],10,FALSE)="","N/A",(Mar[[#This Row],[March Weight (kg)]]-VLOOKUP(Mar[[#This Row],[Name]],Overview[],10,FALSE))/VLOOKUP(Mar[[#This Row],[Name]],Overview[],10,FALSE)))</f>
        <v/>
      </c>
      <c r="H37" s="61" t="str" cm="1">
        <f t="array" ref="H37">IF(Mar[[#This Row],[Name]]="","",IF(SUMPRODUCT((Overview[Name]=Mar[[#This Row],[Name]])*ISNUMBER(Overview[[September Weight (kg)]:[December Weight (kg)]]))=0,"N/A",MAX(IF((Overview[Name]=Mar[[#This Row],[Name]])*ISNUMBER(Overview[[September Weight (kg)]:[December Weight (kg)]]),Overview[[September Weight (kg)]:[December Weight (kg)]]))))</f>
        <v/>
      </c>
      <c r="I37" s="57" t="str">
        <f>IF(Mar[[#This Row],[Name]]="","",IF(NOT(ISNUMBER(Mar[[#This Row],[Highest Weight in the Past 3 - 6 Months]])),"N/A",IF(Mar[[#This Row],[March Weight (kg)]]=Mar[[#This Row],[Highest Weight in the Past 3 - 6 Months]],0,Mar[[#This Row],[March Weight (kg)]]-Mar[[#This Row],[Highest Weight in the Past 3 - 6 Months]])))</f>
        <v/>
      </c>
      <c r="J37"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7" s="130"/>
      <c r="L37" s="131"/>
      <c r="M37"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7" s="64" t="str">
        <f>IF(Mar[[#This Row],[Name]]="","",IF(Mar[[#This Row],[March MUST Score ]]=0,"Low",IF(Mar[[#This Row],[March MUST Score ]]=1,"Medium","High")))</f>
        <v/>
      </c>
      <c r="O37" s="10"/>
      <c r="P37" s="70"/>
      <c r="Q37" s="12"/>
      <c r="R37" s="17"/>
      <c r="S37" s="10"/>
      <c r="T37" s="17"/>
      <c r="U37" s="70"/>
      <c r="V37" s="11"/>
      <c r="W37" s="94"/>
      <c r="X37" s="12"/>
      <c r="Y37" s="11"/>
    </row>
    <row r="38" spans="2:25" x14ac:dyDescent="0.25">
      <c r="B38" s="12"/>
      <c r="C38" s="129"/>
      <c r="D38" s="94"/>
      <c r="E38" s="58" t="str">
        <f>IF(Mar[[#This Row],[Name]]="","",Mar[[#This Row],[March Weight (kg)]]/(VLOOKUP(Mar[[#This Row],[Name]],Overview[],2,FALSE)/100)^2)</f>
        <v/>
      </c>
      <c r="F38" s="58" t="str">
        <f>IF(Mar[[#This Row],[Name]]="","",IF(VLOOKUP(Mar[[#This Row],[Name]],Overview[],10,FALSE)="","N/A",Mar[[#This Row],[March Weight (kg)]]-VLOOKUP(Mar[[#This Row],[Name]],Overview[],10,FALSE)))</f>
        <v/>
      </c>
      <c r="G38" s="175" t="str">
        <f>IF(Mar[[#This Row],[Name]]="","",IF(VLOOKUP(Mar[[#This Row],[Name]],Overview[],10,FALSE)="","N/A",(Mar[[#This Row],[March Weight (kg)]]-VLOOKUP(Mar[[#This Row],[Name]],Overview[],10,FALSE))/VLOOKUP(Mar[[#This Row],[Name]],Overview[],10,FALSE)))</f>
        <v/>
      </c>
      <c r="H38" s="61" t="str" cm="1">
        <f t="array" ref="H38">IF(Mar[[#This Row],[Name]]="","",IF(SUMPRODUCT((Overview[Name]=Mar[[#This Row],[Name]])*ISNUMBER(Overview[[September Weight (kg)]:[December Weight (kg)]]))=0,"N/A",MAX(IF((Overview[Name]=Mar[[#This Row],[Name]])*ISNUMBER(Overview[[September Weight (kg)]:[December Weight (kg)]]),Overview[[September Weight (kg)]:[December Weight (kg)]]))))</f>
        <v/>
      </c>
      <c r="I38" s="57" t="str">
        <f>IF(Mar[[#This Row],[Name]]="","",IF(NOT(ISNUMBER(Mar[[#This Row],[Highest Weight in the Past 3 - 6 Months]])),"N/A",IF(Mar[[#This Row],[March Weight (kg)]]=Mar[[#This Row],[Highest Weight in the Past 3 - 6 Months]],0,Mar[[#This Row],[March Weight (kg)]]-Mar[[#This Row],[Highest Weight in the Past 3 - 6 Months]])))</f>
        <v/>
      </c>
      <c r="J38"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8" s="130"/>
      <c r="L38" s="131"/>
      <c r="M38"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8" s="64" t="str">
        <f>IF(Mar[[#This Row],[Name]]="","",IF(Mar[[#This Row],[March MUST Score ]]=0,"Low",IF(Mar[[#This Row],[March MUST Score ]]=1,"Medium","High")))</f>
        <v/>
      </c>
      <c r="O38" s="10"/>
      <c r="P38" s="70"/>
      <c r="Q38" s="12"/>
      <c r="R38" s="17"/>
      <c r="S38" s="10"/>
      <c r="T38" s="17"/>
      <c r="U38" s="70"/>
      <c r="V38" s="11"/>
      <c r="W38" s="94"/>
      <c r="X38" s="12"/>
      <c r="Y38" s="11"/>
    </row>
    <row r="39" spans="2:25" x14ac:dyDescent="0.25">
      <c r="B39" s="12"/>
      <c r="C39" s="129"/>
      <c r="D39" s="94"/>
      <c r="E39" s="58" t="str">
        <f>IF(Mar[[#This Row],[Name]]="","",Mar[[#This Row],[March Weight (kg)]]/(VLOOKUP(Mar[[#This Row],[Name]],Overview[],2,FALSE)/100)^2)</f>
        <v/>
      </c>
      <c r="F39" s="58" t="str">
        <f>IF(Mar[[#This Row],[Name]]="","",IF(VLOOKUP(Mar[[#This Row],[Name]],Overview[],10,FALSE)="","N/A",Mar[[#This Row],[March Weight (kg)]]-VLOOKUP(Mar[[#This Row],[Name]],Overview[],10,FALSE)))</f>
        <v/>
      </c>
      <c r="G39" s="175" t="str">
        <f>IF(Mar[[#This Row],[Name]]="","",IF(VLOOKUP(Mar[[#This Row],[Name]],Overview[],10,FALSE)="","N/A",(Mar[[#This Row],[March Weight (kg)]]-VLOOKUP(Mar[[#This Row],[Name]],Overview[],10,FALSE))/VLOOKUP(Mar[[#This Row],[Name]],Overview[],10,FALSE)))</f>
        <v/>
      </c>
      <c r="H39" s="61" t="str" cm="1">
        <f t="array" ref="H39">IF(Mar[[#This Row],[Name]]="","",IF(SUMPRODUCT((Overview[Name]=Mar[[#This Row],[Name]])*ISNUMBER(Overview[[September Weight (kg)]:[December Weight (kg)]]))=0,"N/A",MAX(IF((Overview[Name]=Mar[[#This Row],[Name]])*ISNUMBER(Overview[[September Weight (kg)]:[December Weight (kg)]]),Overview[[September Weight (kg)]:[December Weight (kg)]]))))</f>
        <v/>
      </c>
      <c r="I39" s="57" t="str">
        <f>IF(Mar[[#This Row],[Name]]="","",IF(NOT(ISNUMBER(Mar[[#This Row],[Highest Weight in the Past 3 - 6 Months]])),"N/A",IF(Mar[[#This Row],[March Weight (kg)]]=Mar[[#This Row],[Highest Weight in the Past 3 - 6 Months]],0,Mar[[#This Row],[March Weight (kg)]]-Mar[[#This Row],[Highest Weight in the Past 3 - 6 Months]])))</f>
        <v/>
      </c>
      <c r="J39"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39" s="130"/>
      <c r="L39" s="131"/>
      <c r="M39"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39" s="64" t="str">
        <f>IF(Mar[[#This Row],[Name]]="","",IF(Mar[[#This Row],[March MUST Score ]]=0,"Low",IF(Mar[[#This Row],[March MUST Score ]]=1,"Medium","High")))</f>
        <v/>
      </c>
      <c r="O39" s="10"/>
      <c r="P39" s="70"/>
      <c r="Q39" s="12"/>
      <c r="R39" s="17"/>
      <c r="S39" s="10"/>
      <c r="T39" s="17"/>
      <c r="U39" s="70"/>
      <c r="V39" s="11"/>
      <c r="W39" s="94"/>
      <c r="X39" s="12"/>
      <c r="Y39" s="11"/>
    </row>
    <row r="40" spans="2:25" x14ac:dyDescent="0.25">
      <c r="B40" s="12"/>
      <c r="C40" s="129"/>
      <c r="D40" s="94"/>
      <c r="E40" s="58" t="str">
        <f>IF(Mar[[#This Row],[Name]]="","",Mar[[#This Row],[March Weight (kg)]]/(VLOOKUP(Mar[[#This Row],[Name]],Overview[],2,FALSE)/100)^2)</f>
        <v/>
      </c>
      <c r="F40" s="58" t="str">
        <f>IF(Mar[[#This Row],[Name]]="","",IF(VLOOKUP(Mar[[#This Row],[Name]],Overview[],10,FALSE)="","N/A",Mar[[#This Row],[March Weight (kg)]]-VLOOKUP(Mar[[#This Row],[Name]],Overview[],10,FALSE)))</f>
        <v/>
      </c>
      <c r="G40" s="175" t="str">
        <f>IF(Mar[[#This Row],[Name]]="","",IF(VLOOKUP(Mar[[#This Row],[Name]],Overview[],10,FALSE)="","N/A",(Mar[[#This Row],[March Weight (kg)]]-VLOOKUP(Mar[[#This Row],[Name]],Overview[],10,FALSE))/VLOOKUP(Mar[[#This Row],[Name]],Overview[],10,FALSE)))</f>
        <v/>
      </c>
      <c r="H40" s="61" t="str" cm="1">
        <f t="array" ref="H40">IF(Mar[[#This Row],[Name]]="","",IF(SUMPRODUCT((Overview[Name]=Mar[[#This Row],[Name]])*ISNUMBER(Overview[[September Weight (kg)]:[December Weight (kg)]]))=0,"N/A",MAX(IF((Overview[Name]=Mar[[#This Row],[Name]])*ISNUMBER(Overview[[September Weight (kg)]:[December Weight (kg)]]),Overview[[September Weight (kg)]:[December Weight (kg)]]))))</f>
        <v/>
      </c>
      <c r="I40" s="57" t="str">
        <f>IF(Mar[[#This Row],[Name]]="","",IF(NOT(ISNUMBER(Mar[[#This Row],[Highest Weight in the Past 3 - 6 Months]])),"N/A",IF(Mar[[#This Row],[March Weight (kg)]]=Mar[[#This Row],[Highest Weight in the Past 3 - 6 Months]],0,Mar[[#This Row],[March Weight (kg)]]-Mar[[#This Row],[Highest Weight in the Past 3 - 6 Months]])))</f>
        <v/>
      </c>
      <c r="J40"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40" s="130"/>
      <c r="L40" s="131"/>
      <c r="M40"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40" s="64" t="str">
        <f>IF(Mar[[#This Row],[Name]]="","",IF(Mar[[#This Row],[March MUST Score ]]=0,"Low",IF(Mar[[#This Row],[March MUST Score ]]=1,"Medium","High")))</f>
        <v/>
      </c>
      <c r="O40" s="10"/>
      <c r="P40" s="70"/>
      <c r="Q40" s="12"/>
      <c r="R40" s="17"/>
      <c r="S40" s="10"/>
      <c r="T40" s="17"/>
      <c r="U40" s="70"/>
      <c r="V40" s="11"/>
      <c r="W40" s="94"/>
      <c r="X40" s="12"/>
      <c r="Y40" s="11"/>
    </row>
    <row r="41" spans="2:25" x14ac:dyDescent="0.25">
      <c r="B41" s="12"/>
      <c r="C41" s="129"/>
      <c r="D41" s="94"/>
      <c r="E41" s="58" t="str">
        <f>IF(Mar[[#This Row],[Name]]="","",Mar[[#This Row],[March Weight (kg)]]/(VLOOKUP(Mar[[#This Row],[Name]],Overview[],2,FALSE)/100)^2)</f>
        <v/>
      </c>
      <c r="F41" s="58" t="str">
        <f>IF(Mar[[#This Row],[Name]]="","",IF(VLOOKUP(Mar[[#This Row],[Name]],Overview[],10,FALSE)="","N/A",Mar[[#This Row],[March Weight (kg)]]-VLOOKUP(Mar[[#This Row],[Name]],Overview[],10,FALSE)))</f>
        <v/>
      </c>
      <c r="G41" s="175" t="str">
        <f>IF(Mar[[#This Row],[Name]]="","",IF(VLOOKUP(Mar[[#This Row],[Name]],Overview[],10,FALSE)="","N/A",(Mar[[#This Row],[March Weight (kg)]]-VLOOKUP(Mar[[#This Row],[Name]],Overview[],10,FALSE))/VLOOKUP(Mar[[#This Row],[Name]],Overview[],10,FALSE)))</f>
        <v/>
      </c>
      <c r="H41" s="61" t="str" cm="1">
        <f t="array" ref="H41">IF(Mar[[#This Row],[Name]]="","",IF(SUMPRODUCT((Overview[Name]=Mar[[#This Row],[Name]])*ISNUMBER(Overview[[September Weight (kg)]:[December Weight (kg)]]))=0,"N/A",MAX(IF((Overview[Name]=Mar[[#This Row],[Name]])*ISNUMBER(Overview[[September Weight (kg)]:[December Weight (kg)]]),Overview[[September Weight (kg)]:[December Weight (kg)]]))))</f>
        <v/>
      </c>
      <c r="I41" s="57" t="str">
        <f>IF(Mar[[#This Row],[Name]]="","",IF(NOT(ISNUMBER(Mar[[#This Row],[Highest Weight in the Past 3 - 6 Months]])),"N/A",IF(Mar[[#This Row],[March Weight (kg)]]=Mar[[#This Row],[Highest Weight in the Past 3 - 6 Months]],0,Mar[[#This Row],[March Weight (kg)]]-Mar[[#This Row],[Highest Weight in the Past 3 - 6 Months]])))</f>
        <v/>
      </c>
      <c r="J41"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41" s="130"/>
      <c r="L41" s="131"/>
      <c r="M41" s="76"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41" s="64" t="str">
        <f>IF(Mar[[#This Row],[Name]]="","",IF(Mar[[#This Row],[March MUST Score ]]=0,"Low",IF(Mar[[#This Row],[March MUST Score ]]=1,"Medium","High")))</f>
        <v/>
      </c>
      <c r="O41" s="10"/>
      <c r="P41" s="70"/>
      <c r="Q41" s="12"/>
      <c r="R41" s="17"/>
      <c r="S41" s="10"/>
      <c r="T41" s="17"/>
      <c r="U41" s="70"/>
      <c r="V41" s="11"/>
      <c r="W41" s="94"/>
      <c r="X41" s="12"/>
      <c r="Y41" s="11"/>
    </row>
    <row r="42" spans="2:25" ht="15.75" thickBot="1" x14ac:dyDescent="0.3">
      <c r="B42" s="18"/>
      <c r="C42" s="132"/>
      <c r="D42" s="95"/>
      <c r="E42" s="60" t="str">
        <f>IF(Mar[[#This Row],[Name]]="","",Mar[[#This Row],[March Weight (kg)]]/(VLOOKUP(Mar[[#This Row],[Name]],Overview[],2,FALSE)/100)^2)</f>
        <v/>
      </c>
      <c r="F42" s="60" t="str">
        <f>IF(Mar[[#This Row],[Name]]="","",IF(VLOOKUP(Mar[[#This Row],[Name]],Overview[],10,FALSE)="","N/A",Mar[[#This Row],[March Weight (kg)]]-VLOOKUP(Mar[[#This Row],[Name]],Overview[],10,FALSE)))</f>
        <v/>
      </c>
      <c r="G42" s="176" t="str">
        <f>IF(Mar[[#This Row],[Name]]="","",IF(VLOOKUP(Mar[[#This Row],[Name]],Overview[],10,FALSE)="","N/A",(Mar[[#This Row],[March Weight (kg)]]-VLOOKUP(Mar[[#This Row],[Name]],Overview[],10,FALSE))/VLOOKUP(Mar[[#This Row],[Name]],Overview[],10,FALSE)))</f>
        <v/>
      </c>
      <c r="H42" s="61" t="str" cm="1">
        <f t="array" ref="H42">IF(Mar[[#This Row],[Name]]="","",IF(SUMPRODUCT((Overview[Name]=Mar[[#This Row],[Name]])*ISNUMBER(Overview[[September Weight (kg)]:[December Weight (kg)]]))=0,"N/A",MAX(IF((Overview[Name]=Mar[[#This Row],[Name]])*ISNUMBER(Overview[[September Weight (kg)]:[December Weight (kg)]]),Overview[[September Weight (kg)]:[December Weight (kg)]]))))</f>
        <v/>
      </c>
      <c r="I42" s="57" t="str">
        <f>IF(Mar[[#This Row],[Name]]="","",IF(NOT(ISNUMBER(Mar[[#This Row],[Highest Weight in the Past 3 - 6 Months]])),"N/A",IF(Mar[[#This Row],[March Weight (kg)]]=Mar[[#This Row],[Highest Weight in the Past 3 - 6 Months]],0,Mar[[#This Row],[March Weight (kg)]]-Mar[[#This Row],[Highest Weight in the Past 3 - 6 Months]])))</f>
        <v/>
      </c>
      <c r="J42" s="179" t="str">
        <f>IF(Mar[[#This Row],[Name]]="","",IF(OR(Mar[[#This Row],[Highest Weight in the Past 3 - 6 Months]]="",Mar[[#This Row],[Highest Weight in the Past 3 - 6 Months]]="N/A"),"N/A",IFERROR(Mar[[#This Row],[Weight (kg) Difference from Highest Weight in Past 3 - 6 Months (Current Month - Highest Month)]]/Mar[[#This Row],[Highest Weight in the Past 3 - 6 Months]],"N/A")))</f>
        <v/>
      </c>
      <c r="K42" s="133"/>
      <c r="L42" s="134"/>
      <c r="M42" s="77" t="str">
        <f>IF(Mar[[#This Row],[Name]]="","",IFERROR(IF(Mar[[#This Row],[March BMI (kg/m2)]]&gt;20,0,IF(Mar[[#This Row],[March BMI (kg/m2)]]&gt;=18.5,1,2))+IF(Mar[[#This Row],[If Weight has been lost, is this Planned? (Yes/No)]]="Yes",0,IF(Mar[[#This Row],[Weight (kg) Difference from Highest Weight in 3 - 6 months as %]]&gt;-0.05,0,IF(Mar[[#This Row],[Weight (kg) Difference from Highest Weight in 3 - 6 months as %]]&gt;=-0.1,1,2))),""))</f>
        <v/>
      </c>
      <c r="N42" s="64" t="str">
        <f>IF(Mar[[#This Row],[Name]]="","",IF(Mar[[#This Row],[March MUST Score ]]=0,"Low",IF(Mar[[#This Row],[March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76" priority="6" operator="greaterThanOrEqual">
      <formula>2</formula>
    </cfRule>
    <cfRule type="cellIs" dxfId="75" priority="7" operator="equal">
      <formula>1</formula>
    </cfRule>
    <cfRule type="cellIs" dxfId="74" priority="8" operator="equal">
      <formula>0</formula>
    </cfRule>
  </conditionalFormatting>
  <conditionalFormatting sqref="N8:N42">
    <cfRule type="containsText" dxfId="73" priority="2" operator="containsText" text="High">
      <formula>NOT(ISERROR(SEARCH("High",N8)))</formula>
    </cfRule>
    <cfRule type="containsText" dxfId="72" priority="3" operator="containsText" text="Medium">
      <formula>NOT(ISERROR(SEARCH("Medium",N8)))</formula>
    </cfRule>
    <cfRule type="containsText" dxfId="71" priority="4" operator="containsText" text="Low">
      <formula>NOT(ISERROR(SEARCH("Low",N8)))</formula>
    </cfRule>
  </conditionalFormatting>
  <conditionalFormatting sqref="W8:X42">
    <cfRule type="containsText" dxfId="70"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DA60326C-1AFD-4151-BCF2-BB3942372CD6}">
          <x14:formula1>
            <xm:f>Validation!$A$33:$A$37</xm:f>
          </x14:formula1>
          <xm:sqref>V8:V42</xm:sqref>
        </x14:dataValidation>
        <x14:dataValidation type="list" allowBlank="1" showInputMessage="1" showErrorMessage="1" xr:uid="{792843C5-F6DF-4D58-9B90-CF3096A658A7}">
          <x14:formula1>
            <xm:f>Validation!$A$27:$A$31</xm:f>
          </x14:formula1>
          <xm:sqref>U8:U42</xm:sqref>
        </x14:dataValidation>
        <x14:dataValidation type="list" allowBlank="1" showInputMessage="1" showErrorMessage="1" xr:uid="{0435A105-16D5-4BFF-B10D-B8E543978199}">
          <x14:formula1>
            <xm:f>'Weight Overview'!$B$4:$B$38</xm:f>
          </x14:formula1>
          <xm:sqref>B8:B42</xm:sqref>
        </x14:dataValidation>
        <x14:dataValidation type="list" allowBlank="1" showInputMessage="1" showErrorMessage="1" xr:uid="{2D4CE67D-E318-4500-9078-6E4DCCAF968B}">
          <x14:formula1>
            <xm:f>Validation!$A$2:$A$3</xm:f>
          </x14:formula1>
          <xm:sqref>O8:O42 K8:L42 W8:W42 Q8:Q42 S8:S42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02D0-54B7-458A-BACF-30F8F8CE7CE5}">
  <sheetPr>
    <tabColor theme="5"/>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05" t="s">
        <v>1</v>
      </c>
      <c r="C4" s="90" t="s">
        <v>9</v>
      </c>
      <c r="D4" s="106" t="s">
        <v>2</v>
      </c>
      <c r="E4" s="88" t="s">
        <v>3</v>
      </c>
      <c r="Y4" s="62"/>
      <c r="Z4" s="2"/>
    </row>
    <row r="5" spans="2:26" ht="15.75" thickBot="1" x14ac:dyDescent="0.3">
      <c r="B5" s="74"/>
      <c r="C5" s="73"/>
      <c r="D5" s="73"/>
      <c r="E5" s="65"/>
      <c r="P5" s="81"/>
      <c r="W5" s="74"/>
      <c r="X5" s="62"/>
      <c r="Y5" s="62"/>
      <c r="Z5" s="2"/>
    </row>
    <row r="6" spans="2:26" ht="15.75" thickBot="1" x14ac:dyDescent="0.3">
      <c r="C6" s="316" t="s">
        <v>85</v>
      </c>
      <c r="D6" s="317"/>
      <c r="E6" s="317"/>
      <c r="F6" s="317"/>
      <c r="G6" s="318"/>
      <c r="H6" s="304" t="s">
        <v>68</v>
      </c>
      <c r="I6" s="305"/>
      <c r="J6" s="305"/>
      <c r="K6" s="306"/>
      <c r="L6" s="316" t="s">
        <v>69</v>
      </c>
      <c r="M6" s="317"/>
      <c r="N6" s="318"/>
      <c r="O6" s="304" t="s">
        <v>83</v>
      </c>
      <c r="P6" s="305"/>
      <c r="Q6" s="305"/>
      <c r="R6" s="305"/>
      <c r="S6" s="316" t="s">
        <v>84</v>
      </c>
      <c r="T6" s="317"/>
      <c r="U6" s="317"/>
      <c r="V6" s="318"/>
      <c r="Y6" s="63"/>
    </row>
    <row r="7" spans="2:26" ht="105.75" thickBot="1" x14ac:dyDescent="0.3">
      <c r="B7" s="107" t="s">
        <v>0</v>
      </c>
      <c r="C7" s="49" t="s">
        <v>113</v>
      </c>
      <c r="D7" s="52" t="s">
        <v>125</v>
      </c>
      <c r="E7" s="50" t="s">
        <v>114</v>
      </c>
      <c r="F7" s="50" t="s">
        <v>134</v>
      </c>
      <c r="G7" s="51" t="s">
        <v>135</v>
      </c>
      <c r="H7" s="71" t="s">
        <v>72</v>
      </c>
      <c r="I7" s="72" t="s">
        <v>70</v>
      </c>
      <c r="J7" s="67" t="s">
        <v>71</v>
      </c>
      <c r="K7" s="80" t="s">
        <v>64</v>
      </c>
      <c r="L7" s="107" t="s">
        <v>67</v>
      </c>
      <c r="M7" s="50" t="s">
        <v>115</v>
      </c>
      <c r="N7" s="51" t="s">
        <v>116</v>
      </c>
      <c r="O7" s="71" t="s">
        <v>65</v>
      </c>
      <c r="P7" s="68" t="s">
        <v>66</v>
      </c>
      <c r="Q7" s="92" t="s">
        <v>88</v>
      </c>
      <c r="R7" s="67" t="s">
        <v>86</v>
      </c>
      <c r="S7" s="49" t="s">
        <v>89</v>
      </c>
      <c r="T7" s="52" t="s">
        <v>87</v>
      </c>
      <c r="U7" s="52" t="s">
        <v>90</v>
      </c>
      <c r="V7" s="108" t="s">
        <v>91</v>
      </c>
      <c r="W7" s="68" t="s">
        <v>63</v>
      </c>
      <c r="X7" s="67" t="s">
        <v>59</v>
      </c>
      <c r="Y7" s="80" t="s">
        <v>18</v>
      </c>
    </row>
    <row r="8" spans="2:26" x14ac:dyDescent="0.25">
      <c r="B8" s="20"/>
      <c r="C8" s="125"/>
      <c r="D8" s="126"/>
      <c r="E8" s="57" t="str">
        <f>IF(Apr[[#This Row],[Name]]="","",Apr[[#This Row],[April Weight (kg)]]/(VLOOKUP(Apr[[#This Row],[Name]],Overview[],2,FALSE)/100)^2)</f>
        <v/>
      </c>
      <c r="F8" s="57" t="str">
        <f>IF(Apr[[#This Row],[Name]]="","",IF(VLOOKUP(Apr[[#This Row],[Name]],Overview[],11,FALSE)="","N/A",Apr[[#This Row],[April Weight (kg)]]-VLOOKUP(Apr[[#This Row],[Name]],Overview[],11,FALSE)))</f>
        <v/>
      </c>
      <c r="G8" s="174" t="str">
        <f>IF(Apr[[#This Row],[Name]]="","",IF(VLOOKUP(Apr[[#This Row],[Name]],Overview[],11,FALSE)="","N/A",(Apr[[#This Row],[April Weight (kg)]]-VLOOKUP(Apr[[#This Row],[Name]],Overview[],11,FALSE))/VLOOKUP(Apr[[#This Row],[Name]],Overview[],11,FALSE)))</f>
        <v/>
      </c>
      <c r="H8" s="61" t="str" cm="1">
        <f t="array" ref="H8">IF(Apr[[#This Row],[Name]]="","",IF(SUMPRODUCT((Overview[Name]=Apr[[#This Row],[Name]])*ISNUMBER(Overview[[October 
Weight (kg)]:[January 
Weight (kg)]]))=0,"N/A",MAX(IF((Overview[Name]=Apr[[#This Row],[Name]])*ISNUMBER(Overview[[October 
Weight (kg)]:[January 
Weight (kg)]]),Overview[[October 
Weight (kg)]:[January 
Weight (kg)]]))))</f>
        <v/>
      </c>
      <c r="I8" s="57" t="str">
        <f>IF(Apr[[#This Row],[Name]]="","",IF(NOT(ISNUMBER(Apr[[#This Row],[Highest Weight in the Past 3 - 6 Months]])),"N/A",IF(Apr[[#This Row],[April Weight (kg)]]=Apr[[#This Row],[Highest Weight in the Past 3 - 6 Months]],0,Apr[[#This Row],[April Weight (kg)]]-Apr[[#This Row],[Highest Weight in the Past 3 - 6 Months]])))</f>
        <v/>
      </c>
      <c r="J8"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8" s="127"/>
      <c r="L8" s="128"/>
      <c r="M8" s="75"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8" s="64" t="str">
        <f>IF(Apr[[#This Row],[Name]]="","",IF(Apr[[#This Row],[April MUST Score ]]=0,"Low",IF(Apr[[#This Row],[April MUST Score ]]=1,"Medium","High")))</f>
        <v/>
      </c>
      <c r="O8" s="7"/>
      <c r="P8" s="69"/>
      <c r="Q8" s="20"/>
      <c r="R8" s="22"/>
      <c r="S8" s="44"/>
      <c r="T8" s="16"/>
      <c r="U8" s="69"/>
      <c r="V8" s="8"/>
      <c r="W8" s="93"/>
      <c r="X8" s="9"/>
      <c r="Y8" s="8"/>
    </row>
    <row r="9" spans="2:26" x14ac:dyDescent="0.25">
      <c r="B9" s="12"/>
      <c r="C9" s="129"/>
      <c r="D9" s="94"/>
      <c r="E9" s="58" t="str">
        <f>IF(Apr[[#This Row],[Name]]="","",Apr[[#This Row],[April Weight (kg)]]/(VLOOKUP(Apr[[#This Row],[Name]],Overview[],2,FALSE)/100)^2)</f>
        <v/>
      </c>
      <c r="F9" s="58" t="str">
        <f>IF(Apr[[#This Row],[Name]]="","",IF(VLOOKUP(Apr[[#This Row],[Name]],Overview[],11,FALSE)="","N/A",Apr[[#This Row],[April Weight (kg)]]-VLOOKUP(Apr[[#This Row],[Name]],Overview[],11,FALSE)))</f>
        <v/>
      </c>
      <c r="G9" s="175" t="str">
        <f>IF(Apr[[#This Row],[Name]]="","",IF(VLOOKUP(Apr[[#This Row],[Name]],Overview[],11,FALSE)="","N/A",(Apr[[#This Row],[April Weight (kg)]]-VLOOKUP(Apr[[#This Row],[Name]],Overview[],11,FALSE))/VLOOKUP(Apr[[#This Row],[Name]],Overview[],11,FALSE)))</f>
        <v/>
      </c>
      <c r="H9" s="61" t="str" cm="1">
        <f t="array" ref="H9">IF(Apr[[#This Row],[Name]]="","",IF(SUMPRODUCT((Overview[Name]=Apr[[#This Row],[Name]])*ISNUMBER(Overview[[October 
Weight (kg)]:[January 
Weight (kg)]]))=0,"N/A",MAX(IF((Overview[Name]=Apr[[#This Row],[Name]])*ISNUMBER(Overview[[October 
Weight (kg)]:[January 
Weight (kg)]]),Overview[[October 
Weight (kg)]:[January 
Weight (kg)]]))))</f>
        <v/>
      </c>
      <c r="I9" s="57" t="str">
        <f>IF(Apr[[#This Row],[Name]]="","",IF(NOT(ISNUMBER(Apr[[#This Row],[Highest Weight in the Past 3 - 6 Months]])),"N/A",IF(Apr[[#This Row],[April Weight (kg)]]=Apr[[#This Row],[Highest Weight in the Past 3 - 6 Months]],0,Apr[[#This Row],[April Weight (kg)]]-Apr[[#This Row],[Highest Weight in the Past 3 - 6 Months]])))</f>
        <v/>
      </c>
      <c r="J9"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9" s="130"/>
      <c r="L9" s="131"/>
      <c r="M9"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9" s="64" t="str">
        <f>IF(Apr[[#This Row],[Name]]="","",IF(Apr[[#This Row],[April MUST Score ]]=0,"Low",IF(Apr[[#This Row],[April MUST Score ]]=1,"Medium","High")))</f>
        <v/>
      </c>
      <c r="O9" s="44"/>
      <c r="P9" s="66"/>
      <c r="Q9" s="20"/>
      <c r="R9" s="17"/>
      <c r="S9" s="44"/>
      <c r="T9" s="22"/>
      <c r="U9" s="66"/>
      <c r="V9" s="21"/>
      <c r="W9" s="94"/>
      <c r="X9" s="12"/>
      <c r="Y9" s="11"/>
    </row>
    <row r="10" spans="2:26" x14ac:dyDescent="0.25">
      <c r="B10" s="12"/>
      <c r="C10" s="129"/>
      <c r="D10" s="94"/>
      <c r="E10" s="58" t="str">
        <f>IF(Apr[[#This Row],[Name]]="","",Apr[[#This Row],[April Weight (kg)]]/(VLOOKUP(Apr[[#This Row],[Name]],Overview[],2,FALSE)/100)^2)</f>
        <v/>
      </c>
      <c r="F10" s="58" t="str">
        <f>IF(Apr[[#This Row],[Name]]="","",IF(VLOOKUP(Apr[[#This Row],[Name]],Overview[],11,FALSE)="","N/A",Apr[[#This Row],[April Weight (kg)]]-VLOOKUP(Apr[[#This Row],[Name]],Overview[],11,FALSE)))</f>
        <v/>
      </c>
      <c r="G10" s="175" t="str">
        <f>IF(Apr[[#This Row],[Name]]="","",IF(VLOOKUP(Apr[[#This Row],[Name]],Overview[],11,FALSE)="","N/A",(Apr[[#This Row],[April Weight (kg)]]-VLOOKUP(Apr[[#This Row],[Name]],Overview[],11,FALSE))/VLOOKUP(Apr[[#This Row],[Name]],Overview[],11,FALSE)))</f>
        <v/>
      </c>
      <c r="H10" s="61" t="str" cm="1">
        <f t="array" ref="H10">IF(Apr[[#This Row],[Name]]="","",IF(SUMPRODUCT((Overview[Name]=Apr[[#This Row],[Name]])*ISNUMBER(Overview[[October 
Weight (kg)]:[January 
Weight (kg)]]))=0,"N/A",MAX(IF((Overview[Name]=Apr[[#This Row],[Name]])*ISNUMBER(Overview[[October 
Weight (kg)]:[January 
Weight (kg)]]),Overview[[October 
Weight (kg)]:[January 
Weight (kg)]]))))</f>
        <v/>
      </c>
      <c r="I10" s="57" t="str">
        <f>IF(Apr[[#This Row],[Name]]="","",IF(NOT(ISNUMBER(Apr[[#This Row],[Highest Weight in the Past 3 - 6 Months]])),"N/A",IF(Apr[[#This Row],[April Weight (kg)]]=Apr[[#This Row],[Highest Weight in the Past 3 - 6 Months]],0,Apr[[#This Row],[April Weight (kg)]]-Apr[[#This Row],[Highest Weight in the Past 3 - 6 Months]])))</f>
        <v/>
      </c>
      <c r="J10"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0" s="130"/>
      <c r="L10" s="131"/>
      <c r="M10"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0" s="64" t="str">
        <f>IF(Apr[[#This Row],[Name]]="","",IF(Apr[[#This Row],[April MUST Score ]]=0,"Low",IF(Apr[[#This Row],[April MUST Score ]]=1,"Medium","High")))</f>
        <v/>
      </c>
      <c r="O10" s="10"/>
      <c r="P10" s="70"/>
      <c r="Q10" s="12"/>
      <c r="R10" s="17"/>
      <c r="S10" s="10"/>
      <c r="T10" s="17"/>
      <c r="U10" s="70"/>
      <c r="V10" s="11"/>
      <c r="W10" s="94"/>
      <c r="X10" s="12"/>
      <c r="Y10" s="11"/>
    </row>
    <row r="11" spans="2:26" x14ac:dyDescent="0.25">
      <c r="B11" s="12"/>
      <c r="C11" s="129"/>
      <c r="D11" s="94"/>
      <c r="E11" s="58" t="str">
        <f>IF(Apr[[#This Row],[Name]]="","",Apr[[#This Row],[April Weight (kg)]]/(VLOOKUP(Apr[[#This Row],[Name]],Overview[],2,FALSE)/100)^2)</f>
        <v/>
      </c>
      <c r="F11" s="58" t="str">
        <f>IF(Apr[[#This Row],[Name]]="","",IF(VLOOKUP(Apr[[#This Row],[Name]],Overview[],11,FALSE)="","N/A",Apr[[#This Row],[April Weight (kg)]]-VLOOKUP(Apr[[#This Row],[Name]],Overview[],11,FALSE)))</f>
        <v/>
      </c>
      <c r="G11" s="175" t="str">
        <f>IF(Apr[[#This Row],[Name]]="","",IF(VLOOKUP(Apr[[#This Row],[Name]],Overview[],11,FALSE)="","N/A",(Apr[[#This Row],[April Weight (kg)]]-VLOOKUP(Apr[[#This Row],[Name]],Overview[],11,FALSE))/VLOOKUP(Apr[[#This Row],[Name]],Overview[],11,FALSE)))</f>
        <v/>
      </c>
      <c r="H11" s="61" t="str" cm="1">
        <f t="array" ref="H11">IF(Apr[[#This Row],[Name]]="","",IF(SUMPRODUCT((Overview[Name]=Apr[[#This Row],[Name]])*ISNUMBER(Overview[[October 
Weight (kg)]:[January 
Weight (kg)]]))=0,"N/A",MAX(IF((Overview[Name]=Apr[[#This Row],[Name]])*ISNUMBER(Overview[[October 
Weight (kg)]:[January 
Weight (kg)]]),Overview[[October 
Weight (kg)]:[January 
Weight (kg)]]))))</f>
        <v/>
      </c>
      <c r="I11" s="57" t="str">
        <f>IF(Apr[[#This Row],[Name]]="","",IF(NOT(ISNUMBER(Apr[[#This Row],[Highest Weight in the Past 3 - 6 Months]])),"N/A",IF(Apr[[#This Row],[April Weight (kg)]]=Apr[[#This Row],[Highest Weight in the Past 3 - 6 Months]],0,Apr[[#This Row],[April Weight (kg)]]-Apr[[#This Row],[Highest Weight in the Past 3 - 6 Months]])))</f>
        <v/>
      </c>
      <c r="J11"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1" s="130"/>
      <c r="L11" s="131"/>
      <c r="M11"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1" s="64" t="str">
        <f>IF(Apr[[#This Row],[Name]]="","",IF(Apr[[#This Row],[April MUST Score ]]=0,"Low",IF(Apr[[#This Row],[April MUST Score ]]=1,"Medium","High")))</f>
        <v/>
      </c>
      <c r="O11" s="10"/>
      <c r="P11" s="70"/>
      <c r="Q11" s="12"/>
      <c r="R11" s="17"/>
      <c r="S11" s="10"/>
      <c r="T11" s="17"/>
      <c r="U11" s="70"/>
      <c r="V11" s="11"/>
      <c r="W11" s="94"/>
      <c r="X11" s="12"/>
      <c r="Y11" s="11"/>
    </row>
    <row r="12" spans="2:26" x14ac:dyDescent="0.25">
      <c r="B12" s="12"/>
      <c r="C12" s="129"/>
      <c r="D12" s="94"/>
      <c r="E12" s="58" t="str">
        <f>IF(Apr[[#This Row],[Name]]="","",Apr[[#This Row],[April Weight (kg)]]/(VLOOKUP(Apr[[#This Row],[Name]],Overview[],2,FALSE)/100)^2)</f>
        <v/>
      </c>
      <c r="F12" s="58" t="str">
        <f>IF(Apr[[#This Row],[Name]]="","",IF(VLOOKUP(Apr[[#This Row],[Name]],Overview[],11,FALSE)="","N/A",Apr[[#This Row],[April Weight (kg)]]-VLOOKUP(Apr[[#This Row],[Name]],Overview[],11,FALSE)))</f>
        <v/>
      </c>
      <c r="G12" s="175" t="str">
        <f>IF(Apr[[#This Row],[Name]]="","",IF(VLOOKUP(Apr[[#This Row],[Name]],Overview[],11,FALSE)="","N/A",(Apr[[#This Row],[April Weight (kg)]]-VLOOKUP(Apr[[#This Row],[Name]],Overview[],11,FALSE))/VLOOKUP(Apr[[#This Row],[Name]],Overview[],11,FALSE)))</f>
        <v/>
      </c>
      <c r="H12" s="61" t="str" cm="1">
        <f t="array" ref="H12">IF(Apr[[#This Row],[Name]]="","",IF(SUMPRODUCT((Overview[Name]=Apr[[#This Row],[Name]])*ISNUMBER(Overview[[October 
Weight (kg)]:[January 
Weight (kg)]]))=0,"N/A",MAX(IF((Overview[Name]=Apr[[#This Row],[Name]])*ISNUMBER(Overview[[October 
Weight (kg)]:[January 
Weight (kg)]]),Overview[[October 
Weight (kg)]:[January 
Weight (kg)]]))))</f>
        <v/>
      </c>
      <c r="I12" s="57" t="str">
        <f>IF(Apr[[#This Row],[Name]]="","",IF(NOT(ISNUMBER(Apr[[#This Row],[Highest Weight in the Past 3 - 6 Months]])),"N/A",IF(Apr[[#This Row],[April Weight (kg)]]=Apr[[#This Row],[Highest Weight in the Past 3 - 6 Months]],0,Apr[[#This Row],[April Weight (kg)]]-Apr[[#This Row],[Highest Weight in the Past 3 - 6 Months]])))</f>
        <v/>
      </c>
      <c r="J12"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2" s="130"/>
      <c r="L12" s="131"/>
      <c r="M12"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2" s="64" t="str">
        <f>IF(Apr[[#This Row],[Name]]="","",IF(Apr[[#This Row],[April MUST Score ]]=0,"Low",IF(Apr[[#This Row],[April MUST Score ]]=1,"Medium","High")))</f>
        <v/>
      </c>
      <c r="O12" s="10"/>
      <c r="P12" s="70"/>
      <c r="Q12" s="12"/>
      <c r="R12" s="17"/>
      <c r="S12" s="10"/>
      <c r="T12" s="17"/>
      <c r="U12" s="70"/>
      <c r="V12" s="11"/>
      <c r="W12" s="94"/>
      <c r="X12" s="12"/>
      <c r="Y12" s="11"/>
    </row>
    <row r="13" spans="2:26" x14ac:dyDescent="0.25">
      <c r="B13" s="12"/>
      <c r="C13" s="129"/>
      <c r="D13" s="94"/>
      <c r="E13" s="58" t="str">
        <f>IF(Apr[[#This Row],[Name]]="","",Apr[[#This Row],[April Weight (kg)]]/(VLOOKUP(Apr[[#This Row],[Name]],Overview[],2,FALSE)/100)^2)</f>
        <v/>
      </c>
      <c r="F13" s="58" t="str">
        <f>IF(Apr[[#This Row],[Name]]="","",IF(VLOOKUP(Apr[[#This Row],[Name]],Overview[],11,FALSE)="","N/A",Apr[[#This Row],[April Weight (kg)]]-VLOOKUP(Apr[[#This Row],[Name]],Overview[],11,FALSE)))</f>
        <v/>
      </c>
      <c r="G13" s="175" t="str">
        <f>IF(Apr[[#This Row],[Name]]="","",IF(VLOOKUP(Apr[[#This Row],[Name]],Overview[],11,FALSE)="","N/A",(Apr[[#This Row],[April Weight (kg)]]-VLOOKUP(Apr[[#This Row],[Name]],Overview[],11,FALSE))/VLOOKUP(Apr[[#This Row],[Name]],Overview[],11,FALSE)))</f>
        <v/>
      </c>
      <c r="H13" s="61" t="str" cm="1">
        <f t="array" ref="H13">IF(Apr[[#This Row],[Name]]="","",IF(SUMPRODUCT((Overview[Name]=Apr[[#This Row],[Name]])*ISNUMBER(Overview[[October 
Weight (kg)]:[January 
Weight (kg)]]))=0,"N/A",MAX(IF((Overview[Name]=Apr[[#This Row],[Name]])*ISNUMBER(Overview[[October 
Weight (kg)]:[January 
Weight (kg)]]),Overview[[October 
Weight (kg)]:[January 
Weight (kg)]]))))</f>
        <v/>
      </c>
      <c r="I13" s="57" t="str">
        <f>IF(Apr[[#This Row],[Name]]="","",IF(NOT(ISNUMBER(Apr[[#This Row],[Highest Weight in the Past 3 - 6 Months]])),"N/A",IF(Apr[[#This Row],[April Weight (kg)]]=Apr[[#This Row],[Highest Weight in the Past 3 - 6 Months]],0,Apr[[#This Row],[April Weight (kg)]]-Apr[[#This Row],[Highest Weight in the Past 3 - 6 Months]])))</f>
        <v/>
      </c>
      <c r="J13"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3" s="130"/>
      <c r="L13" s="131"/>
      <c r="M13"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3" s="64" t="str">
        <f>IF(Apr[[#This Row],[Name]]="","",IF(Apr[[#This Row],[April MUST Score ]]=0,"Low",IF(Apr[[#This Row],[April MUST Score ]]=1,"Medium","High")))</f>
        <v/>
      </c>
      <c r="O13" s="10"/>
      <c r="P13" s="70"/>
      <c r="Q13" s="12"/>
      <c r="R13" s="17"/>
      <c r="S13" s="10"/>
      <c r="T13" s="17"/>
      <c r="U13" s="70"/>
      <c r="V13" s="11"/>
      <c r="W13" s="94"/>
      <c r="X13" s="12"/>
      <c r="Y13" s="11"/>
    </row>
    <row r="14" spans="2:26" x14ac:dyDescent="0.25">
      <c r="B14" s="12"/>
      <c r="C14" s="129"/>
      <c r="D14" s="94"/>
      <c r="E14" s="58" t="str">
        <f>IF(Apr[[#This Row],[Name]]="","",Apr[[#This Row],[April Weight (kg)]]/(VLOOKUP(Apr[[#This Row],[Name]],Overview[],2,FALSE)/100)^2)</f>
        <v/>
      </c>
      <c r="F14" s="58" t="str">
        <f>IF(Apr[[#This Row],[Name]]="","",IF(VLOOKUP(Apr[[#This Row],[Name]],Overview[],11,FALSE)="","N/A",Apr[[#This Row],[April Weight (kg)]]-VLOOKUP(Apr[[#This Row],[Name]],Overview[],11,FALSE)))</f>
        <v/>
      </c>
      <c r="G14" s="175" t="str">
        <f>IF(Apr[[#This Row],[Name]]="","",IF(VLOOKUP(Apr[[#This Row],[Name]],Overview[],11,FALSE)="","N/A",(Apr[[#This Row],[April Weight (kg)]]-VLOOKUP(Apr[[#This Row],[Name]],Overview[],11,FALSE))/VLOOKUP(Apr[[#This Row],[Name]],Overview[],11,FALSE)))</f>
        <v/>
      </c>
      <c r="H14" s="61" t="str" cm="1">
        <f t="array" ref="H14">IF(Apr[[#This Row],[Name]]="","",IF(SUMPRODUCT((Overview[Name]=Apr[[#This Row],[Name]])*ISNUMBER(Overview[[October 
Weight (kg)]:[January 
Weight (kg)]]))=0,"N/A",MAX(IF((Overview[Name]=Apr[[#This Row],[Name]])*ISNUMBER(Overview[[October 
Weight (kg)]:[January 
Weight (kg)]]),Overview[[October 
Weight (kg)]:[January 
Weight (kg)]]))))</f>
        <v/>
      </c>
      <c r="I14" s="57" t="str">
        <f>IF(Apr[[#This Row],[Name]]="","",IF(NOT(ISNUMBER(Apr[[#This Row],[Highest Weight in the Past 3 - 6 Months]])),"N/A",IF(Apr[[#This Row],[April Weight (kg)]]=Apr[[#This Row],[Highest Weight in the Past 3 - 6 Months]],0,Apr[[#This Row],[April Weight (kg)]]-Apr[[#This Row],[Highest Weight in the Past 3 - 6 Months]])))</f>
        <v/>
      </c>
      <c r="J14"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4" s="130"/>
      <c r="L14" s="131"/>
      <c r="M14"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4" s="64" t="str">
        <f>IF(Apr[[#This Row],[Name]]="","",IF(Apr[[#This Row],[April MUST Score ]]=0,"Low",IF(Apr[[#This Row],[April MUST Score ]]=1,"Medium","High")))</f>
        <v/>
      </c>
      <c r="O14" s="10"/>
      <c r="P14" s="70"/>
      <c r="Q14" s="12"/>
      <c r="R14" s="17"/>
      <c r="S14" s="10"/>
      <c r="T14" s="17"/>
      <c r="U14" s="70"/>
      <c r="V14" s="11"/>
      <c r="W14" s="94"/>
      <c r="X14" s="12"/>
      <c r="Y14" s="11"/>
    </row>
    <row r="15" spans="2:26" x14ac:dyDescent="0.25">
      <c r="B15" s="12"/>
      <c r="C15" s="129"/>
      <c r="D15" s="94"/>
      <c r="E15" s="58" t="str">
        <f>IF(Apr[[#This Row],[Name]]="","",Apr[[#This Row],[April Weight (kg)]]/(VLOOKUP(Apr[[#This Row],[Name]],Overview[],2,FALSE)/100)^2)</f>
        <v/>
      </c>
      <c r="F15" s="58" t="str">
        <f>IF(Apr[[#This Row],[Name]]="","",IF(VLOOKUP(Apr[[#This Row],[Name]],Overview[],11,FALSE)="","N/A",Apr[[#This Row],[April Weight (kg)]]-VLOOKUP(Apr[[#This Row],[Name]],Overview[],11,FALSE)))</f>
        <v/>
      </c>
      <c r="G15" s="175" t="str">
        <f>IF(Apr[[#This Row],[Name]]="","",IF(VLOOKUP(Apr[[#This Row],[Name]],Overview[],11,FALSE)="","N/A",(Apr[[#This Row],[April Weight (kg)]]-VLOOKUP(Apr[[#This Row],[Name]],Overview[],11,FALSE))/VLOOKUP(Apr[[#This Row],[Name]],Overview[],11,FALSE)))</f>
        <v/>
      </c>
      <c r="H15" s="61" t="str" cm="1">
        <f t="array" ref="H15">IF(Apr[[#This Row],[Name]]="","",IF(SUMPRODUCT((Overview[Name]=Apr[[#This Row],[Name]])*ISNUMBER(Overview[[October 
Weight (kg)]:[January 
Weight (kg)]]))=0,"N/A",MAX(IF((Overview[Name]=Apr[[#This Row],[Name]])*ISNUMBER(Overview[[October 
Weight (kg)]:[January 
Weight (kg)]]),Overview[[October 
Weight (kg)]:[January 
Weight (kg)]]))))</f>
        <v/>
      </c>
      <c r="I15" s="57" t="str">
        <f>IF(Apr[[#This Row],[Name]]="","",IF(NOT(ISNUMBER(Apr[[#This Row],[Highest Weight in the Past 3 - 6 Months]])),"N/A",IF(Apr[[#This Row],[April Weight (kg)]]=Apr[[#This Row],[Highest Weight in the Past 3 - 6 Months]],0,Apr[[#This Row],[April Weight (kg)]]-Apr[[#This Row],[Highest Weight in the Past 3 - 6 Months]])))</f>
        <v/>
      </c>
      <c r="J15"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5" s="130"/>
      <c r="L15" s="131"/>
      <c r="M15"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5" s="64" t="str">
        <f>IF(Apr[[#This Row],[Name]]="","",IF(Apr[[#This Row],[April MUST Score ]]=0,"Low",IF(Apr[[#This Row],[April MUST Score ]]=1,"Medium","High")))</f>
        <v/>
      </c>
      <c r="O15" s="10"/>
      <c r="P15" s="70"/>
      <c r="Q15" s="12"/>
      <c r="R15" s="17"/>
      <c r="S15" s="10"/>
      <c r="T15" s="17"/>
      <c r="U15" s="70"/>
      <c r="V15" s="11"/>
      <c r="W15" s="94"/>
      <c r="X15" s="12"/>
      <c r="Y15" s="11"/>
    </row>
    <row r="16" spans="2:26" x14ac:dyDescent="0.25">
      <c r="B16" s="12"/>
      <c r="C16" s="129"/>
      <c r="D16" s="94"/>
      <c r="E16" s="58" t="str">
        <f>IF(Apr[[#This Row],[Name]]="","",Apr[[#This Row],[April Weight (kg)]]/(VLOOKUP(Apr[[#This Row],[Name]],Overview[],2,FALSE)/100)^2)</f>
        <v/>
      </c>
      <c r="F16" s="58" t="str">
        <f>IF(Apr[[#This Row],[Name]]="","",IF(VLOOKUP(Apr[[#This Row],[Name]],Overview[],11,FALSE)="","N/A",Apr[[#This Row],[April Weight (kg)]]-VLOOKUP(Apr[[#This Row],[Name]],Overview[],11,FALSE)))</f>
        <v/>
      </c>
      <c r="G16" s="175" t="str">
        <f>IF(Apr[[#This Row],[Name]]="","",IF(VLOOKUP(Apr[[#This Row],[Name]],Overview[],11,FALSE)="","N/A",(Apr[[#This Row],[April Weight (kg)]]-VLOOKUP(Apr[[#This Row],[Name]],Overview[],11,FALSE))/VLOOKUP(Apr[[#This Row],[Name]],Overview[],11,FALSE)))</f>
        <v/>
      </c>
      <c r="H16" s="61" t="str" cm="1">
        <f t="array" ref="H16">IF(Apr[[#This Row],[Name]]="","",IF(SUMPRODUCT((Overview[Name]=Apr[[#This Row],[Name]])*ISNUMBER(Overview[[October 
Weight (kg)]:[January 
Weight (kg)]]))=0,"N/A",MAX(IF((Overview[Name]=Apr[[#This Row],[Name]])*ISNUMBER(Overview[[October 
Weight (kg)]:[January 
Weight (kg)]]),Overview[[October 
Weight (kg)]:[January 
Weight (kg)]]))))</f>
        <v/>
      </c>
      <c r="I16" s="57" t="str">
        <f>IF(Apr[[#This Row],[Name]]="","",IF(NOT(ISNUMBER(Apr[[#This Row],[Highest Weight in the Past 3 - 6 Months]])),"N/A",IF(Apr[[#This Row],[April Weight (kg)]]=Apr[[#This Row],[Highest Weight in the Past 3 - 6 Months]],0,Apr[[#This Row],[April Weight (kg)]]-Apr[[#This Row],[Highest Weight in the Past 3 - 6 Months]])))</f>
        <v/>
      </c>
      <c r="J16"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6" s="130"/>
      <c r="L16" s="131"/>
      <c r="M16"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6" s="64" t="str">
        <f>IF(Apr[[#This Row],[Name]]="","",IF(Apr[[#This Row],[April MUST Score ]]=0,"Low",IF(Apr[[#This Row],[April MUST Score ]]=1,"Medium","High")))</f>
        <v/>
      </c>
      <c r="O16" s="10"/>
      <c r="P16" s="70"/>
      <c r="Q16" s="12"/>
      <c r="R16" s="17"/>
      <c r="S16" s="10"/>
      <c r="T16" s="17"/>
      <c r="U16" s="70"/>
      <c r="V16" s="11"/>
      <c r="W16" s="94"/>
      <c r="X16" s="12"/>
      <c r="Y16" s="11"/>
    </row>
    <row r="17" spans="2:25" x14ac:dyDescent="0.25">
      <c r="B17" s="12"/>
      <c r="C17" s="129"/>
      <c r="D17" s="94"/>
      <c r="E17" s="58" t="str">
        <f>IF(Apr[[#This Row],[Name]]="","",Apr[[#This Row],[April Weight (kg)]]/(VLOOKUP(Apr[[#This Row],[Name]],Overview[],2,FALSE)/100)^2)</f>
        <v/>
      </c>
      <c r="F17" s="58" t="str">
        <f>IF(Apr[[#This Row],[Name]]="","",IF(VLOOKUP(Apr[[#This Row],[Name]],Overview[],11,FALSE)="","N/A",Apr[[#This Row],[April Weight (kg)]]-VLOOKUP(Apr[[#This Row],[Name]],Overview[],11,FALSE)))</f>
        <v/>
      </c>
      <c r="G17" s="175" t="str">
        <f>IF(Apr[[#This Row],[Name]]="","",IF(VLOOKUP(Apr[[#This Row],[Name]],Overview[],11,FALSE)="","N/A",(Apr[[#This Row],[April Weight (kg)]]-VLOOKUP(Apr[[#This Row],[Name]],Overview[],11,FALSE))/VLOOKUP(Apr[[#This Row],[Name]],Overview[],11,FALSE)))</f>
        <v/>
      </c>
      <c r="H17" s="61" t="str" cm="1">
        <f t="array" ref="H17">IF(Apr[[#This Row],[Name]]="","",IF(SUMPRODUCT((Overview[Name]=Apr[[#This Row],[Name]])*ISNUMBER(Overview[[October 
Weight (kg)]:[January 
Weight (kg)]]))=0,"N/A",MAX(IF((Overview[Name]=Apr[[#This Row],[Name]])*ISNUMBER(Overview[[October 
Weight (kg)]:[January 
Weight (kg)]]),Overview[[October 
Weight (kg)]:[January 
Weight (kg)]]))))</f>
        <v/>
      </c>
      <c r="I17" s="57" t="str">
        <f>IF(Apr[[#This Row],[Name]]="","",IF(NOT(ISNUMBER(Apr[[#This Row],[Highest Weight in the Past 3 - 6 Months]])),"N/A",IF(Apr[[#This Row],[April Weight (kg)]]=Apr[[#This Row],[Highest Weight in the Past 3 - 6 Months]],0,Apr[[#This Row],[April Weight (kg)]]-Apr[[#This Row],[Highest Weight in the Past 3 - 6 Months]])))</f>
        <v/>
      </c>
      <c r="J17"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7" s="130"/>
      <c r="L17" s="131"/>
      <c r="M17"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7" s="64" t="str">
        <f>IF(Apr[[#This Row],[Name]]="","",IF(Apr[[#This Row],[April MUST Score ]]=0,"Low",IF(Apr[[#This Row],[April MUST Score ]]=1,"Medium","High")))</f>
        <v/>
      </c>
      <c r="O17" s="10"/>
      <c r="P17" s="70"/>
      <c r="Q17" s="12"/>
      <c r="R17" s="17"/>
      <c r="S17" s="10"/>
      <c r="T17" s="17"/>
      <c r="U17" s="70"/>
      <c r="V17" s="11"/>
      <c r="W17" s="94"/>
      <c r="X17" s="12"/>
      <c r="Y17" s="11"/>
    </row>
    <row r="18" spans="2:25" x14ac:dyDescent="0.25">
      <c r="B18" s="12"/>
      <c r="C18" s="129"/>
      <c r="D18" s="94"/>
      <c r="E18" s="58" t="str">
        <f>IF(Apr[[#This Row],[Name]]="","",Apr[[#This Row],[April Weight (kg)]]/(VLOOKUP(Apr[[#This Row],[Name]],Overview[],2,FALSE)/100)^2)</f>
        <v/>
      </c>
      <c r="F18" s="58" t="str">
        <f>IF(Apr[[#This Row],[Name]]="","",IF(VLOOKUP(Apr[[#This Row],[Name]],Overview[],11,FALSE)="","N/A",Apr[[#This Row],[April Weight (kg)]]-VLOOKUP(Apr[[#This Row],[Name]],Overview[],11,FALSE)))</f>
        <v/>
      </c>
      <c r="G18" s="175" t="str">
        <f>IF(Apr[[#This Row],[Name]]="","",IF(VLOOKUP(Apr[[#This Row],[Name]],Overview[],11,FALSE)="","N/A",(Apr[[#This Row],[April Weight (kg)]]-VLOOKUP(Apr[[#This Row],[Name]],Overview[],11,FALSE))/VLOOKUP(Apr[[#This Row],[Name]],Overview[],11,FALSE)))</f>
        <v/>
      </c>
      <c r="H18" s="61" t="str" cm="1">
        <f t="array" ref="H18">IF(Apr[[#This Row],[Name]]="","",IF(SUMPRODUCT((Overview[Name]=Apr[[#This Row],[Name]])*ISNUMBER(Overview[[October 
Weight (kg)]:[January 
Weight (kg)]]))=0,"N/A",MAX(IF((Overview[Name]=Apr[[#This Row],[Name]])*ISNUMBER(Overview[[October 
Weight (kg)]:[January 
Weight (kg)]]),Overview[[October 
Weight (kg)]:[January 
Weight (kg)]]))))</f>
        <v/>
      </c>
      <c r="I18" s="57" t="str">
        <f>IF(Apr[[#This Row],[Name]]="","",IF(NOT(ISNUMBER(Apr[[#This Row],[Highest Weight in the Past 3 - 6 Months]])),"N/A",IF(Apr[[#This Row],[April Weight (kg)]]=Apr[[#This Row],[Highest Weight in the Past 3 - 6 Months]],0,Apr[[#This Row],[April Weight (kg)]]-Apr[[#This Row],[Highest Weight in the Past 3 - 6 Months]])))</f>
        <v/>
      </c>
      <c r="J18"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8" s="130"/>
      <c r="L18" s="131"/>
      <c r="M18"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8" s="64" t="str">
        <f>IF(Apr[[#This Row],[Name]]="","",IF(Apr[[#This Row],[April MUST Score ]]=0,"Low",IF(Apr[[#This Row],[April MUST Score ]]=1,"Medium","High")))</f>
        <v/>
      </c>
      <c r="O18" s="10"/>
      <c r="P18" s="70"/>
      <c r="Q18" s="12"/>
      <c r="R18" s="17"/>
      <c r="S18" s="10"/>
      <c r="T18" s="17"/>
      <c r="U18" s="70"/>
      <c r="V18" s="11"/>
      <c r="W18" s="94"/>
      <c r="X18" s="12"/>
      <c r="Y18" s="11"/>
    </row>
    <row r="19" spans="2:25" x14ac:dyDescent="0.25">
      <c r="B19" s="12"/>
      <c r="C19" s="129"/>
      <c r="D19" s="94"/>
      <c r="E19" s="58" t="str">
        <f>IF(Apr[[#This Row],[Name]]="","",Apr[[#This Row],[April Weight (kg)]]/(VLOOKUP(Apr[[#This Row],[Name]],Overview[],2,FALSE)/100)^2)</f>
        <v/>
      </c>
      <c r="F19" s="58" t="str">
        <f>IF(Apr[[#This Row],[Name]]="","",IF(VLOOKUP(Apr[[#This Row],[Name]],Overview[],11,FALSE)="","N/A",Apr[[#This Row],[April Weight (kg)]]-VLOOKUP(Apr[[#This Row],[Name]],Overview[],11,FALSE)))</f>
        <v/>
      </c>
      <c r="G19" s="175" t="str">
        <f>IF(Apr[[#This Row],[Name]]="","",IF(VLOOKUP(Apr[[#This Row],[Name]],Overview[],11,FALSE)="","N/A",(Apr[[#This Row],[April Weight (kg)]]-VLOOKUP(Apr[[#This Row],[Name]],Overview[],11,FALSE))/VLOOKUP(Apr[[#This Row],[Name]],Overview[],11,FALSE)))</f>
        <v/>
      </c>
      <c r="H19" s="61" t="str" cm="1">
        <f t="array" ref="H19">IF(Apr[[#This Row],[Name]]="","",IF(SUMPRODUCT((Overview[Name]=Apr[[#This Row],[Name]])*ISNUMBER(Overview[[October 
Weight (kg)]:[January 
Weight (kg)]]))=0,"N/A",MAX(IF((Overview[Name]=Apr[[#This Row],[Name]])*ISNUMBER(Overview[[October 
Weight (kg)]:[January 
Weight (kg)]]),Overview[[October 
Weight (kg)]:[January 
Weight (kg)]]))))</f>
        <v/>
      </c>
      <c r="I19" s="57" t="str">
        <f>IF(Apr[[#This Row],[Name]]="","",IF(NOT(ISNUMBER(Apr[[#This Row],[Highest Weight in the Past 3 - 6 Months]])),"N/A",IF(Apr[[#This Row],[April Weight (kg)]]=Apr[[#This Row],[Highest Weight in the Past 3 - 6 Months]],0,Apr[[#This Row],[April Weight (kg)]]-Apr[[#This Row],[Highest Weight in the Past 3 - 6 Months]])))</f>
        <v/>
      </c>
      <c r="J19"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19" s="130"/>
      <c r="L19" s="131"/>
      <c r="M19"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19" s="64" t="str">
        <f>IF(Apr[[#This Row],[Name]]="","",IF(Apr[[#This Row],[April MUST Score ]]=0,"Low",IF(Apr[[#This Row],[April MUST Score ]]=1,"Medium","High")))</f>
        <v/>
      </c>
      <c r="O19" s="10"/>
      <c r="P19" s="70"/>
      <c r="Q19" s="12"/>
      <c r="R19" s="17"/>
      <c r="S19" s="10"/>
      <c r="T19" s="17"/>
      <c r="U19" s="70"/>
      <c r="V19" s="11"/>
      <c r="W19" s="94"/>
      <c r="X19" s="12"/>
      <c r="Y19" s="11"/>
    </row>
    <row r="20" spans="2:25" x14ac:dyDescent="0.25">
      <c r="B20" s="12"/>
      <c r="C20" s="129"/>
      <c r="D20" s="94"/>
      <c r="E20" s="58" t="str">
        <f>IF(Apr[[#This Row],[Name]]="","",Apr[[#This Row],[April Weight (kg)]]/(VLOOKUP(Apr[[#This Row],[Name]],Overview[],2,FALSE)/100)^2)</f>
        <v/>
      </c>
      <c r="F20" s="58" t="str">
        <f>IF(Apr[[#This Row],[Name]]="","",IF(VLOOKUP(Apr[[#This Row],[Name]],Overview[],11,FALSE)="","N/A",Apr[[#This Row],[April Weight (kg)]]-VLOOKUP(Apr[[#This Row],[Name]],Overview[],11,FALSE)))</f>
        <v/>
      </c>
      <c r="G20" s="175" t="str">
        <f>IF(Apr[[#This Row],[Name]]="","",IF(VLOOKUP(Apr[[#This Row],[Name]],Overview[],11,FALSE)="","N/A",(Apr[[#This Row],[April Weight (kg)]]-VLOOKUP(Apr[[#This Row],[Name]],Overview[],11,FALSE))/VLOOKUP(Apr[[#This Row],[Name]],Overview[],11,FALSE)))</f>
        <v/>
      </c>
      <c r="H20" s="61" t="str" cm="1">
        <f t="array" ref="H20">IF(Apr[[#This Row],[Name]]="","",IF(SUMPRODUCT((Overview[Name]=Apr[[#This Row],[Name]])*ISNUMBER(Overview[[October 
Weight (kg)]:[January 
Weight (kg)]]))=0,"N/A",MAX(IF((Overview[Name]=Apr[[#This Row],[Name]])*ISNUMBER(Overview[[October 
Weight (kg)]:[January 
Weight (kg)]]),Overview[[October 
Weight (kg)]:[January 
Weight (kg)]]))))</f>
        <v/>
      </c>
      <c r="I20" s="57" t="str">
        <f>IF(Apr[[#This Row],[Name]]="","",IF(NOT(ISNUMBER(Apr[[#This Row],[Highest Weight in the Past 3 - 6 Months]])),"N/A",IF(Apr[[#This Row],[April Weight (kg)]]=Apr[[#This Row],[Highest Weight in the Past 3 - 6 Months]],0,Apr[[#This Row],[April Weight (kg)]]-Apr[[#This Row],[Highest Weight in the Past 3 - 6 Months]])))</f>
        <v/>
      </c>
      <c r="J20"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0" s="130"/>
      <c r="L20" s="131"/>
      <c r="M20"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0" s="64" t="str">
        <f>IF(Apr[[#This Row],[Name]]="","",IF(Apr[[#This Row],[April MUST Score ]]=0,"Low",IF(Apr[[#This Row],[April MUST Score ]]=1,"Medium","High")))</f>
        <v/>
      </c>
      <c r="O20" s="10"/>
      <c r="P20" s="70"/>
      <c r="Q20" s="12"/>
      <c r="R20" s="17"/>
      <c r="S20" s="10"/>
      <c r="T20" s="17"/>
      <c r="U20" s="70"/>
      <c r="V20" s="11"/>
      <c r="W20" s="94"/>
      <c r="X20" s="12"/>
      <c r="Y20" s="11"/>
    </row>
    <row r="21" spans="2:25" x14ac:dyDescent="0.25">
      <c r="B21" s="12"/>
      <c r="C21" s="129"/>
      <c r="D21" s="94"/>
      <c r="E21" s="58" t="str">
        <f>IF(Apr[[#This Row],[Name]]="","",Apr[[#This Row],[April Weight (kg)]]/(VLOOKUP(Apr[[#This Row],[Name]],Overview[],2,FALSE)/100)^2)</f>
        <v/>
      </c>
      <c r="F21" s="58" t="str">
        <f>IF(Apr[[#This Row],[Name]]="","",IF(VLOOKUP(Apr[[#This Row],[Name]],Overview[],11,FALSE)="","N/A",Apr[[#This Row],[April Weight (kg)]]-VLOOKUP(Apr[[#This Row],[Name]],Overview[],11,FALSE)))</f>
        <v/>
      </c>
      <c r="G21" s="175" t="str">
        <f>IF(Apr[[#This Row],[Name]]="","",IF(VLOOKUP(Apr[[#This Row],[Name]],Overview[],11,FALSE)="","N/A",(Apr[[#This Row],[April Weight (kg)]]-VLOOKUP(Apr[[#This Row],[Name]],Overview[],11,FALSE))/VLOOKUP(Apr[[#This Row],[Name]],Overview[],11,FALSE)))</f>
        <v/>
      </c>
      <c r="H21" s="61" t="str" cm="1">
        <f t="array" ref="H21">IF(Apr[[#This Row],[Name]]="","",IF(SUMPRODUCT((Overview[Name]=Apr[[#This Row],[Name]])*ISNUMBER(Overview[[October 
Weight (kg)]:[January 
Weight (kg)]]))=0,"N/A",MAX(IF((Overview[Name]=Apr[[#This Row],[Name]])*ISNUMBER(Overview[[October 
Weight (kg)]:[January 
Weight (kg)]]),Overview[[October 
Weight (kg)]:[January 
Weight (kg)]]))))</f>
        <v/>
      </c>
      <c r="I21" s="57" t="str">
        <f>IF(Apr[[#This Row],[Name]]="","",IF(NOT(ISNUMBER(Apr[[#This Row],[Highest Weight in the Past 3 - 6 Months]])),"N/A",IF(Apr[[#This Row],[April Weight (kg)]]=Apr[[#This Row],[Highest Weight in the Past 3 - 6 Months]],0,Apr[[#This Row],[April Weight (kg)]]-Apr[[#This Row],[Highest Weight in the Past 3 - 6 Months]])))</f>
        <v/>
      </c>
      <c r="J21"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1" s="130"/>
      <c r="L21" s="131"/>
      <c r="M21"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1" s="64" t="str">
        <f>IF(Apr[[#This Row],[Name]]="","",IF(Apr[[#This Row],[April MUST Score ]]=0,"Low",IF(Apr[[#This Row],[April MUST Score ]]=1,"Medium","High")))</f>
        <v/>
      </c>
      <c r="O21" s="10"/>
      <c r="P21" s="70"/>
      <c r="Q21" s="12"/>
      <c r="R21" s="17"/>
      <c r="S21" s="10"/>
      <c r="T21" s="17"/>
      <c r="U21" s="70"/>
      <c r="V21" s="11"/>
      <c r="W21" s="94"/>
      <c r="X21" s="12"/>
      <c r="Y21" s="11"/>
    </row>
    <row r="22" spans="2:25" x14ac:dyDescent="0.25">
      <c r="B22" s="12"/>
      <c r="C22" s="129"/>
      <c r="D22" s="94"/>
      <c r="E22" s="58" t="str">
        <f>IF(Apr[[#This Row],[Name]]="","",Apr[[#This Row],[April Weight (kg)]]/(VLOOKUP(Apr[[#This Row],[Name]],Overview[],2,FALSE)/100)^2)</f>
        <v/>
      </c>
      <c r="F22" s="58" t="str">
        <f>IF(Apr[[#This Row],[Name]]="","",IF(VLOOKUP(Apr[[#This Row],[Name]],Overview[],11,FALSE)="","N/A",Apr[[#This Row],[April Weight (kg)]]-VLOOKUP(Apr[[#This Row],[Name]],Overview[],11,FALSE)))</f>
        <v/>
      </c>
      <c r="G22" s="175" t="str">
        <f>IF(Apr[[#This Row],[Name]]="","",IF(VLOOKUP(Apr[[#This Row],[Name]],Overview[],11,FALSE)="","N/A",(Apr[[#This Row],[April Weight (kg)]]-VLOOKUP(Apr[[#This Row],[Name]],Overview[],11,FALSE))/VLOOKUP(Apr[[#This Row],[Name]],Overview[],11,FALSE)))</f>
        <v/>
      </c>
      <c r="H22" s="61" t="str" cm="1">
        <f t="array" ref="H22">IF(Apr[[#This Row],[Name]]="","",IF(SUMPRODUCT((Overview[Name]=Apr[[#This Row],[Name]])*ISNUMBER(Overview[[October 
Weight (kg)]:[January 
Weight (kg)]]))=0,"N/A",MAX(IF((Overview[Name]=Apr[[#This Row],[Name]])*ISNUMBER(Overview[[October 
Weight (kg)]:[January 
Weight (kg)]]),Overview[[October 
Weight (kg)]:[January 
Weight (kg)]]))))</f>
        <v/>
      </c>
      <c r="I22" s="57" t="str">
        <f>IF(Apr[[#This Row],[Name]]="","",IF(NOT(ISNUMBER(Apr[[#This Row],[Highest Weight in the Past 3 - 6 Months]])),"N/A",IF(Apr[[#This Row],[April Weight (kg)]]=Apr[[#This Row],[Highest Weight in the Past 3 - 6 Months]],0,Apr[[#This Row],[April Weight (kg)]]-Apr[[#This Row],[Highest Weight in the Past 3 - 6 Months]])))</f>
        <v/>
      </c>
      <c r="J22"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2" s="130"/>
      <c r="L22" s="131"/>
      <c r="M22"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2" s="64" t="str">
        <f>IF(Apr[[#This Row],[Name]]="","",IF(Apr[[#This Row],[April MUST Score ]]=0,"Low",IF(Apr[[#This Row],[April MUST Score ]]=1,"Medium","High")))</f>
        <v/>
      </c>
      <c r="O22" s="10"/>
      <c r="P22" s="70"/>
      <c r="Q22" s="12"/>
      <c r="R22" s="17"/>
      <c r="S22" s="10"/>
      <c r="T22" s="17"/>
      <c r="U22" s="70"/>
      <c r="V22" s="11"/>
      <c r="W22" s="94"/>
      <c r="X22" s="12"/>
      <c r="Y22" s="11"/>
    </row>
    <row r="23" spans="2:25" x14ac:dyDescent="0.25">
      <c r="B23" s="12"/>
      <c r="C23" s="129"/>
      <c r="D23" s="94"/>
      <c r="E23" s="58" t="str">
        <f>IF(Apr[[#This Row],[Name]]="","",Apr[[#This Row],[April Weight (kg)]]/(VLOOKUP(Apr[[#This Row],[Name]],Overview[],2,FALSE)/100)^2)</f>
        <v/>
      </c>
      <c r="F23" s="58" t="str">
        <f>IF(Apr[[#This Row],[Name]]="","",IF(VLOOKUP(Apr[[#This Row],[Name]],Overview[],11,FALSE)="","N/A",Apr[[#This Row],[April Weight (kg)]]-VLOOKUP(Apr[[#This Row],[Name]],Overview[],11,FALSE)))</f>
        <v/>
      </c>
      <c r="G23" s="175" t="str">
        <f>IF(Apr[[#This Row],[Name]]="","",IF(VLOOKUP(Apr[[#This Row],[Name]],Overview[],11,FALSE)="","N/A",(Apr[[#This Row],[April Weight (kg)]]-VLOOKUP(Apr[[#This Row],[Name]],Overview[],11,FALSE))/VLOOKUP(Apr[[#This Row],[Name]],Overview[],11,FALSE)))</f>
        <v/>
      </c>
      <c r="H23" s="61" t="str" cm="1">
        <f t="array" ref="H23">IF(Apr[[#This Row],[Name]]="","",IF(SUMPRODUCT((Overview[Name]=Apr[[#This Row],[Name]])*ISNUMBER(Overview[[October 
Weight (kg)]:[January 
Weight (kg)]]))=0,"N/A",MAX(IF((Overview[Name]=Apr[[#This Row],[Name]])*ISNUMBER(Overview[[October 
Weight (kg)]:[January 
Weight (kg)]]),Overview[[October 
Weight (kg)]:[January 
Weight (kg)]]))))</f>
        <v/>
      </c>
      <c r="I23" s="57" t="str">
        <f>IF(Apr[[#This Row],[Name]]="","",IF(NOT(ISNUMBER(Apr[[#This Row],[Highest Weight in the Past 3 - 6 Months]])),"N/A",IF(Apr[[#This Row],[April Weight (kg)]]=Apr[[#This Row],[Highest Weight in the Past 3 - 6 Months]],0,Apr[[#This Row],[April Weight (kg)]]-Apr[[#This Row],[Highest Weight in the Past 3 - 6 Months]])))</f>
        <v/>
      </c>
      <c r="J23"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3" s="130"/>
      <c r="L23" s="131"/>
      <c r="M23"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3" s="64" t="str">
        <f>IF(Apr[[#This Row],[Name]]="","",IF(Apr[[#This Row],[April MUST Score ]]=0,"Low",IF(Apr[[#This Row],[April MUST Score ]]=1,"Medium","High")))</f>
        <v/>
      </c>
      <c r="O23" s="10"/>
      <c r="P23" s="70"/>
      <c r="Q23" s="12"/>
      <c r="R23" s="17"/>
      <c r="S23" s="10"/>
      <c r="T23" s="17"/>
      <c r="U23" s="70"/>
      <c r="V23" s="11"/>
      <c r="W23" s="94"/>
      <c r="X23" s="12"/>
      <c r="Y23" s="11"/>
    </row>
    <row r="24" spans="2:25" x14ac:dyDescent="0.25">
      <c r="B24" s="12"/>
      <c r="C24" s="129"/>
      <c r="D24" s="94"/>
      <c r="E24" s="58" t="str">
        <f>IF(Apr[[#This Row],[Name]]="","",Apr[[#This Row],[April Weight (kg)]]/(VLOOKUP(Apr[[#This Row],[Name]],Overview[],2,FALSE)/100)^2)</f>
        <v/>
      </c>
      <c r="F24" s="58" t="str">
        <f>IF(Apr[[#This Row],[Name]]="","",IF(VLOOKUP(Apr[[#This Row],[Name]],Overview[],11,FALSE)="","N/A",Apr[[#This Row],[April Weight (kg)]]-VLOOKUP(Apr[[#This Row],[Name]],Overview[],11,FALSE)))</f>
        <v/>
      </c>
      <c r="G24" s="175" t="str">
        <f>IF(Apr[[#This Row],[Name]]="","",IF(VLOOKUP(Apr[[#This Row],[Name]],Overview[],11,FALSE)="","N/A",(Apr[[#This Row],[April Weight (kg)]]-VLOOKUP(Apr[[#This Row],[Name]],Overview[],11,FALSE))/VLOOKUP(Apr[[#This Row],[Name]],Overview[],11,FALSE)))</f>
        <v/>
      </c>
      <c r="H24" s="61" t="str" cm="1">
        <f t="array" ref="H24">IF(Apr[[#This Row],[Name]]="","",IF(SUMPRODUCT((Overview[Name]=Apr[[#This Row],[Name]])*ISNUMBER(Overview[[October 
Weight (kg)]:[January 
Weight (kg)]]))=0,"N/A",MAX(IF((Overview[Name]=Apr[[#This Row],[Name]])*ISNUMBER(Overview[[October 
Weight (kg)]:[January 
Weight (kg)]]),Overview[[October 
Weight (kg)]:[January 
Weight (kg)]]))))</f>
        <v/>
      </c>
      <c r="I24" s="57" t="str">
        <f>IF(Apr[[#This Row],[Name]]="","",IF(NOT(ISNUMBER(Apr[[#This Row],[Highest Weight in the Past 3 - 6 Months]])),"N/A",IF(Apr[[#This Row],[April Weight (kg)]]=Apr[[#This Row],[Highest Weight in the Past 3 - 6 Months]],0,Apr[[#This Row],[April Weight (kg)]]-Apr[[#This Row],[Highest Weight in the Past 3 - 6 Months]])))</f>
        <v/>
      </c>
      <c r="J24"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4" s="130"/>
      <c r="L24" s="131"/>
      <c r="M24"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4" s="64" t="str">
        <f>IF(Apr[[#This Row],[Name]]="","",IF(Apr[[#This Row],[April MUST Score ]]=0,"Low",IF(Apr[[#This Row],[April MUST Score ]]=1,"Medium","High")))</f>
        <v/>
      </c>
      <c r="O24" s="10"/>
      <c r="P24" s="70"/>
      <c r="Q24" s="12"/>
      <c r="R24" s="17"/>
      <c r="S24" s="10"/>
      <c r="T24" s="17"/>
      <c r="U24" s="70"/>
      <c r="V24" s="11"/>
      <c r="W24" s="94"/>
      <c r="X24" s="12"/>
      <c r="Y24" s="11"/>
    </row>
    <row r="25" spans="2:25" x14ac:dyDescent="0.25">
      <c r="B25" s="12"/>
      <c r="C25" s="129"/>
      <c r="D25" s="94"/>
      <c r="E25" s="58" t="str">
        <f>IF(Apr[[#This Row],[Name]]="","",Apr[[#This Row],[April Weight (kg)]]/(VLOOKUP(Apr[[#This Row],[Name]],Overview[],2,FALSE)/100)^2)</f>
        <v/>
      </c>
      <c r="F25" s="58" t="str">
        <f>IF(Apr[[#This Row],[Name]]="","",IF(VLOOKUP(Apr[[#This Row],[Name]],Overview[],11,FALSE)="","N/A",Apr[[#This Row],[April Weight (kg)]]-VLOOKUP(Apr[[#This Row],[Name]],Overview[],11,FALSE)))</f>
        <v/>
      </c>
      <c r="G25" s="175" t="str">
        <f>IF(Apr[[#This Row],[Name]]="","",IF(VLOOKUP(Apr[[#This Row],[Name]],Overview[],11,FALSE)="","N/A",(Apr[[#This Row],[April Weight (kg)]]-VLOOKUP(Apr[[#This Row],[Name]],Overview[],11,FALSE))/VLOOKUP(Apr[[#This Row],[Name]],Overview[],11,FALSE)))</f>
        <v/>
      </c>
      <c r="H25" s="61" t="str" cm="1">
        <f t="array" ref="H25">IF(Apr[[#This Row],[Name]]="","",IF(SUMPRODUCT((Overview[Name]=Apr[[#This Row],[Name]])*ISNUMBER(Overview[[October 
Weight (kg)]:[January 
Weight (kg)]]))=0,"N/A",MAX(IF((Overview[Name]=Apr[[#This Row],[Name]])*ISNUMBER(Overview[[October 
Weight (kg)]:[January 
Weight (kg)]]),Overview[[October 
Weight (kg)]:[January 
Weight (kg)]]))))</f>
        <v/>
      </c>
      <c r="I25" s="57" t="str">
        <f>IF(Apr[[#This Row],[Name]]="","",IF(NOT(ISNUMBER(Apr[[#This Row],[Highest Weight in the Past 3 - 6 Months]])),"N/A",IF(Apr[[#This Row],[April Weight (kg)]]=Apr[[#This Row],[Highest Weight in the Past 3 - 6 Months]],0,Apr[[#This Row],[April Weight (kg)]]-Apr[[#This Row],[Highest Weight in the Past 3 - 6 Months]])))</f>
        <v/>
      </c>
      <c r="J25"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5" s="130"/>
      <c r="L25" s="131"/>
      <c r="M25"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5" s="64" t="str">
        <f>IF(Apr[[#This Row],[Name]]="","",IF(Apr[[#This Row],[April MUST Score ]]=0,"Low",IF(Apr[[#This Row],[April MUST Score ]]=1,"Medium","High")))</f>
        <v/>
      </c>
      <c r="O25" s="10"/>
      <c r="P25" s="70"/>
      <c r="Q25" s="12"/>
      <c r="R25" s="17"/>
      <c r="S25" s="10"/>
      <c r="T25" s="17"/>
      <c r="U25" s="70"/>
      <c r="V25" s="11"/>
      <c r="W25" s="94"/>
      <c r="X25" s="12"/>
      <c r="Y25" s="11"/>
    </row>
    <row r="26" spans="2:25" x14ac:dyDescent="0.25">
      <c r="B26" s="12"/>
      <c r="C26" s="129"/>
      <c r="D26" s="94"/>
      <c r="E26" s="58" t="str">
        <f>IF(Apr[[#This Row],[Name]]="","",Apr[[#This Row],[April Weight (kg)]]/(VLOOKUP(Apr[[#This Row],[Name]],Overview[],2,FALSE)/100)^2)</f>
        <v/>
      </c>
      <c r="F26" s="58" t="str">
        <f>IF(Apr[[#This Row],[Name]]="","",IF(VLOOKUP(Apr[[#This Row],[Name]],Overview[],11,FALSE)="","N/A",Apr[[#This Row],[April Weight (kg)]]-VLOOKUP(Apr[[#This Row],[Name]],Overview[],11,FALSE)))</f>
        <v/>
      </c>
      <c r="G26" s="175" t="str">
        <f>IF(Apr[[#This Row],[Name]]="","",IF(VLOOKUP(Apr[[#This Row],[Name]],Overview[],11,FALSE)="","N/A",(Apr[[#This Row],[April Weight (kg)]]-VLOOKUP(Apr[[#This Row],[Name]],Overview[],11,FALSE))/VLOOKUP(Apr[[#This Row],[Name]],Overview[],11,FALSE)))</f>
        <v/>
      </c>
      <c r="H26" s="61" t="str" cm="1">
        <f t="array" ref="H26">IF(Apr[[#This Row],[Name]]="","",IF(SUMPRODUCT((Overview[Name]=Apr[[#This Row],[Name]])*ISNUMBER(Overview[[October 
Weight (kg)]:[January 
Weight (kg)]]))=0,"N/A",MAX(IF((Overview[Name]=Apr[[#This Row],[Name]])*ISNUMBER(Overview[[October 
Weight (kg)]:[January 
Weight (kg)]]),Overview[[October 
Weight (kg)]:[January 
Weight (kg)]]))))</f>
        <v/>
      </c>
      <c r="I26" s="57" t="str">
        <f>IF(Apr[[#This Row],[Name]]="","",IF(NOT(ISNUMBER(Apr[[#This Row],[Highest Weight in the Past 3 - 6 Months]])),"N/A",IF(Apr[[#This Row],[April Weight (kg)]]=Apr[[#This Row],[Highest Weight in the Past 3 - 6 Months]],0,Apr[[#This Row],[April Weight (kg)]]-Apr[[#This Row],[Highest Weight in the Past 3 - 6 Months]])))</f>
        <v/>
      </c>
      <c r="J26"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6" s="130"/>
      <c r="L26" s="131"/>
      <c r="M26"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6" s="64" t="str">
        <f>IF(Apr[[#This Row],[Name]]="","",IF(Apr[[#This Row],[April MUST Score ]]=0,"Low",IF(Apr[[#This Row],[April MUST Score ]]=1,"Medium","High")))</f>
        <v/>
      </c>
      <c r="O26" s="10"/>
      <c r="P26" s="70"/>
      <c r="Q26" s="12"/>
      <c r="R26" s="17"/>
      <c r="S26" s="10"/>
      <c r="T26" s="17"/>
      <c r="U26" s="70"/>
      <c r="V26" s="11"/>
      <c r="W26" s="94"/>
      <c r="X26" s="12"/>
      <c r="Y26" s="11"/>
    </row>
    <row r="27" spans="2:25" x14ac:dyDescent="0.25">
      <c r="B27" s="12"/>
      <c r="C27" s="129"/>
      <c r="D27" s="94"/>
      <c r="E27" s="58" t="str">
        <f>IF(Apr[[#This Row],[Name]]="","",Apr[[#This Row],[April Weight (kg)]]/(VLOOKUP(Apr[[#This Row],[Name]],Overview[],2,FALSE)/100)^2)</f>
        <v/>
      </c>
      <c r="F27" s="58" t="str">
        <f>IF(Apr[[#This Row],[Name]]="","",IF(VLOOKUP(Apr[[#This Row],[Name]],Overview[],11,FALSE)="","N/A",Apr[[#This Row],[April Weight (kg)]]-VLOOKUP(Apr[[#This Row],[Name]],Overview[],11,FALSE)))</f>
        <v/>
      </c>
      <c r="G27" s="175" t="str">
        <f>IF(Apr[[#This Row],[Name]]="","",IF(VLOOKUP(Apr[[#This Row],[Name]],Overview[],11,FALSE)="","N/A",(Apr[[#This Row],[April Weight (kg)]]-VLOOKUP(Apr[[#This Row],[Name]],Overview[],11,FALSE))/VLOOKUP(Apr[[#This Row],[Name]],Overview[],11,FALSE)))</f>
        <v/>
      </c>
      <c r="H27" s="61" t="str" cm="1">
        <f t="array" ref="H27">IF(Apr[[#This Row],[Name]]="","",IF(SUMPRODUCT((Overview[Name]=Apr[[#This Row],[Name]])*ISNUMBER(Overview[[October 
Weight (kg)]:[January 
Weight (kg)]]))=0,"N/A",MAX(IF((Overview[Name]=Apr[[#This Row],[Name]])*ISNUMBER(Overview[[October 
Weight (kg)]:[January 
Weight (kg)]]),Overview[[October 
Weight (kg)]:[January 
Weight (kg)]]))))</f>
        <v/>
      </c>
      <c r="I27" s="57" t="str">
        <f>IF(Apr[[#This Row],[Name]]="","",IF(NOT(ISNUMBER(Apr[[#This Row],[Highest Weight in the Past 3 - 6 Months]])),"N/A",IF(Apr[[#This Row],[April Weight (kg)]]=Apr[[#This Row],[Highest Weight in the Past 3 - 6 Months]],0,Apr[[#This Row],[April Weight (kg)]]-Apr[[#This Row],[Highest Weight in the Past 3 - 6 Months]])))</f>
        <v/>
      </c>
      <c r="J27"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7" s="130"/>
      <c r="L27" s="131"/>
      <c r="M27"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7" s="64" t="str">
        <f>IF(Apr[[#This Row],[Name]]="","",IF(Apr[[#This Row],[April MUST Score ]]=0,"Low",IF(Apr[[#This Row],[April MUST Score ]]=1,"Medium","High")))</f>
        <v/>
      </c>
      <c r="O27" s="10"/>
      <c r="P27" s="70"/>
      <c r="Q27" s="12"/>
      <c r="R27" s="17"/>
      <c r="S27" s="10"/>
      <c r="T27" s="17"/>
      <c r="U27" s="70"/>
      <c r="V27" s="11"/>
      <c r="W27" s="94"/>
      <c r="X27" s="12"/>
      <c r="Y27" s="11"/>
    </row>
    <row r="28" spans="2:25" x14ac:dyDescent="0.25">
      <c r="B28" s="12"/>
      <c r="C28" s="129"/>
      <c r="D28" s="94"/>
      <c r="E28" s="58" t="str">
        <f>IF(Apr[[#This Row],[Name]]="","",Apr[[#This Row],[April Weight (kg)]]/(VLOOKUP(Apr[[#This Row],[Name]],Overview[],2,FALSE)/100)^2)</f>
        <v/>
      </c>
      <c r="F28" s="58" t="str">
        <f>IF(Apr[[#This Row],[Name]]="","",IF(VLOOKUP(Apr[[#This Row],[Name]],Overview[],11,FALSE)="","N/A",Apr[[#This Row],[April Weight (kg)]]-VLOOKUP(Apr[[#This Row],[Name]],Overview[],11,FALSE)))</f>
        <v/>
      </c>
      <c r="G28" s="175" t="str">
        <f>IF(Apr[[#This Row],[Name]]="","",IF(VLOOKUP(Apr[[#This Row],[Name]],Overview[],11,FALSE)="","N/A",(Apr[[#This Row],[April Weight (kg)]]-VLOOKUP(Apr[[#This Row],[Name]],Overview[],11,FALSE))/VLOOKUP(Apr[[#This Row],[Name]],Overview[],11,FALSE)))</f>
        <v/>
      </c>
      <c r="H28" s="61" t="str" cm="1">
        <f t="array" ref="H28">IF(Apr[[#This Row],[Name]]="","",IF(SUMPRODUCT((Overview[Name]=Apr[[#This Row],[Name]])*ISNUMBER(Overview[[October 
Weight (kg)]:[January 
Weight (kg)]]))=0,"N/A",MAX(IF((Overview[Name]=Apr[[#This Row],[Name]])*ISNUMBER(Overview[[October 
Weight (kg)]:[January 
Weight (kg)]]),Overview[[October 
Weight (kg)]:[January 
Weight (kg)]]))))</f>
        <v/>
      </c>
      <c r="I28" s="57" t="str">
        <f>IF(Apr[[#This Row],[Name]]="","",IF(NOT(ISNUMBER(Apr[[#This Row],[Highest Weight in the Past 3 - 6 Months]])),"N/A",IF(Apr[[#This Row],[April Weight (kg)]]=Apr[[#This Row],[Highest Weight in the Past 3 - 6 Months]],0,Apr[[#This Row],[April Weight (kg)]]-Apr[[#This Row],[Highest Weight in the Past 3 - 6 Months]])))</f>
        <v/>
      </c>
      <c r="J28"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8" s="130"/>
      <c r="L28" s="131"/>
      <c r="M28"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8" s="64" t="str">
        <f>IF(Apr[[#This Row],[Name]]="","",IF(Apr[[#This Row],[April MUST Score ]]=0,"Low",IF(Apr[[#This Row],[April MUST Score ]]=1,"Medium","High")))</f>
        <v/>
      </c>
      <c r="O28" s="10"/>
      <c r="P28" s="70"/>
      <c r="Q28" s="12"/>
      <c r="R28" s="17"/>
      <c r="S28" s="10"/>
      <c r="T28" s="17"/>
      <c r="U28" s="70"/>
      <c r="V28" s="11"/>
      <c r="W28" s="94"/>
      <c r="X28" s="12"/>
      <c r="Y28" s="11"/>
    </row>
    <row r="29" spans="2:25" x14ac:dyDescent="0.25">
      <c r="B29" s="12"/>
      <c r="C29" s="129"/>
      <c r="D29" s="94"/>
      <c r="E29" s="58" t="str">
        <f>IF(Apr[[#This Row],[Name]]="","",Apr[[#This Row],[April Weight (kg)]]/(VLOOKUP(Apr[[#This Row],[Name]],Overview[],2,FALSE)/100)^2)</f>
        <v/>
      </c>
      <c r="F29" s="58" t="str">
        <f>IF(Apr[[#This Row],[Name]]="","",IF(VLOOKUP(Apr[[#This Row],[Name]],Overview[],11,FALSE)="","N/A",Apr[[#This Row],[April Weight (kg)]]-VLOOKUP(Apr[[#This Row],[Name]],Overview[],11,FALSE)))</f>
        <v/>
      </c>
      <c r="G29" s="175" t="str">
        <f>IF(Apr[[#This Row],[Name]]="","",IF(VLOOKUP(Apr[[#This Row],[Name]],Overview[],11,FALSE)="","N/A",(Apr[[#This Row],[April Weight (kg)]]-VLOOKUP(Apr[[#This Row],[Name]],Overview[],11,FALSE))/VLOOKUP(Apr[[#This Row],[Name]],Overview[],11,FALSE)))</f>
        <v/>
      </c>
      <c r="H29" s="61" t="str" cm="1">
        <f t="array" ref="H29">IF(Apr[[#This Row],[Name]]="","",IF(SUMPRODUCT((Overview[Name]=Apr[[#This Row],[Name]])*ISNUMBER(Overview[[October 
Weight (kg)]:[January 
Weight (kg)]]))=0,"N/A",MAX(IF((Overview[Name]=Apr[[#This Row],[Name]])*ISNUMBER(Overview[[October 
Weight (kg)]:[January 
Weight (kg)]]),Overview[[October 
Weight (kg)]:[January 
Weight (kg)]]))))</f>
        <v/>
      </c>
      <c r="I29" s="57" t="str">
        <f>IF(Apr[[#This Row],[Name]]="","",IF(NOT(ISNUMBER(Apr[[#This Row],[Highest Weight in the Past 3 - 6 Months]])),"N/A",IF(Apr[[#This Row],[April Weight (kg)]]=Apr[[#This Row],[Highest Weight in the Past 3 - 6 Months]],0,Apr[[#This Row],[April Weight (kg)]]-Apr[[#This Row],[Highest Weight in the Past 3 - 6 Months]])))</f>
        <v/>
      </c>
      <c r="J29"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29" s="130"/>
      <c r="L29" s="131"/>
      <c r="M29"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29" s="64" t="str">
        <f>IF(Apr[[#This Row],[Name]]="","",IF(Apr[[#This Row],[April MUST Score ]]=0,"Low",IF(Apr[[#This Row],[April MUST Score ]]=1,"Medium","High")))</f>
        <v/>
      </c>
      <c r="O29" s="10"/>
      <c r="P29" s="70"/>
      <c r="Q29" s="12"/>
      <c r="R29" s="17"/>
      <c r="S29" s="10"/>
      <c r="T29" s="17"/>
      <c r="U29" s="70"/>
      <c r="V29" s="11"/>
      <c r="W29" s="94"/>
      <c r="X29" s="12"/>
      <c r="Y29" s="11"/>
    </row>
    <row r="30" spans="2:25" x14ac:dyDescent="0.25">
      <c r="B30" s="12"/>
      <c r="C30" s="129"/>
      <c r="D30" s="94"/>
      <c r="E30" s="58" t="str">
        <f>IF(Apr[[#This Row],[Name]]="","",Apr[[#This Row],[April Weight (kg)]]/(VLOOKUP(Apr[[#This Row],[Name]],Overview[],2,FALSE)/100)^2)</f>
        <v/>
      </c>
      <c r="F30" s="58" t="str">
        <f>IF(Apr[[#This Row],[Name]]="","",IF(VLOOKUP(Apr[[#This Row],[Name]],Overview[],11,FALSE)="","N/A",Apr[[#This Row],[April Weight (kg)]]-VLOOKUP(Apr[[#This Row],[Name]],Overview[],11,FALSE)))</f>
        <v/>
      </c>
      <c r="G30" s="175" t="str">
        <f>IF(Apr[[#This Row],[Name]]="","",IF(VLOOKUP(Apr[[#This Row],[Name]],Overview[],11,FALSE)="","N/A",(Apr[[#This Row],[April Weight (kg)]]-VLOOKUP(Apr[[#This Row],[Name]],Overview[],11,FALSE))/VLOOKUP(Apr[[#This Row],[Name]],Overview[],11,FALSE)))</f>
        <v/>
      </c>
      <c r="H30" s="61" t="str" cm="1">
        <f t="array" ref="H30">IF(Apr[[#This Row],[Name]]="","",IF(SUMPRODUCT((Overview[Name]=Apr[[#This Row],[Name]])*ISNUMBER(Overview[[October 
Weight (kg)]:[January 
Weight (kg)]]))=0,"N/A",MAX(IF((Overview[Name]=Apr[[#This Row],[Name]])*ISNUMBER(Overview[[October 
Weight (kg)]:[January 
Weight (kg)]]),Overview[[October 
Weight (kg)]:[January 
Weight (kg)]]))))</f>
        <v/>
      </c>
      <c r="I30" s="57" t="str">
        <f>IF(Apr[[#This Row],[Name]]="","",IF(NOT(ISNUMBER(Apr[[#This Row],[Highest Weight in the Past 3 - 6 Months]])),"N/A",IF(Apr[[#This Row],[April Weight (kg)]]=Apr[[#This Row],[Highest Weight in the Past 3 - 6 Months]],0,Apr[[#This Row],[April Weight (kg)]]-Apr[[#This Row],[Highest Weight in the Past 3 - 6 Months]])))</f>
        <v/>
      </c>
      <c r="J30"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0" s="130"/>
      <c r="L30" s="131"/>
      <c r="M30"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0" s="64" t="str">
        <f>IF(Apr[[#This Row],[Name]]="","",IF(Apr[[#This Row],[April MUST Score ]]=0,"Low",IF(Apr[[#This Row],[April MUST Score ]]=1,"Medium","High")))</f>
        <v/>
      </c>
      <c r="O30" s="10"/>
      <c r="P30" s="70"/>
      <c r="Q30" s="12"/>
      <c r="R30" s="17"/>
      <c r="S30" s="10"/>
      <c r="T30" s="17"/>
      <c r="U30" s="70"/>
      <c r="V30" s="11"/>
      <c r="W30" s="94"/>
      <c r="X30" s="12"/>
      <c r="Y30" s="11"/>
    </row>
    <row r="31" spans="2:25" x14ac:dyDescent="0.25">
      <c r="B31" s="12"/>
      <c r="C31" s="129"/>
      <c r="D31" s="94"/>
      <c r="E31" s="58" t="str">
        <f>IF(Apr[[#This Row],[Name]]="","",Apr[[#This Row],[April Weight (kg)]]/(VLOOKUP(Apr[[#This Row],[Name]],Overview[],2,FALSE)/100)^2)</f>
        <v/>
      </c>
      <c r="F31" s="58" t="str">
        <f>IF(Apr[[#This Row],[Name]]="","",IF(VLOOKUP(Apr[[#This Row],[Name]],Overview[],11,FALSE)="","N/A",Apr[[#This Row],[April Weight (kg)]]-VLOOKUP(Apr[[#This Row],[Name]],Overview[],11,FALSE)))</f>
        <v/>
      </c>
      <c r="G31" s="175" t="str">
        <f>IF(Apr[[#This Row],[Name]]="","",IF(VLOOKUP(Apr[[#This Row],[Name]],Overview[],11,FALSE)="","N/A",(Apr[[#This Row],[April Weight (kg)]]-VLOOKUP(Apr[[#This Row],[Name]],Overview[],11,FALSE))/VLOOKUP(Apr[[#This Row],[Name]],Overview[],11,FALSE)))</f>
        <v/>
      </c>
      <c r="H31" s="61" t="str" cm="1">
        <f t="array" ref="H31">IF(Apr[[#This Row],[Name]]="","",IF(SUMPRODUCT((Overview[Name]=Apr[[#This Row],[Name]])*ISNUMBER(Overview[[October 
Weight (kg)]:[January 
Weight (kg)]]))=0,"N/A",MAX(IF((Overview[Name]=Apr[[#This Row],[Name]])*ISNUMBER(Overview[[October 
Weight (kg)]:[January 
Weight (kg)]]),Overview[[October 
Weight (kg)]:[January 
Weight (kg)]]))))</f>
        <v/>
      </c>
      <c r="I31" s="57" t="str">
        <f>IF(Apr[[#This Row],[Name]]="","",IF(NOT(ISNUMBER(Apr[[#This Row],[Highest Weight in the Past 3 - 6 Months]])),"N/A",IF(Apr[[#This Row],[April Weight (kg)]]=Apr[[#This Row],[Highest Weight in the Past 3 - 6 Months]],0,Apr[[#This Row],[April Weight (kg)]]-Apr[[#This Row],[Highest Weight in the Past 3 - 6 Months]])))</f>
        <v/>
      </c>
      <c r="J31"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1" s="130"/>
      <c r="L31" s="131"/>
      <c r="M31"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1" s="64" t="str">
        <f>IF(Apr[[#This Row],[Name]]="","",IF(Apr[[#This Row],[April MUST Score ]]=0,"Low",IF(Apr[[#This Row],[April MUST Score ]]=1,"Medium","High")))</f>
        <v/>
      </c>
      <c r="O31" s="10"/>
      <c r="P31" s="70"/>
      <c r="Q31" s="12"/>
      <c r="R31" s="17"/>
      <c r="S31" s="10"/>
      <c r="T31" s="17"/>
      <c r="U31" s="70"/>
      <c r="V31" s="11"/>
      <c r="W31" s="94"/>
      <c r="X31" s="12"/>
      <c r="Y31" s="11"/>
    </row>
    <row r="32" spans="2:25" x14ac:dyDescent="0.25">
      <c r="B32" s="12"/>
      <c r="C32" s="129"/>
      <c r="D32" s="94"/>
      <c r="E32" s="58" t="str">
        <f>IF(Apr[[#This Row],[Name]]="","",Apr[[#This Row],[April Weight (kg)]]/(VLOOKUP(Apr[[#This Row],[Name]],Overview[],2,FALSE)/100)^2)</f>
        <v/>
      </c>
      <c r="F32" s="58" t="str">
        <f>IF(Apr[[#This Row],[Name]]="","",IF(VLOOKUP(Apr[[#This Row],[Name]],Overview[],11,FALSE)="","N/A",Apr[[#This Row],[April Weight (kg)]]-VLOOKUP(Apr[[#This Row],[Name]],Overview[],11,FALSE)))</f>
        <v/>
      </c>
      <c r="G32" s="175" t="str">
        <f>IF(Apr[[#This Row],[Name]]="","",IF(VLOOKUP(Apr[[#This Row],[Name]],Overview[],11,FALSE)="","N/A",(Apr[[#This Row],[April Weight (kg)]]-VLOOKUP(Apr[[#This Row],[Name]],Overview[],11,FALSE))/VLOOKUP(Apr[[#This Row],[Name]],Overview[],11,FALSE)))</f>
        <v/>
      </c>
      <c r="H32" s="61" t="str" cm="1">
        <f t="array" ref="H32">IF(Apr[[#This Row],[Name]]="","",IF(SUMPRODUCT((Overview[Name]=Apr[[#This Row],[Name]])*ISNUMBER(Overview[[October 
Weight (kg)]:[January 
Weight (kg)]]))=0,"N/A",MAX(IF((Overview[Name]=Apr[[#This Row],[Name]])*ISNUMBER(Overview[[October 
Weight (kg)]:[January 
Weight (kg)]]),Overview[[October 
Weight (kg)]:[January 
Weight (kg)]]))))</f>
        <v/>
      </c>
      <c r="I32" s="57" t="str">
        <f>IF(Apr[[#This Row],[Name]]="","",IF(NOT(ISNUMBER(Apr[[#This Row],[Highest Weight in the Past 3 - 6 Months]])),"N/A",IF(Apr[[#This Row],[April Weight (kg)]]=Apr[[#This Row],[Highest Weight in the Past 3 - 6 Months]],0,Apr[[#This Row],[April Weight (kg)]]-Apr[[#This Row],[Highest Weight in the Past 3 - 6 Months]])))</f>
        <v/>
      </c>
      <c r="J32"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2" s="130"/>
      <c r="L32" s="131"/>
      <c r="M32"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2" s="64" t="str">
        <f>IF(Apr[[#This Row],[Name]]="","",IF(Apr[[#This Row],[April MUST Score ]]=0,"Low",IF(Apr[[#This Row],[April MUST Score ]]=1,"Medium","High")))</f>
        <v/>
      </c>
      <c r="O32" s="10"/>
      <c r="P32" s="70"/>
      <c r="Q32" s="12"/>
      <c r="R32" s="17"/>
      <c r="S32" s="10"/>
      <c r="T32" s="17"/>
      <c r="U32" s="70"/>
      <c r="V32" s="11"/>
      <c r="W32" s="94"/>
      <c r="X32" s="12"/>
      <c r="Y32" s="11"/>
    </row>
    <row r="33" spans="2:25" x14ac:dyDescent="0.25">
      <c r="B33" s="12"/>
      <c r="C33" s="129"/>
      <c r="D33" s="94"/>
      <c r="E33" s="58" t="str">
        <f>IF(Apr[[#This Row],[Name]]="","",Apr[[#This Row],[April Weight (kg)]]/(VLOOKUP(Apr[[#This Row],[Name]],Overview[],2,FALSE)/100)^2)</f>
        <v/>
      </c>
      <c r="F33" s="58" t="str">
        <f>IF(Apr[[#This Row],[Name]]="","",IF(VLOOKUP(Apr[[#This Row],[Name]],Overview[],11,FALSE)="","N/A",Apr[[#This Row],[April Weight (kg)]]-VLOOKUP(Apr[[#This Row],[Name]],Overview[],11,FALSE)))</f>
        <v/>
      </c>
      <c r="G33" s="175" t="str">
        <f>IF(Apr[[#This Row],[Name]]="","",IF(VLOOKUP(Apr[[#This Row],[Name]],Overview[],11,FALSE)="","N/A",(Apr[[#This Row],[April Weight (kg)]]-VLOOKUP(Apr[[#This Row],[Name]],Overview[],11,FALSE))/VLOOKUP(Apr[[#This Row],[Name]],Overview[],11,FALSE)))</f>
        <v/>
      </c>
      <c r="H33" s="61" t="str" cm="1">
        <f t="array" ref="H33">IF(Apr[[#This Row],[Name]]="","",IF(SUMPRODUCT((Overview[Name]=Apr[[#This Row],[Name]])*ISNUMBER(Overview[[October 
Weight (kg)]:[January 
Weight (kg)]]))=0,"N/A",MAX(IF((Overview[Name]=Apr[[#This Row],[Name]])*ISNUMBER(Overview[[October 
Weight (kg)]:[January 
Weight (kg)]]),Overview[[October 
Weight (kg)]:[January 
Weight (kg)]]))))</f>
        <v/>
      </c>
      <c r="I33" s="57" t="str">
        <f>IF(Apr[[#This Row],[Name]]="","",IF(NOT(ISNUMBER(Apr[[#This Row],[Highest Weight in the Past 3 - 6 Months]])),"N/A",IF(Apr[[#This Row],[April Weight (kg)]]=Apr[[#This Row],[Highest Weight in the Past 3 - 6 Months]],0,Apr[[#This Row],[April Weight (kg)]]-Apr[[#This Row],[Highest Weight in the Past 3 - 6 Months]])))</f>
        <v/>
      </c>
      <c r="J33"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3" s="130"/>
      <c r="L33" s="131"/>
      <c r="M33"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3" s="64" t="str">
        <f>IF(Apr[[#This Row],[Name]]="","",IF(Apr[[#This Row],[April MUST Score ]]=0,"Low",IF(Apr[[#This Row],[April MUST Score ]]=1,"Medium","High")))</f>
        <v/>
      </c>
      <c r="O33" s="10"/>
      <c r="P33" s="70"/>
      <c r="Q33" s="12"/>
      <c r="R33" s="17"/>
      <c r="S33" s="10"/>
      <c r="T33" s="17"/>
      <c r="U33" s="70"/>
      <c r="V33" s="11"/>
      <c r="W33" s="94"/>
      <c r="X33" s="12"/>
      <c r="Y33" s="11"/>
    </row>
    <row r="34" spans="2:25" x14ac:dyDescent="0.25">
      <c r="B34" s="12"/>
      <c r="C34" s="129"/>
      <c r="D34" s="94"/>
      <c r="E34" s="58" t="str">
        <f>IF(Apr[[#This Row],[Name]]="","",Apr[[#This Row],[April Weight (kg)]]/(VLOOKUP(Apr[[#This Row],[Name]],Overview[],2,FALSE)/100)^2)</f>
        <v/>
      </c>
      <c r="F34" s="58" t="str">
        <f>IF(Apr[[#This Row],[Name]]="","",IF(VLOOKUP(Apr[[#This Row],[Name]],Overview[],11,FALSE)="","N/A",Apr[[#This Row],[April Weight (kg)]]-VLOOKUP(Apr[[#This Row],[Name]],Overview[],11,FALSE)))</f>
        <v/>
      </c>
      <c r="G34" s="175" t="str">
        <f>IF(Apr[[#This Row],[Name]]="","",IF(VLOOKUP(Apr[[#This Row],[Name]],Overview[],11,FALSE)="","N/A",(Apr[[#This Row],[April Weight (kg)]]-VLOOKUP(Apr[[#This Row],[Name]],Overview[],11,FALSE))/VLOOKUP(Apr[[#This Row],[Name]],Overview[],11,FALSE)))</f>
        <v/>
      </c>
      <c r="H34" s="61" t="str" cm="1">
        <f t="array" ref="H34">IF(Apr[[#This Row],[Name]]="","",IF(SUMPRODUCT((Overview[Name]=Apr[[#This Row],[Name]])*ISNUMBER(Overview[[October 
Weight (kg)]:[January 
Weight (kg)]]))=0,"N/A",MAX(IF((Overview[Name]=Apr[[#This Row],[Name]])*ISNUMBER(Overview[[October 
Weight (kg)]:[January 
Weight (kg)]]),Overview[[October 
Weight (kg)]:[January 
Weight (kg)]]))))</f>
        <v/>
      </c>
      <c r="I34" s="57" t="str">
        <f>IF(Apr[[#This Row],[Name]]="","",IF(NOT(ISNUMBER(Apr[[#This Row],[Highest Weight in the Past 3 - 6 Months]])),"N/A",IF(Apr[[#This Row],[April Weight (kg)]]=Apr[[#This Row],[Highest Weight in the Past 3 - 6 Months]],0,Apr[[#This Row],[April Weight (kg)]]-Apr[[#This Row],[Highest Weight in the Past 3 - 6 Months]])))</f>
        <v/>
      </c>
      <c r="J34"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4" s="130"/>
      <c r="L34" s="131"/>
      <c r="M34"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4" s="64" t="str">
        <f>IF(Apr[[#This Row],[Name]]="","",IF(Apr[[#This Row],[April MUST Score ]]=0,"Low",IF(Apr[[#This Row],[April MUST Score ]]=1,"Medium","High")))</f>
        <v/>
      </c>
      <c r="O34" s="10"/>
      <c r="P34" s="70"/>
      <c r="Q34" s="12"/>
      <c r="R34" s="17"/>
      <c r="S34" s="10"/>
      <c r="T34" s="17"/>
      <c r="U34" s="70"/>
      <c r="V34" s="11"/>
      <c r="W34" s="94"/>
      <c r="X34" s="12"/>
      <c r="Y34" s="11"/>
    </row>
    <row r="35" spans="2:25" x14ac:dyDescent="0.25">
      <c r="B35" s="12"/>
      <c r="C35" s="129"/>
      <c r="D35" s="94"/>
      <c r="E35" s="58" t="str">
        <f>IF(Apr[[#This Row],[Name]]="","",Apr[[#This Row],[April Weight (kg)]]/(VLOOKUP(Apr[[#This Row],[Name]],Overview[],2,FALSE)/100)^2)</f>
        <v/>
      </c>
      <c r="F35" s="58" t="str">
        <f>IF(Apr[[#This Row],[Name]]="","",IF(VLOOKUP(Apr[[#This Row],[Name]],Overview[],11,FALSE)="","N/A",Apr[[#This Row],[April Weight (kg)]]-VLOOKUP(Apr[[#This Row],[Name]],Overview[],11,FALSE)))</f>
        <v/>
      </c>
      <c r="G35" s="175" t="str">
        <f>IF(Apr[[#This Row],[Name]]="","",IF(VLOOKUP(Apr[[#This Row],[Name]],Overview[],11,FALSE)="","N/A",(Apr[[#This Row],[April Weight (kg)]]-VLOOKUP(Apr[[#This Row],[Name]],Overview[],11,FALSE))/VLOOKUP(Apr[[#This Row],[Name]],Overview[],11,FALSE)))</f>
        <v/>
      </c>
      <c r="H35" s="61" t="str" cm="1">
        <f t="array" ref="H35">IF(Apr[[#This Row],[Name]]="","",IF(SUMPRODUCT((Overview[Name]=Apr[[#This Row],[Name]])*ISNUMBER(Overview[[October 
Weight (kg)]:[January 
Weight (kg)]]))=0,"N/A",MAX(IF((Overview[Name]=Apr[[#This Row],[Name]])*ISNUMBER(Overview[[October 
Weight (kg)]:[January 
Weight (kg)]]),Overview[[October 
Weight (kg)]:[January 
Weight (kg)]]))))</f>
        <v/>
      </c>
      <c r="I35" s="57" t="str">
        <f>IF(Apr[[#This Row],[Name]]="","",IF(NOT(ISNUMBER(Apr[[#This Row],[Highest Weight in the Past 3 - 6 Months]])),"N/A",IF(Apr[[#This Row],[April Weight (kg)]]=Apr[[#This Row],[Highest Weight in the Past 3 - 6 Months]],0,Apr[[#This Row],[April Weight (kg)]]-Apr[[#This Row],[Highest Weight in the Past 3 - 6 Months]])))</f>
        <v/>
      </c>
      <c r="J35"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5" s="130"/>
      <c r="L35" s="131"/>
      <c r="M35"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5" s="64" t="str">
        <f>IF(Apr[[#This Row],[Name]]="","",IF(Apr[[#This Row],[April MUST Score ]]=0,"Low",IF(Apr[[#This Row],[April MUST Score ]]=1,"Medium","High")))</f>
        <v/>
      </c>
      <c r="O35" s="10"/>
      <c r="P35" s="70"/>
      <c r="Q35" s="12"/>
      <c r="R35" s="17"/>
      <c r="S35" s="10"/>
      <c r="T35" s="17"/>
      <c r="U35" s="70"/>
      <c r="V35" s="11"/>
      <c r="W35" s="94"/>
      <c r="X35" s="12"/>
      <c r="Y35" s="11"/>
    </row>
    <row r="36" spans="2:25" x14ac:dyDescent="0.25">
      <c r="B36" s="12"/>
      <c r="C36" s="129"/>
      <c r="D36" s="94"/>
      <c r="E36" s="58" t="str">
        <f>IF(Apr[[#This Row],[Name]]="","",Apr[[#This Row],[April Weight (kg)]]/(VLOOKUP(Apr[[#This Row],[Name]],Overview[],2,FALSE)/100)^2)</f>
        <v/>
      </c>
      <c r="F36" s="58" t="str">
        <f>IF(Apr[[#This Row],[Name]]="","",IF(VLOOKUP(Apr[[#This Row],[Name]],Overview[],11,FALSE)="","N/A",Apr[[#This Row],[April Weight (kg)]]-VLOOKUP(Apr[[#This Row],[Name]],Overview[],11,FALSE)))</f>
        <v/>
      </c>
      <c r="G36" s="175" t="str">
        <f>IF(Apr[[#This Row],[Name]]="","",IF(VLOOKUP(Apr[[#This Row],[Name]],Overview[],11,FALSE)="","N/A",(Apr[[#This Row],[April Weight (kg)]]-VLOOKUP(Apr[[#This Row],[Name]],Overview[],11,FALSE))/VLOOKUP(Apr[[#This Row],[Name]],Overview[],11,FALSE)))</f>
        <v/>
      </c>
      <c r="H36" s="61" t="str" cm="1">
        <f t="array" ref="H36">IF(Apr[[#This Row],[Name]]="","",IF(SUMPRODUCT((Overview[Name]=Apr[[#This Row],[Name]])*ISNUMBER(Overview[[October 
Weight (kg)]:[January 
Weight (kg)]]))=0,"N/A",MAX(IF((Overview[Name]=Apr[[#This Row],[Name]])*ISNUMBER(Overview[[October 
Weight (kg)]:[January 
Weight (kg)]]),Overview[[October 
Weight (kg)]:[January 
Weight (kg)]]))))</f>
        <v/>
      </c>
      <c r="I36" s="57" t="str">
        <f>IF(Apr[[#This Row],[Name]]="","",IF(NOT(ISNUMBER(Apr[[#This Row],[Highest Weight in the Past 3 - 6 Months]])),"N/A",IF(Apr[[#This Row],[April Weight (kg)]]=Apr[[#This Row],[Highest Weight in the Past 3 - 6 Months]],0,Apr[[#This Row],[April Weight (kg)]]-Apr[[#This Row],[Highest Weight in the Past 3 - 6 Months]])))</f>
        <v/>
      </c>
      <c r="J36"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6" s="130"/>
      <c r="L36" s="131"/>
      <c r="M36"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6" s="64" t="str">
        <f>IF(Apr[[#This Row],[Name]]="","",IF(Apr[[#This Row],[April MUST Score ]]=0,"Low",IF(Apr[[#This Row],[April MUST Score ]]=1,"Medium","High")))</f>
        <v/>
      </c>
      <c r="O36" s="10"/>
      <c r="P36" s="70"/>
      <c r="Q36" s="12"/>
      <c r="R36" s="17"/>
      <c r="S36" s="10"/>
      <c r="T36" s="17"/>
      <c r="U36" s="70"/>
      <c r="V36" s="11"/>
      <c r="W36" s="94"/>
      <c r="X36" s="12"/>
      <c r="Y36" s="11"/>
    </row>
    <row r="37" spans="2:25" x14ac:dyDescent="0.25">
      <c r="B37" s="12"/>
      <c r="C37" s="129"/>
      <c r="D37" s="94"/>
      <c r="E37" s="58" t="str">
        <f>IF(Apr[[#This Row],[Name]]="","",Apr[[#This Row],[April Weight (kg)]]/(VLOOKUP(Apr[[#This Row],[Name]],Overview[],2,FALSE)/100)^2)</f>
        <v/>
      </c>
      <c r="F37" s="58" t="str">
        <f>IF(Apr[[#This Row],[Name]]="","",IF(VLOOKUP(Apr[[#This Row],[Name]],Overview[],11,FALSE)="","N/A",Apr[[#This Row],[April Weight (kg)]]-VLOOKUP(Apr[[#This Row],[Name]],Overview[],11,FALSE)))</f>
        <v/>
      </c>
      <c r="G37" s="175" t="str">
        <f>IF(Apr[[#This Row],[Name]]="","",IF(VLOOKUP(Apr[[#This Row],[Name]],Overview[],11,FALSE)="","N/A",(Apr[[#This Row],[April Weight (kg)]]-VLOOKUP(Apr[[#This Row],[Name]],Overview[],11,FALSE))/VLOOKUP(Apr[[#This Row],[Name]],Overview[],11,FALSE)))</f>
        <v/>
      </c>
      <c r="H37" s="61" t="str" cm="1">
        <f t="array" ref="H37">IF(Apr[[#This Row],[Name]]="","",IF(SUMPRODUCT((Overview[Name]=Apr[[#This Row],[Name]])*ISNUMBER(Overview[[October 
Weight (kg)]:[January 
Weight (kg)]]))=0,"N/A",MAX(IF((Overview[Name]=Apr[[#This Row],[Name]])*ISNUMBER(Overview[[October 
Weight (kg)]:[January 
Weight (kg)]]),Overview[[October 
Weight (kg)]:[January 
Weight (kg)]]))))</f>
        <v/>
      </c>
      <c r="I37" s="57" t="str">
        <f>IF(Apr[[#This Row],[Name]]="","",IF(NOT(ISNUMBER(Apr[[#This Row],[Highest Weight in the Past 3 - 6 Months]])),"N/A",IF(Apr[[#This Row],[April Weight (kg)]]=Apr[[#This Row],[Highest Weight in the Past 3 - 6 Months]],0,Apr[[#This Row],[April Weight (kg)]]-Apr[[#This Row],[Highest Weight in the Past 3 - 6 Months]])))</f>
        <v/>
      </c>
      <c r="J37"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7" s="130"/>
      <c r="L37" s="131"/>
      <c r="M37"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7" s="64" t="str">
        <f>IF(Apr[[#This Row],[Name]]="","",IF(Apr[[#This Row],[April MUST Score ]]=0,"Low",IF(Apr[[#This Row],[April MUST Score ]]=1,"Medium","High")))</f>
        <v/>
      </c>
      <c r="O37" s="10"/>
      <c r="P37" s="70"/>
      <c r="Q37" s="12"/>
      <c r="R37" s="17"/>
      <c r="S37" s="10"/>
      <c r="T37" s="17"/>
      <c r="U37" s="70"/>
      <c r="V37" s="11"/>
      <c r="W37" s="94"/>
      <c r="X37" s="12"/>
      <c r="Y37" s="11"/>
    </row>
    <row r="38" spans="2:25" x14ac:dyDescent="0.25">
      <c r="B38" s="12"/>
      <c r="C38" s="129"/>
      <c r="D38" s="94"/>
      <c r="E38" s="58" t="str">
        <f>IF(Apr[[#This Row],[Name]]="","",Apr[[#This Row],[April Weight (kg)]]/(VLOOKUP(Apr[[#This Row],[Name]],Overview[],2,FALSE)/100)^2)</f>
        <v/>
      </c>
      <c r="F38" s="58" t="str">
        <f>IF(Apr[[#This Row],[Name]]="","",IF(VLOOKUP(Apr[[#This Row],[Name]],Overview[],11,FALSE)="","N/A",Apr[[#This Row],[April Weight (kg)]]-VLOOKUP(Apr[[#This Row],[Name]],Overview[],11,FALSE)))</f>
        <v/>
      </c>
      <c r="G38" s="175" t="str">
        <f>IF(Apr[[#This Row],[Name]]="","",IF(VLOOKUP(Apr[[#This Row],[Name]],Overview[],11,FALSE)="","N/A",(Apr[[#This Row],[April Weight (kg)]]-VLOOKUP(Apr[[#This Row],[Name]],Overview[],11,FALSE))/VLOOKUP(Apr[[#This Row],[Name]],Overview[],11,FALSE)))</f>
        <v/>
      </c>
      <c r="H38" s="61" t="str" cm="1">
        <f t="array" ref="H38">IF(Apr[[#This Row],[Name]]="","",IF(SUMPRODUCT((Overview[Name]=Apr[[#This Row],[Name]])*ISNUMBER(Overview[[October 
Weight (kg)]:[January 
Weight (kg)]]))=0,"N/A",MAX(IF((Overview[Name]=Apr[[#This Row],[Name]])*ISNUMBER(Overview[[October 
Weight (kg)]:[January 
Weight (kg)]]),Overview[[October 
Weight (kg)]:[January 
Weight (kg)]]))))</f>
        <v/>
      </c>
      <c r="I38" s="57" t="str">
        <f>IF(Apr[[#This Row],[Name]]="","",IF(NOT(ISNUMBER(Apr[[#This Row],[Highest Weight in the Past 3 - 6 Months]])),"N/A",IF(Apr[[#This Row],[April Weight (kg)]]=Apr[[#This Row],[Highest Weight in the Past 3 - 6 Months]],0,Apr[[#This Row],[April Weight (kg)]]-Apr[[#This Row],[Highest Weight in the Past 3 - 6 Months]])))</f>
        <v/>
      </c>
      <c r="J38"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8" s="130"/>
      <c r="L38" s="131"/>
      <c r="M38"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8" s="64" t="str">
        <f>IF(Apr[[#This Row],[Name]]="","",IF(Apr[[#This Row],[April MUST Score ]]=0,"Low",IF(Apr[[#This Row],[April MUST Score ]]=1,"Medium","High")))</f>
        <v/>
      </c>
      <c r="O38" s="10"/>
      <c r="P38" s="70"/>
      <c r="Q38" s="12"/>
      <c r="R38" s="17"/>
      <c r="S38" s="10"/>
      <c r="T38" s="17"/>
      <c r="U38" s="70"/>
      <c r="V38" s="11"/>
      <c r="W38" s="94"/>
      <c r="X38" s="12"/>
      <c r="Y38" s="11"/>
    </row>
    <row r="39" spans="2:25" x14ac:dyDescent="0.25">
      <c r="B39" s="12"/>
      <c r="C39" s="129"/>
      <c r="D39" s="94"/>
      <c r="E39" s="58" t="str">
        <f>IF(Apr[[#This Row],[Name]]="","",Apr[[#This Row],[April Weight (kg)]]/(VLOOKUP(Apr[[#This Row],[Name]],Overview[],2,FALSE)/100)^2)</f>
        <v/>
      </c>
      <c r="F39" s="58" t="str">
        <f>IF(Apr[[#This Row],[Name]]="","",IF(VLOOKUP(Apr[[#This Row],[Name]],Overview[],11,FALSE)="","N/A",Apr[[#This Row],[April Weight (kg)]]-VLOOKUP(Apr[[#This Row],[Name]],Overview[],11,FALSE)))</f>
        <v/>
      </c>
      <c r="G39" s="175" t="str">
        <f>IF(Apr[[#This Row],[Name]]="","",IF(VLOOKUP(Apr[[#This Row],[Name]],Overview[],11,FALSE)="","N/A",(Apr[[#This Row],[April Weight (kg)]]-VLOOKUP(Apr[[#This Row],[Name]],Overview[],11,FALSE))/VLOOKUP(Apr[[#This Row],[Name]],Overview[],11,FALSE)))</f>
        <v/>
      </c>
      <c r="H39" s="61" t="str" cm="1">
        <f t="array" ref="H39">IF(Apr[[#This Row],[Name]]="","",IF(SUMPRODUCT((Overview[Name]=Apr[[#This Row],[Name]])*ISNUMBER(Overview[[October 
Weight (kg)]:[January 
Weight (kg)]]))=0,"N/A",MAX(IF((Overview[Name]=Apr[[#This Row],[Name]])*ISNUMBER(Overview[[October 
Weight (kg)]:[January 
Weight (kg)]]),Overview[[October 
Weight (kg)]:[January 
Weight (kg)]]))))</f>
        <v/>
      </c>
      <c r="I39" s="57" t="str">
        <f>IF(Apr[[#This Row],[Name]]="","",IF(NOT(ISNUMBER(Apr[[#This Row],[Highest Weight in the Past 3 - 6 Months]])),"N/A",IF(Apr[[#This Row],[April Weight (kg)]]=Apr[[#This Row],[Highest Weight in the Past 3 - 6 Months]],0,Apr[[#This Row],[April Weight (kg)]]-Apr[[#This Row],[Highest Weight in the Past 3 - 6 Months]])))</f>
        <v/>
      </c>
      <c r="J39"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39" s="130"/>
      <c r="L39" s="131"/>
      <c r="M39"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39" s="64" t="str">
        <f>IF(Apr[[#This Row],[Name]]="","",IF(Apr[[#This Row],[April MUST Score ]]=0,"Low",IF(Apr[[#This Row],[April MUST Score ]]=1,"Medium","High")))</f>
        <v/>
      </c>
      <c r="O39" s="10"/>
      <c r="P39" s="70"/>
      <c r="Q39" s="12"/>
      <c r="R39" s="17"/>
      <c r="S39" s="10"/>
      <c r="T39" s="17"/>
      <c r="U39" s="70"/>
      <c r="V39" s="11"/>
      <c r="W39" s="94"/>
      <c r="X39" s="12"/>
      <c r="Y39" s="11"/>
    </row>
    <row r="40" spans="2:25" x14ac:dyDescent="0.25">
      <c r="B40" s="12"/>
      <c r="C40" s="129"/>
      <c r="D40" s="94"/>
      <c r="E40" s="58" t="str">
        <f>IF(Apr[[#This Row],[Name]]="","",Apr[[#This Row],[April Weight (kg)]]/(VLOOKUP(Apr[[#This Row],[Name]],Overview[],2,FALSE)/100)^2)</f>
        <v/>
      </c>
      <c r="F40" s="58" t="str">
        <f>IF(Apr[[#This Row],[Name]]="","",IF(VLOOKUP(Apr[[#This Row],[Name]],Overview[],11,FALSE)="","N/A",Apr[[#This Row],[April Weight (kg)]]-VLOOKUP(Apr[[#This Row],[Name]],Overview[],11,FALSE)))</f>
        <v/>
      </c>
      <c r="G40" s="175" t="str">
        <f>IF(Apr[[#This Row],[Name]]="","",IF(VLOOKUP(Apr[[#This Row],[Name]],Overview[],11,FALSE)="","N/A",(Apr[[#This Row],[April Weight (kg)]]-VLOOKUP(Apr[[#This Row],[Name]],Overview[],11,FALSE))/VLOOKUP(Apr[[#This Row],[Name]],Overview[],11,FALSE)))</f>
        <v/>
      </c>
      <c r="H40" s="61" t="str" cm="1">
        <f t="array" ref="H40">IF(Apr[[#This Row],[Name]]="","",IF(SUMPRODUCT((Overview[Name]=Apr[[#This Row],[Name]])*ISNUMBER(Overview[[October 
Weight (kg)]:[January 
Weight (kg)]]))=0,"N/A",MAX(IF((Overview[Name]=Apr[[#This Row],[Name]])*ISNUMBER(Overview[[October 
Weight (kg)]:[January 
Weight (kg)]]),Overview[[October 
Weight (kg)]:[January 
Weight (kg)]]))))</f>
        <v/>
      </c>
      <c r="I40" s="57" t="str">
        <f>IF(Apr[[#This Row],[Name]]="","",IF(NOT(ISNUMBER(Apr[[#This Row],[Highest Weight in the Past 3 - 6 Months]])),"N/A",IF(Apr[[#This Row],[April Weight (kg)]]=Apr[[#This Row],[Highest Weight in the Past 3 - 6 Months]],0,Apr[[#This Row],[April Weight (kg)]]-Apr[[#This Row],[Highest Weight in the Past 3 - 6 Months]])))</f>
        <v/>
      </c>
      <c r="J40"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40" s="130"/>
      <c r="L40" s="131"/>
      <c r="M40"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40" s="64" t="str">
        <f>IF(Apr[[#This Row],[Name]]="","",IF(Apr[[#This Row],[April MUST Score ]]=0,"Low",IF(Apr[[#This Row],[April MUST Score ]]=1,"Medium","High")))</f>
        <v/>
      </c>
      <c r="O40" s="10"/>
      <c r="P40" s="70"/>
      <c r="Q40" s="12"/>
      <c r="R40" s="17"/>
      <c r="S40" s="10"/>
      <c r="T40" s="17"/>
      <c r="U40" s="70"/>
      <c r="V40" s="11"/>
      <c r="W40" s="94"/>
      <c r="X40" s="12"/>
      <c r="Y40" s="11"/>
    </row>
    <row r="41" spans="2:25" x14ac:dyDescent="0.25">
      <c r="B41" s="12"/>
      <c r="C41" s="129"/>
      <c r="D41" s="94"/>
      <c r="E41" s="58" t="str">
        <f>IF(Apr[[#This Row],[Name]]="","",Apr[[#This Row],[April Weight (kg)]]/(VLOOKUP(Apr[[#This Row],[Name]],Overview[],2,FALSE)/100)^2)</f>
        <v/>
      </c>
      <c r="F41" s="58" t="str">
        <f>IF(Apr[[#This Row],[Name]]="","",IF(VLOOKUP(Apr[[#This Row],[Name]],Overview[],11,FALSE)="","N/A",Apr[[#This Row],[April Weight (kg)]]-VLOOKUP(Apr[[#This Row],[Name]],Overview[],11,FALSE)))</f>
        <v/>
      </c>
      <c r="G41" s="175" t="str">
        <f>IF(Apr[[#This Row],[Name]]="","",IF(VLOOKUP(Apr[[#This Row],[Name]],Overview[],11,FALSE)="","N/A",(Apr[[#This Row],[April Weight (kg)]]-VLOOKUP(Apr[[#This Row],[Name]],Overview[],11,FALSE))/VLOOKUP(Apr[[#This Row],[Name]],Overview[],11,FALSE)))</f>
        <v/>
      </c>
      <c r="H41" s="61" t="str" cm="1">
        <f t="array" ref="H41">IF(Apr[[#This Row],[Name]]="","",IF(SUMPRODUCT((Overview[Name]=Apr[[#This Row],[Name]])*ISNUMBER(Overview[[October 
Weight (kg)]:[January 
Weight (kg)]]))=0,"N/A",MAX(IF((Overview[Name]=Apr[[#This Row],[Name]])*ISNUMBER(Overview[[October 
Weight (kg)]:[January 
Weight (kg)]]),Overview[[October 
Weight (kg)]:[January 
Weight (kg)]]))))</f>
        <v/>
      </c>
      <c r="I41" s="57" t="str">
        <f>IF(Apr[[#This Row],[Name]]="","",IF(NOT(ISNUMBER(Apr[[#This Row],[Highest Weight in the Past 3 - 6 Months]])),"N/A",IF(Apr[[#This Row],[April Weight (kg)]]=Apr[[#This Row],[Highest Weight in the Past 3 - 6 Months]],0,Apr[[#This Row],[April Weight (kg)]]-Apr[[#This Row],[Highest Weight in the Past 3 - 6 Months]])))</f>
        <v/>
      </c>
      <c r="J41"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41" s="130"/>
      <c r="L41" s="131"/>
      <c r="M41" s="76"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41" s="64" t="str">
        <f>IF(Apr[[#This Row],[Name]]="","",IF(Apr[[#This Row],[April MUST Score ]]=0,"Low",IF(Apr[[#This Row],[April MUST Score ]]=1,"Medium","High")))</f>
        <v/>
      </c>
      <c r="O41" s="10"/>
      <c r="P41" s="70"/>
      <c r="Q41" s="12"/>
      <c r="R41" s="17"/>
      <c r="S41" s="10"/>
      <c r="T41" s="17"/>
      <c r="U41" s="70"/>
      <c r="V41" s="11"/>
      <c r="W41" s="94"/>
      <c r="X41" s="12"/>
      <c r="Y41" s="11"/>
    </row>
    <row r="42" spans="2:25" ht="15.75" thickBot="1" x14ac:dyDescent="0.3">
      <c r="B42" s="18"/>
      <c r="C42" s="132"/>
      <c r="D42" s="95"/>
      <c r="E42" s="60" t="str">
        <f>IF(Apr[[#This Row],[Name]]="","",Apr[[#This Row],[April Weight (kg)]]/(VLOOKUP(Apr[[#This Row],[Name]],Overview[],2,FALSE)/100)^2)</f>
        <v/>
      </c>
      <c r="F42" s="60" t="str">
        <f>IF(Apr[[#This Row],[Name]]="","",IF(VLOOKUP(Apr[[#This Row],[Name]],Overview[],11,FALSE)="","N/A",Apr[[#This Row],[April Weight (kg)]]-VLOOKUP(Apr[[#This Row],[Name]],Overview[],11,FALSE)))</f>
        <v/>
      </c>
      <c r="G42" s="176" t="str">
        <f>IF(Apr[[#This Row],[Name]]="","",IF(VLOOKUP(Apr[[#This Row],[Name]],Overview[],11,FALSE)="","N/A",(Apr[[#This Row],[April Weight (kg)]]-VLOOKUP(Apr[[#This Row],[Name]],Overview[],11,FALSE))/VLOOKUP(Apr[[#This Row],[Name]],Overview[],11,FALSE)))</f>
        <v/>
      </c>
      <c r="H42" s="61" t="str" cm="1">
        <f t="array" ref="H42">IF(Apr[[#This Row],[Name]]="","",IF(SUMPRODUCT((Overview[Name]=Apr[[#This Row],[Name]])*ISNUMBER(Overview[[October 
Weight (kg)]:[January 
Weight (kg)]]))=0,"N/A",MAX(IF((Overview[Name]=Apr[[#This Row],[Name]])*ISNUMBER(Overview[[October 
Weight (kg)]:[January 
Weight (kg)]]),Overview[[October 
Weight (kg)]:[January 
Weight (kg)]]))))</f>
        <v/>
      </c>
      <c r="I42" s="57" t="str">
        <f>IF(Apr[[#This Row],[Name]]="","",IF(NOT(ISNUMBER(Apr[[#This Row],[Highest Weight in the Past 3 - 6 Months]])),"N/A",IF(Apr[[#This Row],[April Weight (kg)]]=Apr[[#This Row],[Highest Weight in the Past 3 - 6 Months]],0,Apr[[#This Row],[April Weight (kg)]]-Apr[[#This Row],[Highest Weight in the Past 3 - 6 Months]])))</f>
        <v/>
      </c>
      <c r="J42" s="206" t="str">
        <f>IF(Apr[[#This Row],[Name]]="","",IF(OR(Apr[[#This Row],[Highest Weight in the Past 3 - 6 Months]]="",Apr[[#This Row],[Highest Weight in the Past 3 - 6 Months]]="N/A"),"N/A",IFERROR(Apr[[#This Row],[Weight (kg) Difference from Highest Weight in Past 3 - 6 Months (Current Month - Highest Month)]]/Apr[[#This Row],[Highest Weight in the Past 3 - 6 Months]],"N/A")))</f>
        <v/>
      </c>
      <c r="K42" s="133"/>
      <c r="L42" s="134"/>
      <c r="M42" s="77" t="str">
        <f>IF(Apr[[#This Row],[Name]]="","",IFERROR(IF(Apr[[#This Row],[April BMI (kg/m2)]]&gt;20,0,IF(Apr[[#This Row],[April BMI (kg/m2)]]&gt;=18.5,1,2))+IF(Apr[[#This Row],[If Weight has been lost, is this Planned? (Yes/No)]]="Yes",0,IF(Apr[[#This Row],[Weight (kg) Difference from Highest Weight in 3 - 6 months as %]]&gt;-0.05,0,IF(Apr[[#This Row],[Weight (kg) Difference from Highest Weight in 3 - 6 months as %]]&gt;=-0.1,1,2))),""))</f>
        <v/>
      </c>
      <c r="N42" s="64" t="str">
        <f>IF(Apr[[#This Row],[Name]]="","",IF(Apr[[#This Row],[April MUST Score ]]=0,"Low",IF(Apr[[#This Row],[April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69" priority="6" operator="greaterThanOrEqual">
      <formula>2</formula>
    </cfRule>
    <cfRule type="cellIs" dxfId="68" priority="7" operator="equal">
      <formula>1</formula>
    </cfRule>
    <cfRule type="cellIs" dxfId="67" priority="8" operator="equal">
      <formula>0</formula>
    </cfRule>
  </conditionalFormatting>
  <conditionalFormatting sqref="N8:N42">
    <cfRule type="containsText" dxfId="66" priority="2" operator="containsText" text="High">
      <formula>NOT(ISERROR(SEARCH("High",N8)))</formula>
    </cfRule>
    <cfRule type="containsText" dxfId="65" priority="3" operator="containsText" text="Medium">
      <formula>NOT(ISERROR(SEARCH("Medium",N8)))</formula>
    </cfRule>
    <cfRule type="containsText" dxfId="64" priority="4" operator="containsText" text="Low">
      <formula>NOT(ISERROR(SEARCH("Low",N8)))</formula>
    </cfRule>
  </conditionalFormatting>
  <conditionalFormatting sqref="W8:X42">
    <cfRule type="containsText" dxfId="63"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9AD0281D-46FA-467D-ACCA-454392053439}">
          <x14:formula1>
            <xm:f>Validation!$A$33:$A$37</xm:f>
          </x14:formula1>
          <xm:sqref>V8:V42</xm:sqref>
        </x14:dataValidation>
        <x14:dataValidation type="list" allowBlank="1" showInputMessage="1" showErrorMessage="1" xr:uid="{9234A06A-C4CF-46FF-9DB7-38F581077E89}">
          <x14:formula1>
            <xm:f>Validation!$A$27:$A$31</xm:f>
          </x14:formula1>
          <xm:sqref>U8:U42</xm:sqref>
        </x14:dataValidation>
        <x14:dataValidation type="list" allowBlank="1" showInputMessage="1" showErrorMessage="1" xr:uid="{B1DB3CCF-5030-4644-906D-9D2BC2C29CC6}">
          <x14:formula1>
            <xm:f>'Weight Overview'!$B$4:$B$38</xm:f>
          </x14:formula1>
          <xm:sqref>B8:B42</xm:sqref>
        </x14:dataValidation>
        <x14:dataValidation type="list" allowBlank="1" showInputMessage="1" showErrorMessage="1" xr:uid="{28C9655E-749A-40BC-AB8E-5E1302E74AAB}">
          <x14:formula1>
            <xm:f>Validation!$A$2:$A$3</xm:f>
          </x14:formula1>
          <xm:sqref>O8:O42 K8:L42 W8:W42 Q8:Q42 S8:S42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6DA2-4E1C-463F-A606-CD9809D69A38}">
  <sheetPr>
    <tabColor rgb="FF00B0F0"/>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22" t="s">
        <v>1</v>
      </c>
      <c r="C4" s="90" t="s">
        <v>10</v>
      </c>
      <c r="D4" s="123" t="s">
        <v>2</v>
      </c>
      <c r="E4" s="88" t="s">
        <v>3</v>
      </c>
      <c r="Y4" s="62"/>
      <c r="Z4" s="2"/>
    </row>
    <row r="5" spans="2:26" ht="15.75" thickBot="1" x14ac:dyDescent="0.3">
      <c r="B5" s="74"/>
      <c r="C5" s="73"/>
      <c r="D5" s="73"/>
      <c r="E5" s="65"/>
      <c r="P5" s="81"/>
      <c r="W5" s="74"/>
      <c r="X5" s="62"/>
      <c r="Y5" s="62"/>
      <c r="Z5" s="2"/>
    </row>
    <row r="6" spans="2:26" ht="15.75" thickBot="1" x14ac:dyDescent="0.3">
      <c r="C6" s="319" t="s">
        <v>85</v>
      </c>
      <c r="D6" s="320"/>
      <c r="E6" s="320"/>
      <c r="F6" s="320"/>
      <c r="G6" s="321"/>
      <c r="H6" s="304" t="s">
        <v>68</v>
      </c>
      <c r="I6" s="305"/>
      <c r="J6" s="305"/>
      <c r="K6" s="306"/>
      <c r="L6" s="319" t="s">
        <v>69</v>
      </c>
      <c r="M6" s="320"/>
      <c r="N6" s="321"/>
      <c r="O6" s="304" t="s">
        <v>83</v>
      </c>
      <c r="P6" s="305"/>
      <c r="Q6" s="305"/>
      <c r="R6" s="305"/>
      <c r="S6" s="319" t="s">
        <v>84</v>
      </c>
      <c r="T6" s="320"/>
      <c r="U6" s="320"/>
      <c r="V6" s="321"/>
      <c r="Y6" s="63"/>
    </row>
    <row r="7" spans="2:26" ht="105.75" thickBot="1" x14ac:dyDescent="0.3">
      <c r="B7" s="121" t="s">
        <v>0</v>
      </c>
      <c r="C7" s="103" t="s">
        <v>117</v>
      </c>
      <c r="D7" s="101" t="s">
        <v>126</v>
      </c>
      <c r="E7" s="104" t="s">
        <v>118</v>
      </c>
      <c r="F7" s="104" t="s">
        <v>136</v>
      </c>
      <c r="G7" s="102" t="s">
        <v>139</v>
      </c>
      <c r="H7" s="71" t="s">
        <v>72</v>
      </c>
      <c r="I7" s="72" t="s">
        <v>70</v>
      </c>
      <c r="J7" s="67" t="s">
        <v>71</v>
      </c>
      <c r="K7" s="80" t="s">
        <v>64</v>
      </c>
      <c r="L7" s="121" t="s">
        <v>67</v>
      </c>
      <c r="M7" s="104" t="s">
        <v>119</v>
      </c>
      <c r="N7" s="102" t="s">
        <v>120</v>
      </c>
      <c r="O7" s="71" t="s">
        <v>65</v>
      </c>
      <c r="P7" s="68" t="s">
        <v>66</v>
      </c>
      <c r="Q7" s="92" t="s">
        <v>88</v>
      </c>
      <c r="R7" s="67" t="s">
        <v>86</v>
      </c>
      <c r="S7" s="103" t="s">
        <v>89</v>
      </c>
      <c r="T7" s="101" t="s">
        <v>87</v>
      </c>
      <c r="U7" s="101" t="s">
        <v>90</v>
      </c>
      <c r="V7" s="124" t="s">
        <v>91</v>
      </c>
      <c r="W7" s="68" t="s">
        <v>63</v>
      </c>
      <c r="X7" s="67" t="s">
        <v>59</v>
      </c>
      <c r="Y7" s="80" t="s">
        <v>18</v>
      </c>
    </row>
    <row r="8" spans="2:26" x14ac:dyDescent="0.25">
      <c r="B8" s="20"/>
      <c r="C8" s="125"/>
      <c r="D8" s="126"/>
      <c r="E8" s="57" t="str">
        <f>IF(May[[#This Row],[Name]]="","",May[[#This Row],[May Weight (kg)]]/(VLOOKUP(May[[#This Row],[Name]],Overview[],2,FALSE)/100)^2)</f>
        <v/>
      </c>
      <c r="F8" s="57" t="str">
        <f>IF(May[[#This Row],[Name]]="","",IF(VLOOKUP(May[[#This Row],[Name]],Overview[],12,FALSE)="","N/A",May[[#This Row],[May Weight (kg)]]-VLOOKUP(May[[#This Row],[Name]],Overview[],12,FALSE)))</f>
        <v/>
      </c>
      <c r="G8" s="174" t="str">
        <f>IF(May[[#This Row],[Name]]="","",IF(VLOOKUP(May[[#This Row],[Name]],Overview[],12,FALSE)="","N/A",(May[[#This Row],[May Weight (kg)]]-VLOOKUP(May[[#This Row],[Name]],Overview[],12,FALSE))/VLOOKUP(May[[#This Row],[Name]],Overview[],12,FALSE)))</f>
        <v/>
      </c>
      <c r="H8" s="61" t="str" cm="1">
        <f t="array" ref="H8">IF(May[[#This Row],[Name]]="","",IF(SUMPRODUCT((Overview[Name]=May[[#This Row],[Name]])*ISNUMBER(Overview[[November Weight (kg)]:[February Weight (kg)]]))=0,"N/A",MAX(IF((Overview[Name]=May[[#This Row],[Name]])*ISNUMBER(Overview[[November Weight (kg)]:[February Weight (kg)]]),Overview[[November Weight (kg)]:[February Weight (kg)]]))))</f>
        <v/>
      </c>
      <c r="I8" s="57" t="str">
        <f>IF(May[[#This Row],[Name]]="","",IF(NOT(ISNUMBER(May[[#This Row],[Highest Weight in the Past 3 - 6 Months]])),"N/A",IF(May[[#This Row],[May Weight (kg)]]=May[[#This Row],[Highest Weight in the Past 3 - 6 Months]],0,May[[#This Row],[May Weight (kg)]]-May[[#This Row],[Highest Weight in the Past 3 - 6 Months]])))</f>
        <v/>
      </c>
      <c r="J8"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8" s="127"/>
      <c r="L8" s="128"/>
      <c r="M8" s="75"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8" s="64" t="str">
        <f>IF(May[[#This Row],[Name]]="","",IF(May[[#This Row],[May MUST Score ]]=0,"Low",IF(May[[#This Row],[May MUST Score ]]=1,"Medium","High")))</f>
        <v/>
      </c>
      <c r="O8" s="7"/>
      <c r="P8" s="69"/>
      <c r="Q8" s="20"/>
      <c r="R8" s="22"/>
      <c r="S8" s="44"/>
      <c r="T8" s="16"/>
      <c r="U8" s="69"/>
      <c r="V8" s="8"/>
      <c r="W8" s="93"/>
      <c r="X8" s="9"/>
      <c r="Y8" s="8"/>
    </row>
    <row r="9" spans="2:26" x14ac:dyDescent="0.25">
      <c r="B9" s="12"/>
      <c r="C9" s="129"/>
      <c r="D9" s="94"/>
      <c r="E9" s="58" t="str">
        <f>IF(May[[#This Row],[Name]]="","",May[[#This Row],[May Weight (kg)]]/(VLOOKUP(May[[#This Row],[Name]],Overview[],2,FALSE)/100)^2)</f>
        <v/>
      </c>
      <c r="F9" s="58" t="str">
        <f>IF(May[[#This Row],[Name]]="","",IF(VLOOKUP(May[[#This Row],[Name]],Overview[],12,FALSE)="","N/A",May[[#This Row],[May Weight (kg)]]-VLOOKUP(May[[#This Row],[Name]],Overview[],12,FALSE)))</f>
        <v/>
      </c>
      <c r="G9" s="175" t="str">
        <f>IF(May[[#This Row],[Name]]="","",IF(VLOOKUP(May[[#This Row],[Name]],Overview[],12,FALSE)="","N/A",(May[[#This Row],[May Weight (kg)]]-VLOOKUP(May[[#This Row],[Name]],Overview[],12,FALSE))/VLOOKUP(May[[#This Row],[Name]],Overview[],12,FALSE)))</f>
        <v/>
      </c>
      <c r="H9" s="61" t="str" cm="1">
        <f t="array" ref="H9">IF(May[[#This Row],[Name]]="","",IF(SUMPRODUCT((Overview[Name]=May[[#This Row],[Name]])*ISNUMBER(Overview[[November Weight (kg)]:[February Weight (kg)]]))=0,"N/A",MAX(IF((Overview[Name]=May[[#This Row],[Name]])*ISNUMBER(Overview[[November Weight (kg)]:[February Weight (kg)]]),Overview[[November Weight (kg)]:[February Weight (kg)]]))))</f>
        <v/>
      </c>
      <c r="I9" s="57" t="str">
        <f>IF(May[[#This Row],[Name]]="","",IF(NOT(ISNUMBER(May[[#This Row],[Highest Weight in the Past 3 - 6 Months]])),"N/A",IF(May[[#This Row],[May Weight (kg)]]=May[[#This Row],[Highest Weight in the Past 3 - 6 Months]],0,May[[#This Row],[May Weight (kg)]]-May[[#This Row],[Highest Weight in the Past 3 - 6 Months]])))</f>
        <v/>
      </c>
      <c r="J9"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9" s="130"/>
      <c r="L9" s="131"/>
      <c r="M9"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9" s="64" t="str">
        <f>IF(May[[#This Row],[Name]]="","",IF(May[[#This Row],[May MUST Score ]]=0,"Low",IF(May[[#This Row],[May MUST Score ]]=1,"Medium","High")))</f>
        <v/>
      </c>
      <c r="O9" s="44"/>
      <c r="P9" s="66"/>
      <c r="Q9" s="20"/>
      <c r="R9" s="17"/>
      <c r="S9" s="44"/>
      <c r="T9" s="22"/>
      <c r="U9" s="66"/>
      <c r="V9" s="21"/>
      <c r="W9" s="94"/>
      <c r="X9" s="12"/>
      <c r="Y9" s="11"/>
    </row>
    <row r="10" spans="2:26" x14ac:dyDescent="0.25">
      <c r="B10" s="12"/>
      <c r="C10" s="129"/>
      <c r="D10" s="94"/>
      <c r="E10" s="58" t="str">
        <f>IF(May[[#This Row],[Name]]="","",May[[#This Row],[May Weight (kg)]]/(VLOOKUP(May[[#This Row],[Name]],Overview[],2,FALSE)/100)^2)</f>
        <v/>
      </c>
      <c r="F10" s="58" t="str">
        <f>IF(May[[#This Row],[Name]]="","",IF(VLOOKUP(May[[#This Row],[Name]],Overview[],12,FALSE)="","N/A",May[[#This Row],[May Weight (kg)]]-VLOOKUP(May[[#This Row],[Name]],Overview[],12,FALSE)))</f>
        <v/>
      </c>
      <c r="G10" s="175" t="str">
        <f>IF(May[[#This Row],[Name]]="","",IF(VLOOKUP(May[[#This Row],[Name]],Overview[],12,FALSE)="","N/A",(May[[#This Row],[May Weight (kg)]]-VLOOKUP(May[[#This Row],[Name]],Overview[],12,FALSE))/VLOOKUP(May[[#This Row],[Name]],Overview[],12,FALSE)))</f>
        <v/>
      </c>
      <c r="H10" s="61" t="str" cm="1">
        <f t="array" ref="H10">IF(May[[#This Row],[Name]]="","",IF(SUMPRODUCT((Overview[Name]=May[[#This Row],[Name]])*ISNUMBER(Overview[[November Weight (kg)]:[February Weight (kg)]]))=0,"N/A",MAX(IF((Overview[Name]=May[[#This Row],[Name]])*ISNUMBER(Overview[[November Weight (kg)]:[February Weight (kg)]]),Overview[[November Weight (kg)]:[February Weight (kg)]]))))</f>
        <v/>
      </c>
      <c r="I10" s="57" t="str">
        <f>IF(May[[#This Row],[Name]]="","",IF(NOT(ISNUMBER(May[[#This Row],[Highest Weight in the Past 3 - 6 Months]])),"N/A",IF(May[[#This Row],[May Weight (kg)]]=May[[#This Row],[Highest Weight in the Past 3 - 6 Months]],0,May[[#This Row],[May Weight (kg)]]-May[[#This Row],[Highest Weight in the Past 3 - 6 Months]])))</f>
        <v/>
      </c>
      <c r="J10"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0" s="130"/>
      <c r="L10" s="131"/>
      <c r="M10"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0" s="64" t="str">
        <f>IF(May[[#This Row],[Name]]="","",IF(May[[#This Row],[May MUST Score ]]=0,"Low",IF(May[[#This Row],[May MUST Score ]]=1,"Medium","High")))</f>
        <v/>
      </c>
      <c r="O10" s="10"/>
      <c r="P10" s="70"/>
      <c r="Q10" s="12"/>
      <c r="R10" s="17"/>
      <c r="S10" s="10"/>
      <c r="T10" s="17"/>
      <c r="U10" s="70"/>
      <c r="V10" s="11"/>
      <c r="W10" s="94"/>
      <c r="X10" s="12"/>
      <c r="Y10" s="11"/>
    </row>
    <row r="11" spans="2:26" x14ac:dyDescent="0.25">
      <c r="B11" s="12"/>
      <c r="C11" s="129"/>
      <c r="D11" s="94"/>
      <c r="E11" s="58" t="str">
        <f>IF(May[[#This Row],[Name]]="","",May[[#This Row],[May Weight (kg)]]/(VLOOKUP(May[[#This Row],[Name]],Overview[],2,FALSE)/100)^2)</f>
        <v/>
      </c>
      <c r="F11" s="58" t="str">
        <f>IF(May[[#This Row],[Name]]="","",IF(VLOOKUP(May[[#This Row],[Name]],Overview[],12,FALSE)="","N/A",May[[#This Row],[May Weight (kg)]]-VLOOKUP(May[[#This Row],[Name]],Overview[],12,FALSE)))</f>
        <v/>
      </c>
      <c r="G11" s="175" t="str">
        <f>IF(May[[#This Row],[Name]]="","",IF(VLOOKUP(May[[#This Row],[Name]],Overview[],12,FALSE)="","N/A",(May[[#This Row],[May Weight (kg)]]-VLOOKUP(May[[#This Row],[Name]],Overview[],12,FALSE))/VLOOKUP(May[[#This Row],[Name]],Overview[],12,FALSE)))</f>
        <v/>
      </c>
      <c r="H11" s="61" t="str" cm="1">
        <f t="array" ref="H11">IF(May[[#This Row],[Name]]="","",IF(SUMPRODUCT((Overview[Name]=May[[#This Row],[Name]])*ISNUMBER(Overview[[November Weight (kg)]:[February Weight (kg)]]))=0,"N/A",MAX(IF((Overview[Name]=May[[#This Row],[Name]])*ISNUMBER(Overview[[November Weight (kg)]:[February Weight (kg)]]),Overview[[November Weight (kg)]:[February Weight (kg)]]))))</f>
        <v/>
      </c>
      <c r="I11" s="57" t="str">
        <f>IF(May[[#This Row],[Name]]="","",IF(NOT(ISNUMBER(May[[#This Row],[Highest Weight in the Past 3 - 6 Months]])),"N/A",IF(May[[#This Row],[May Weight (kg)]]=May[[#This Row],[Highest Weight in the Past 3 - 6 Months]],0,May[[#This Row],[May Weight (kg)]]-May[[#This Row],[Highest Weight in the Past 3 - 6 Months]])))</f>
        <v/>
      </c>
      <c r="J11"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1" s="130"/>
      <c r="L11" s="131"/>
      <c r="M11"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1" s="64" t="str">
        <f>IF(May[[#This Row],[Name]]="","",IF(May[[#This Row],[May MUST Score ]]=0,"Low",IF(May[[#This Row],[May MUST Score ]]=1,"Medium","High")))</f>
        <v/>
      </c>
      <c r="O11" s="10"/>
      <c r="P11" s="70"/>
      <c r="Q11" s="12"/>
      <c r="R11" s="17"/>
      <c r="S11" s="10"/>
      <c r="T11" s="17"/>
      <c r="U11" s="70"/>
      <c r="V11" s="11"/>
      <c r="W11" s="94"/>
      <c r="X11" s="12"/>
      <c r="Y11" s="11"/>
    </row>
    <row r="12" spans="2:26" x14ac:dyDescent="0.25">
      <c r="B12" s="12"/>
      <c r="C12" s="129"/>
      <c r="D12" s="94"/>
      <c r="E12" s="58" t="str">
        <f>IF(May[[#This Row],[Name]]="","",May[[#This Row],[May Weight (kg)]]/(VLOOKUP(May[[#This Row],[Name]],Overview[],2,FALSE)/100)^2)</f>
        <v/>
      </c>
      <c r="F12" s="58" t="str">
        <f>IF(May[[#This Row],[Name]]="","",IF(VLOOKUP(May[[#This Row],[Name]],Overview[],12,FALSE)="","N/A",May[[#This Row],[May Weight (kg)]]-VLOOKUP(May[[#This Row],[Name]],Overview[],12,FALSE)))</f>
        <v/>
      </c>
      <c r="G12" s="175" t="str">
        <f>IF(May[[#This Row],[Name]]="","",IF(VLOOKUP(May[[#This Row],[Name]],Overview[],12,FALSE)="","N/A",(May[[#This Row],[May Weight (kg)]]-VLOOKUP(May[[#This Row],[Name]],Overview[],12,FALSE))/VLOOKUP(May[[#This Row],[Name]],Overview[],12,FALSE)))</f>
        <v/>
      </c>
      <c r="H12" s="61" t="str" cm="1">
        <f t="array" ref="H12">IF(May[[#This Row],[Name]]="","",IF(SUMPRODUCT((Overview[Name]=May[[#This Row],[Name]])*ISNUMBER(Overview[[November Weight (kg)]:[February Weight (kg)]]))=0,"N/A",MAX(IF((Overview[Name]=May[[#This Row],[Name]])*ISNUMBER(Overview[[November Weight (kg)]:[February Weight (kg)]]),Overview[[November Weight (kg)]:[February Weight (kg)]]))))</f>
        <v/>
      </c>
      <c r="I12" s="57" t="str">
        <f>IF(May[[#This Row],[Name]]="","",IF(NOT(ISNUMBER(May[[#This Row],[Highest Weight in the Past 3 - 6 Months]])),"N/A",IF(May[[#This Row],[May Weight (kg)]]=May[[#This Row],[Highest Weight in the Past 3 - 6 Months]],0,May[[#This Row],[May Weight (kg)]]-May[[#This Row],[Highest Weight in the Past 3 - 6 Months]])))</f>
        <v/>
      </c>
      <c r="J12"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2" s="130"/>
      <c r="L12" s="131"/>
      <c r="M12"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2" s="64" t="str">
        <f>IF(May[[#This Row],[Name]]="","",IF(May[[#This Row],[May MUST Score ]]=0,"Low",IF(May[[#This Row],[May MUST Score ]]=1,"Medium","High")))</f>
        <v/>
      </c>
      <c r="O12" s="10"/>
      <c r="P12" s="70"/>
      <c r="Q12" s="12"/>
      <c r="R12" s="17"/>
      <c r="S12" s="10"/>
      <c r="T12" s="17"/>
      <c r="U12" s="70"/>
      <c r="V12" s="11"/>
      <c r="W12" s="94"/>
      <c r="X12" s="12"/>
      <c r="Y12" s="11"/>
    </row>
    <row r="13" spans="2:26" x14ac:dyDescent="0.25">
      <c r="B13" s="12"/>
      <c r="C13" s="129"/>
      <c r="D13" s="94"/>
      <c r="E13" s="58" t="str">
        <f>IF(May[[#This Row],[Name]]="","",May[[#This Row],[May Weight (kg)]]/(VLOOKUP(May[[#This Row],[Name]],Overview[],2,FALSE)/100)^2)</f>
        <v/>
      </c>
      <c r="F13" s="58" t="str">
        <f>IF(May[[#This Row],[Name]]="","",IF(VLOOKUP(May[[#This Row],[Name]],Overview[],12,FALSE)="","N/A",May[[#This Row],[May Weight (kg)]]-VLOOKUP(May[[#This Row],[Name]],Overview[],12,FALSE)))</f>
        <v/>
      </c>
      <c r="G13" s="175" t="str">
        <f>IF(May[[#This Row],[Name]]="","",IF(VLOOKUP(May[[#This Row],[Name]],Overview[],12,FALSE)="","N/A",(May[[#This Row],[May Weight (kg)]]-VLOOKUP(May[[#This Row],[Name]],Overview[],12,FALSE))/VLOOKUP(May[[#This Row],[Name]],Overview[],12,FALSE)))</f>
        <v/>
      </c>
      <c r="H13" s="61" t="str" cm="1">
        <f t="array" ref="H13">IF(May[[#This Row],[Name]]="","",IF(SUMPRODUCT((Overview[Name]=May[[#This Row],[Name]])*ISNUMBER(Overview[[November Weight (kg)]:[February Weight (kg)]]))=0,"N/A",MAX(IF((Overview[Name]=May[[#This Row],[Name]])*ISNUMBER(Overview[[November Weight (kg)]:[February Weight (kg)]]),Overview[[November Weight (kg)]:[February Weight (kg)]]))))</f>
        <v/>
      </c>
      <c r="I13" s="57" t="str">
        <f>IF(May[[#This Row],[Name]]="","",IF(NOT(ISNUMBER(May[[#This Row],[Highest Weight in the Past 3 - 6 Months]])),"N/A",IF(May[[#This Row],[May Weight (kg)]]=May[[#This Row],[Highest Weight in the Past 3 - 6 Months]],0,May[[#This Row],[May Weight (kg)]]-May[[#This Row],[Highest Weight in the Past 3 - 6 Months]])))</f>
        <v/>
      </c>
      <c r="J13"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3" s="130"/>
      <c r="L13" s="131"/>
      <c r="M13"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3" s="64" t="str">
        <f>IF(May[[#This Row],[Name]]="","",IF(May[[#This Row],[May MUST Score ]]=0,"Low",IF(May[[#This Row],[May MUST Score ]]=1,"Medium","High")))</f>
        <v/>
      </c>
      <c r="O13" s="10"/>
      <c r="P13" s="70"/>
      <c r="Q13" s="12"/>
      <c r="R13" s="17"/>
      <c r="S13" s="10"/>
      <c r="T13" s="17"/>
      <c r="U13" s="70"/>
      <c r="V13" s="11"/>
      <c r="W13" s="94"/>
      <c r="X13" s="12"/>
      <c r="Y13" s="11"/>
    </row>
    <row r="14" spans="2:26" x14ac:dyDescent="0.25">
      <c r="B14" s="12"/>
      <c r="C14" s="129"/>
      <c r="D14" s="94"/>
      <c r="E14" s="58" t="str">
        <f>IF(May[[#This Row],[Name]]="","",May[[#This Row],[May Weight (kg)]]/(VLOOKUP(May[[#This Row],[Name]],Overview[],2,FALSE)/100)^2)</f>
        <v/>
      </c>
      <c r="F14" s="58" t="str">
        <f>IF(May[[#This Row],[Name]]="","",IF(VLOOKUP(May[[#This Row],[Name]],Overview[],12,FALSE)="","N/A",May[[#This Row],[May Weight (kg)]]-VLOOKUP(May[[#This Row],[Name]],Overview[],12,FALSE)))</f>
        <v/>
      </c>
      <c r="G14" s="175" t="str">
        <f>IF(May[[#This Row],[Name]]="","",IF(VLOOKUP(May[[#This Row],[Name]],Overview[],12,FALSE)="","N/A",(May[[#This Row],[May Weight (kg)]]-VLOOKUP(May[[#This Row],[Name]],Overview[],12,FALSE))/VLOOKUP(May[[#This Row],[Name]],Overview[],12,FALSE)))</f>
        <v/>
      </c>
      <c r="H14" s="61" t="str" cm="1">
        <f t="array" ref="H14">IF(May[[#This Row],[Name]]="","",IF(SUMPRODUCT((Overview[Name]=May[[#This Row],[Name]])*ISNUMBER(Overview[[November Weight (kg)]:[February Weight (kg)]]))=0,"N/A",MAX(IF((Overview[Name]=May[[#This Row],[Name]])*ISNUMBER(Overview[[November Weight (kg)]:[February Weight (kg)]]),Overview[[November Weight (kg)]:[February Weight (kg)]]))))</f>
        <v/>
      </c>
      <c r="I14" s="57" t="str">
        <f>IF(May[[#This Row],[Name]]="","",IF(NOT(ISNUMBER(May[[#This Row],[Highest Weight in the Past 3 - 6 Months]])),"N/A",IF(May[[#This Row],[May Weight (kg)]]=May[[#This Row],[Highest Weight in the Past 3 - 6 Months]],0,May[[#This Row],[May Weight (kg)]]-May[[#This Row],[Highest Weight in the Past 3 - 6 Months]])))</f>
        <v/>
      </c>
      <c r="J14"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4" s="130"/>
      <c r="L14" s="131"/>
      <c r="M14"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4" s="64" t="str">
        <f>IF(May[[#This Row],[Name]]="","",IF(May[[#This Row],[May MUST Score ]]=0,"Low",IF(May[[#This Row],[May MUST Score ]]=1,"Medium","High")))</f>
        <v/>
      </c>
      <c r="O14" s="10"/>
      <c r="P14" s="70"/>
      <c r="Q14" s="12"/>
      <c r="R14" s="17"/>
      <c r="S14" s="10"/>
      <c r="T14" s="17"/>
      <c r="U14" s="70"/>
      <c r="V14" s="11"/>
      <c r="W14" s="94"/>
      <c r="X14" s="12"/>
      <c r="Y14" s="11"/>
    </row>
    <row r="15" spans="2:26" x14ac:dyDescent="0.25">
      <c r="B15" s="12"/>
      <c r="C15" s="129"/>
      <c r="D15" s="94"/>
      <c r="E15" s="58" t="str">
        <f>IF(May[[#This Row],[Name]]="","",May[[#This Row],[May Weight (kg)]]/(VLOOKUP(May[[#This Row],[Name]],Overview[],2,FALSE)/100)^2)</f>
        <v/>
      </c>
      <c r="F15" s="58" t="str">
        <f>IF(May[[#This Row],[Name]]="","",IF(VLOOKUP(May[[#This Row],[Name]],Overview[],12,FALSE)="","N/A",May[[#This Row],[May Weight (kg)]]-VLOOKUP(May[[#This Row],[Name]],Overview[],12,FALSE)))</f>
        <v/>
      </c>
      <c r="G15" s="175" t="str">
        <f>IF(May[[#This Row],[Name]]="","",IF(VLOOKUP(May[[#This Row],[Name]],Overview[],12,FALSE)="","N/A",(May[[#This Row],[May Weight (kg)]]-VLOOKUP(May[[#This Row],[Name]],Overview[],12,FALSE))/VLOOKUP(May[[#This Row],[Name]],Overview[],12,FALSE)))</f>
        <v/>
      </c>
      <c r="H15" s="61" t="str" cm="1">
        <f t="array" ref="H15">IF(May[[#This Row],[Name]]="","",IF(SUMPRODUCT((Overview[Name]=May[[#This Row],[Name]])*ISNUMBER(Overview[[November Weight (kg)]:[February Weight (kg)]]))=0,"N/A",MAX(IF((Overview[Name]=May[[#This Row],[Name]])*ISNUMBER(Overview[[November Weight (kg)]:[February Weight (kg)]]),Overview[[November Weight (kg)]:[February Weight (kg)]]))))</f>
        <v/>
      </c>
      <c r="I15" s="57" t="str">
        <f>IF(May[[#This Row],[Name]]="","",IF(NOT(ISNUMBER(May[[#This Row],[Highest Weight in the Past 3 - 6 Months]])),"N/A",IF(May[[#This Row],[May Weight (kg)]]=May[[#This Row],[Highest Weight in the Past 3 - 6 Months]],0,May[[#This Row],[May Weight (kg)]]-May[[#This Row],[Highest Weight in the Past 3 - 6 Months]])))</f>
        <v/>
      </c>
      <c r="J15"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5" s="130"/>
      <c r="L15" s="131"/>
      <c r="M15"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5" s="64" t="str">
        <f>IF(May[[#This Row],[Name]]="","",IF(May[[#This Row],[May MUST Score ]]=0,"Low",IF(May[[#This Row],[May MUST Score ]]=1,"Medium","High")))</f>
        <v/>
      </c>
      <c r="O15" s="10"/>
      <c r="P15" s="70"/>
      <c r="Q15" s="12"/>
      <c r="R15" s="17"/>
      <c r="S15" s="10"/>
      <c r="T15" s="17"/>
      <c r="U15" s="70"/>
      <c r="V15" s="11"/>
      <c r="W15" s="94"/>
      <c r="X15" s="12"/>
      <c r="Y15" s="11"/>
    </row>
    <row r="16" spans="2:26" x14ac:dyDescent="0.25">
      <c r="B16" s="12"/>
      <c r="C16" s="129"/>
      <c r="D16" s="94"/>
      <c r="E16" s="58" t="str">
        <f>IF(May[[#This Row],[Name]]="","",May[[#This Row],[May Weight (kg)]]/(VLOOKUP(May[[#This Row],[Name]],Overview[],2,FALSE)/100)^2)</f>
        <v/>
      </c>
      <c r="F16" s="58" t="str">
        <f>IF(May[[#This Row],[Name]]="","",IF(VLOOKUP(May[[#This Row],[Name]],Overview[],12,FALSE)="","N/A",May[[#This Row],[May Weight (kg)]]-VLOOKUP(May[[#This Row],[Name]],Overview[],12,FALSE)))</f>
        <v/>
      </c>
      <c r="G16" s="175" t="str">
        <f>IF(May[[#This Row],[Name]]="","",IF(VLOOKUP(May[[#This Row],[Name]],Overview[],12,FALSE)="","N/A",(May[[#This Row],[May Weight (kg)]]-VLOOKUP(May[[#This Row],[Name]],Overview[],12,FALSE))/VLOOKUP(May[[#This Row],[Name]],Overview[],12,FALSE)))</f>
        <v/>
      </c>
      <c r="H16" s="61" t="str" cm="1">
        <f t="array" ref="H16">IF(May[[#This Row],[Name]]="","",IF(SUMPRODUCT((Overview[Name]=May[[#This Row],[Name]])*ISNUMBER(Overview[[November Weight (kg)]:[February Weight (kg)]]))=0,"N/A",MAX(IF((Overview[Name]=May[[#This Row],[Name]])*ISNUMBER(Overview[[November Weight (kg)]:[February Weight (kg)]]),Overview[[November Weight (kg)]:[February Weight (kg)]]))))</f>
        <v/>
      </c>
      <c r="I16" s="57" t="str">
        <f>IF(May[[#This Row],[Name]]="","",IF(NOT(ISNUMBER(May[[#This Row],[Highest Weight in the Past 3 - 6 Months]])),"N/A",IF(May[[#This Row],[May Weight (kg)]]=May[[#This Row],[Highest Weight in the Past 3 - 6 Months]],0,May[[#This Row],[May Weight (kg)]]-May[[#This Row],[Highest Weight in the Past 3 - 6 Months]])))</f>
        <v/>
      </c>
      <c r="J16"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6" s="130"/>
      <c r="L16" s="131"/>
      <c r="M16"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6" s="64" t="str">
        <f>IF(May[[#This Row],[Name]]="","",IF(May[[#This Row],[May MUST Score ]]=0,"Low",IF(May[[#This Row],[May MUST Score ]]=1,"Medium","High")))</f>
        <v/>
      </c>
      <c r="O16" s="10"/>
      <c r="P16" s="70"/>
      <c r="Q16" s="12"/>
      <c r="R16" s="17"/>
      <c r="S16" s="10"/>
      <c r="T16" s="17"/>
      <c r="U16" s="70"/>
      <c r="V16" s="11"/>
      <c r="W16" s="94"/>
      <c r="X16" s="12"/>
      <c r="Y16" s="11"/>
    </row>
    <row r="17" spans="2:25" x14ac:dyDescent="0.25">
      <c r="B17" s="12"/>
      <c r="C17" s="129"/>
      <c r="D17" s="94"/>
      <c r="E17" s="58" t="str">
        <f>IF(May[[#This Row],[Name]]="","",May[[#This Row],[May Weight (kg)]]/(VLOOKUP(May[[#This Row],[Name]],Overview[],2,FALSE)/100)^2)</f>
        <v/>
      </c>
      <c r="F17" s="58" t="str">
        <f>IF(May[[#This Row],[Name]]="","",IF(VLOOKUP(May[[#This Row],[Name]],Overview[],12,FALSE)="","N/A",May[[#This Row],[May Weight (kg)]]-VLOOKUP(May[[#This Row],[Name]],Overview[],12,FALSE)))</f>
        <v/>
      </c>
      <c r="G17" s="175" t="str">
        <f>IF(May[[#This Row],[Name]]="","",IF(VLOOKUP(May[[#This Row],[Name]],Overview[],12,FALSE)="","N/A",(May[[#This Row],[May Weight (kg)]]-VLOOKUP(May[[#This Row],[Name]],Overview[],12,FALSE))/VLOOKUP(May[[#This Row],[Name]],Overview[],12,FALSE)))</f>
        <v/>
      </c>
      <c r="H17" s="61" t="str" cm="1">
        <f t="array" ref="H17">IF(May[[#This Row],[Name]]="","",IF(SUMPRODUCT((Overview[Name]=May[[#This Row],[Name]])*ISNUMBER(Overview[[November Weight (kg)]:[February Weight (kg)]]))=0,"N/A",MAX(IF((Overview[Name]=May[[#This Row],[Name]])*ISNUMBER(Overview[[November Weight (kg)]:[February Weight (kg)]]),Overview[[November Weight (kg)]:[February Weight (kg)]]))))</f>
        <v/>
      </c>
      <c r="I17" s="57" t="str">
        <f>IF(May[[#This Row],[Name]]="","",IF(NOT(ISNUMBER(May[[#This Row],[Highest Weight in the Past 3 - 6 Months]])),"N/A",IF(May[[#This Row],[May Weight (kg)]]=May[[#This Row],[Highest Weight in the Past 3 - 6 Months]],0,May[[#This Row],[May Weight (kg)]]-May[[#This Row],[Highest Weight in the Past 3 - 6 Months]])))</f>
        <v/>
      </c>
      <c r="J17"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7" s="130"/>
      <c r="L17" s="131"/>
      <c r="M17"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7" s="64" t="str">
        <f>IF(May[[#This Row],[Name]]="","",IF(May[[#This Row],[May MUST Score ]]=0,"Low",IF(May[[#This Row],[May MUST Score ]]=1,"Medium","High")))</f>
        <v/>
      </c>
      <c r="O17" s="10"/>
      <c r="P17" s="70"/>
      <c r="Q17" s="12"/>
      <c r="R17" s="17"/>
      <c r="S17" s="10"/>
      <c r="T17" s="17"/>
      <c r="U17" s="70"/>
      <c r="V17" s="11"/>
      <c r="W17" s="94"/>
      <c r="X17" s="12"/>
      <c r="Y17" s="11"/>
    </row>
    <row r="18" spans="2:25" x14ac:dyDescent="0.25">
      <c r="B18" s="12"/>
      <c r="C18" s="129"/>
      <c r="D18" s="94"/>
      <c r="E18" s="58" t="str">
        <f>IF(May[[#This Row],[Name]]="","",May[[#This Row],[May Weight (kg)]]/(VLOOKUP(May[[#This Row],[Name]],Overview[],2,FALSE)/100)^2)</f>
        <v/>
      </c>
      <c r="F18" s="58" t="str">
        <f>IF(May[[#This Row],[Name]]="","",IF(VLOOKUP(May[[#This Row],[Name]],Overview[],12,FALSE)="","N/A",May[[#This Row],[May Weight (kg)]]-VLOOKUP(May[[#This Row],[Name]],Overview[],12,FALSE)))</f>
        <v/>
      </c>
      <c r="G18" s="175" t="str">
        <f>IF(May[[#This Row],[Name]]="","",IF(VLOOKUP(May[[#This Row],[Name]],Overview[],12,FALSE)="","N/A",(May[[#This Row],[May Weight (kg)]]-VLOOKUP(May[[#This Row],[Name]],Overview[],12,FALSE))/VLOOKUP(May[[#This Row],[Name]],Overview[],12,FALSE)))</f>
        <v/>
      </c>
      <c r="H18" s="61" t="str" cm="1">
        <f t="array" ref="H18">IF(May[[#This Row],[Name]]="","",IF(SUMPRODUCT((Overview[Name]=May[[#This Row],[Name]])*ISNUMBER(Overview[[November Weight (kg)]:[February Weight (kg)]]))=0,"N/A",MAX(IF((Overview[Name]=May[[#This Row],[Name]])*ISNUMBER(Overview[[November Weight (kg)]:[February Weight (kg)]]),Overview[[November Weight (kg)]:[February Weight (kg)]]))))</f>
        <v/>
      </c>
      <c r="I18" s="57" t="str">
        <f>IF(May[[#This Row],[Name]]="","",IF(NOT(ISNUMBER(May[[#This Row],[Highest Weight in the Past 3 - 6 Months]])),"N/A",IF(May[[#This Row],[May Weight (kg)]]=May[[#This Row],[Highest Weight in the Past 3 - 6 Months]],0,May[[#This Row],[May Weight (kg)]]-May[[#This Row],[Highest Weight in the Past 3 - 6 Months]])))</f>
        <v/>
      </c>
      <c r="J18"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8" s="130"/>
      <c r="L18" s="131"/>
      <c r="M18"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8" s="64" t="str">
        <f>IF(May[[#This Row],[Name]]="","",IF(May[[#This Row],[May MUST Score ]]=0,"Low",IF(May[[#This Row],[May MUST Score ]]=1,"Medium","High")))</f>
        <v/>
      </c>
      <c r="O18" s="10"/>
      <c r="P18" s="70"/>
      <c r="Q18" s="12"/>
      <c r="R18" s="17"/>
      <c r="S18" s="10"/>
      <c r="T18" s="17"/>
      <c r="U18" s="70"/>
      <c r="V18" s="11"/>
      <c r="W18" s="94"/>
      <c r="X18" s="12"/>
      <c r="Y18" s="11"/>
    </row>
    <row r="19" spans="2:25" x14ac:dyDescent="0.25">
      <c r="B19" s="12"/>
      <c r="C19" s="129"/>
      <c r="D19" s="94"/>
      <c r="E19" s="58" t="str">
        <f>IF(May[[#This Row],[Name]]="","",May[[#This Row],[May Weight (kg)]]/(VLOOKUP(May[[#This Row],[Name]],Overview[],2,FALSE)/100)^2)</f>
        <v/>
      </c>
      <c r="F19" s="58" t="str">
        <f>IF(May[[#This Row],[Name]]="","",IF(VLOOKUP(May[[#This Row],[Name]],Overview[],12,FALSE)="","N/A",May[[#This Row],[May Weight (kg)]]-VLOOKUP(May[[#This Row],[Name]],Overview[],12,FALSE)))</f>
        <v/>
      </c>
      <c r="G19" s="175" t="str">
        <f>IF(May[[#This Row],[Name]]="","",IF(VLOOKUP(May[[#This Row],[Name]],Overview[],12,FALSE)="","N/A",(May[[#This Row],[May Weight (kg)]]-VLOOKUP(May[[#This Row],[Name]],Overview[],12,FALSE))/VLOOKUP(May[[#This Row],[Name]],Overview[],12,FALSE)))</f>
        <v/>
      </c>
      <c r="H19" s="61" t="str" cm="1">
        <f t="array" ref="H19">IF(May[[#This Row],[Name]]="","",IF(SUMPRODUCT((Overview[Name]=May[[#This Row],[Name]])*ISNUMBER(Overview[[November Weight (kg)]:[February Weight (kg)]]))=0,"N/A",MAX(IF((Overview[Name]=May[[#This Row],[Name]])*ISNUMBER(Overview[[November Weight (kg)]:[February Weight (kg)]]),Overview[[November Weight (kg)]:[February Weight (kg)]]))))</f>
        <v/>
      </c>
      <c r="I19" s="57" t="str">
        <f>IF(May[[#This Row],[Name]]="","",IF(NOT(ISNUMBER(May[[#This Row],[Highest Weight in the Past 3 - 6 Months]])),"N/A",IF(May[[#This Row],[May Weight (kg)]]=May[[#This Row],[Highest Weight in the Past 3 - 6 Months]],0,May[[#This Row],[May Weight (kg)]]-May[[#This Row],[Highest Weight in the Past 3 - 6 Months]])))</f>
        <v/>
      </c>
      <c r="J19"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19" s="130"/>
      <c r="L19" s="131"/>
      <c r="M19"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19" s="64" t="str">
        <f>IF(May[[#This Row],[Name]]="","",IF(May[[#This Row],[May MUST Score ]]=0,"Low",IF(May[[#This Row],[May MUST Score ]]=1,"Medium","High")))</f>
        <v/>
      </c>
      <c r="O19" s="10"/>
      <c r="P19" s="70"/>
      <c r="Q19" s="12"/>
      <c r="R19" s="17"/>
      <c r="S19" s="10"/>
      <c r="T19" s="17"/>
      <c r="U19" s="70"/>
      <c r="V19" s="11"/>
      <c r="W19" s="94"/>
      <c r="X19" s="12"/>
      <c r="Y19" s="11"/>
    </row>
    <row r="20" spans="2:25" x14ac:dyDescent="0.25">
      <c r="B20" s="12"/>
      <c r="C20" s="129"/>
      <c r="D20" s="94"/>
      <c r="E20" s="58" t="str">
        <f>IF(May[[#This Row],[Name]]="","",May[[#This Row],[May Weight (kg)]]/(VLOOKUP(May[[#This Row],[Name]],Overview[],2,FALSE)/100)^2)</f>
        <v/>
      </c>
      <c r="F20" s="58" t="str">
        <f>IF(May[[#This Row],[Name]]="","",IF(VLOOKUP(May[[#This Row],[Name]],Overview[],12,FALSE)="","N/A",May[[#This Row],[May Weight (kg)]]-VLOOKUP(May[[#This Row],[Name]],Overview[],12,FALSE)))</f>
        <v/>
      </c>
      <c r="G20" s="175" t="str">
        <f>IF(May[[#This Row],[Name]]="","",IF(VLOOKUP(May[[#This Row],[Name]],Overview[],12,FALSE)="","N/A",(May[[#This Row],[May Weight (kg)]]-VLOOKUP(May[[#This Row],[Name]],Overview[],12,FALSE))/VLOOKUP(May[[#This Row],[Name]],Overview[],12,FALSE)))</f>
        <v/>
      </c>
      <c r="H20" s="61" t="str" cm="1">
        <f t="array" ref="H20">IF(May[[#This Row],[Name]]="","",IF(SUMPRODUCT((Overview[Name]=May[[#This Row],[Name]])*ISNUMBER(Overview[[November Weight (kg)]:[February Weight (kg)]]))=0,"N/A",MAX(IF((Overview[Name]=May[[#This Row],[Name]])*ISNUMBER(Overview[[November Weight (kg)]:[February Weight (kg)]]),Overview[[November Weight (kg)]:[February Weight (kg)]]))))</f>
        <v/>
      </c>
      <c r="I20" s="57" t="str">
        <f>IF(May[[#This Row],[Name]]="","",IF(NOT(ISNUMBER(May[[#This Row],[Highest Weight in the Past 3 - 6 Months]])),"N/A",IF(May[[#This Row],[May Weight (kg)]]=May[[#This Row],[Highest Weight in the Past 3 - 6 Months]],0,May[[#This Row],[May Weight (kg)]]-May[[#This Row],[Highest Weight in the Past 3 - 6 Months]])))</f>
        <v/>
      </c>
      <c r="J20"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0" s="130"/>
      <c r="L20" s="131"/>
      <c r="M20"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0" s="64" t="str">
        <f>IF(May[[#This Row],[Name]]="","",IF(May[[#This Row],[May MUST Score ]]=0,"Low",IF(May[[#This Row],[May MUST Score ]]=1,"Medium","High")))</f>
        <v/>
      </c>
      <c r="O20" s="10"/>
      <c r="P20" s="70"/>
      <c r="Q20" s="12"/>
      <c r="R20" s="17"/>
      <c r="S20" s="10"/>
      <c r="T20" s="17"/>
      <c r="U20" s="70"/>
      <c r="V20" s="11"/>
      <c r="W20" s="94"/>
      <c r="X20" s="12"/>
      <c r="Y20" s="11"/>
    </row>
    <row r="21" spans="2:25" x14ac:dyDescent="0.25">
      <c r="B21" s="12"/>
      <c r="C21" s="129"/>
      <c r="D21" s="94"/>
      <c r="E21" s="58" t="str">
        <f>IF(May[[#This Row],[Name]]="","",May[[#This Row],[May Weight (kg)]]/(VLOOKUP(May[[#This Row],[Name]],Overview[],2,FALSE)/100)^2)</f>
        <v/>
      </c>
      <c r="F21" s="58" t="str">
        <f>IF(May[[#This Row],[Name]]="","",IF(VLOOKUP(May[[#This Row],[Name]],Overview[],12,FALSE)="","N/A",May[[#This Row],[May Weight (kg)]]-VLOOKUP(May[[#This Row],[Name]],Overview[],12,FALSE)))</f>
        <v/>
      </c>
      <c r="G21" s="175" t="str">
        <f>IF(May[[#This Row],[Name]]="","",IF(VLOOKUP(May[[#This Row],[Name]],Overview[],12,FALSE)="","N/A",(May[[#This Row],[May Weight (kg)]]-VLOOKUP(May[[#This Row],[Name]],Overview[],12,FALSE))/VLOOKUP(May[[#This Row],[Name]],Overview[],12,FALSE)))</f>
        <v/>
      </c>
      <c r="H21" s="61" t="str" cm="1">
        <f t="array" ref="H21">IF(May[[#This Row],[Name]]="","",IF(SUMPRODUCT((Overview[Name]=May[[#This Row],[Name]])*ISNUMBER(Overview[[November Weight (kg)]:[February Weight (kg)]]))=0,"N/A",MAX(IF((Overview[Name]=May[[#This Row],[Name]])*ISNUMBER(Overview[[November Weight (kg)]:[February Weight (kg)]]),Overview[[November Weight (kg)]:[February Weight (kg)]]))))</f>
        <v/>
      </c>
      <c r="I21" s="57" t="str">
        <f>IF(May[[#This Row],[Name]]="","",IF(NOT(ISNUMBER(May[[#This Row],[Highest Weight in the Past 3 - 6 Months]])),"N/A",IF(May[[#This Row],[May Weight (kg)]]=May[[#This Row],[Highest Weight in the Past 3 - 6 Months]],0,May[[#This Row],[May Weight (kg)]]-May[[#This Row],[Highest Weight in the Past 3 - 6 Months]])))</f>
        <v/>
      </c>
      <c r="J21"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1" s="130"/>
      <c r="L21" s="131"/>
      <c r="M21"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1" s="64" t="str">
        <f>IF(May[[#This Row],[Name]]="","",IF(May[[#This Row],[May MUST Score ]]=0,"Low",IF(May[[#This Row],[May MUST Score ]]=1,"Medium","High")))</f>
        <v/>
      </c>
      <c r="O21" s="10"/>
      <c r="P21" s="70"/>
      <c r="Q21" s="12"/>
      <c r="R21" s="17"/>
      <c r="S21" s="10"/>
      <c r="T21" s="17"/>
      <c r="U21" s="70"/>
      <c r="V21" s="11"/>
      <c r="W21" s="94"/>
      <c r="X21" s="12"/>
      <c r="Y21" s="11"/>
    </row>
    <row r="22" spans="2:25" x14ac:dyDescent="0.25">
      <c r="B22" s="12"/>
      <c r="C22" s="129"/>
      <c r="D22" s="94"/>
      <c r="E22" s="58" t="str">
        <f>IF(May[[#This Row],[Name]]="","",May[[#This Row],[May Weight (kg)]]/(VLOOKUP(May[[#This Row],[Name]],Overview[],2,FALSE)/100)^2)</f>
        <v/>
      </c>
      <c r="F22" s="58" t="str">
        <f>IF(May[[#This Row],[Name]]="","",IF(VLOOKUP(May[[#This Row],[Name]],Overview[],12,FALSE)="","N/A",May[[#This Row],[May Weight (kg)]]-VLOOKUP(May[[#This Row],[Name]],Overview[],12,FALSE)))</f>
        <v/>
      </c>
      <c r="G22" s="175" t="str">
        <f>IF(May[[#This Row],[Name]]="","",IF(VLOOKUP(May[[#This Row],[Name]],Overview[],12,FALSE)="","N/A",(May[[#This Row],[May Weight (kg)]]-VLOOKUP(May[[#This Row],[Name]],Overview[],12,FALSE))/VLOOKUP(May[[#This Row],[Name]],Overview[],12,FALSE)))</f>
        <v/>
      </c>
      <c r="H22" s="61" t="str" cm="1">
        <f t="array" ref="H22">IF(May[[#This Row],[Name]]="","",IF(SUMPRODUCT((Overview[Name]=May[[#This Row],[Name]])*ISNUMBER(Overview[[November Weight (kg)]:[February Weight (kg)]]))=0,"N/A",MAX(IF((Overview[Name]=May[[#This Row],[Name]])*ISNUMBER(Overview[[November Weight (kg)]:[February Weight (kg)]]),Overview[[November Weight (kg)]:[February Weight (kg)]]))))</f>
        <v/>
      </c>
      <c r="I22" s="57" t="str">
        <f>IF(May[[#This Row],[Name]]="","",IF(NOT(ISNUMBER(May[[#This Row],[Highest Weight in the Past 3 - 6 Months]])),"N/A",IF(May[[#This Row],[May Weight (kg)]]=May[[#This Row],[Highest Weight in the Past 3 - 6 Months]],0,May[[#This Row],[May Weight (kg)]]-May[[#This Row],[Highest Weight in the Past 3 - 6 Months]])))</f>
        <v/>
      </c>
      <c r="J22"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2" s="130"/>
      <c r="L22" s="131"/>
      <c r="M22"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2" s="64" t="str">
        <f>IF(May[[#This Row],[Name]]="","",IF(May[[#This Row],[May MUST Score ]]=0,"Low",IF(May[[#This Row],[May MUST Score ]]=1,"Medium","High")))</f>
        <v/>
      </c>
      <c r="O22" s="10"/>
      <c r="P22" s="70"/>
      <c r="Q22" s="12"/>
      <c r="R22" s="17"/>
      <c r="S22" s="10"/>
      <c r="T22" s="17"/>
      <c r="U22" s="70"/>
      <c r="V22" s="11"/>
      <c r="W22" s="94"/>
      <c r="X22" s="12"/>
      <c r="Y22" s="11"/>
    </row>
    <row r="23" spans="2:25" x14ac:dyDescent="0.25">
      <c r="B23" s="12"/>
      <c r="C23" s="129"/>
      <c r="D23" s="94"/>
      <c r="E23" s="58" t="str">
        <f>IF(May[[#This Row],[Name]]="","",May[[#This Row],[May Weight (kg)]]/(VLOOKUP(May[[#This Row],[Name]],Overview[],2,FALSE)/100)^2)</f>
        <v/>
      </c>
      <c r="F23" s="58" t="str">
        <f>IF(May[[#This Row],[Name]]="","",IF(VLOOKUP(May[[#This Row],[Name]],Overview[],12,FALSE)="","N/A",May[[#This Row],[May Weight (kg)]]-VLOOKUP(May[[#This Row],[Name]],Overview[],12,FALSE)))</f>
        <v/>
      </c>
      <c r="G23" s="175" t="str">
        <f>IF(May[[#This Row],[Name]]="","",IF(VLOOKUP(May[[#This Row],[Name]],Overview[],12,FALSE)="","N/A",(May[[#This Row],[May Weight (kg)]]-VLOOKUP(May[[#This Row],[Name]],Overview[],12,FALSE))/VLOOKUP(May[[#This Row],[Name]],Overview[],12,FALSE)))</f>
        <v/>
      </c>
      <c r="H23" s="61" t="str" cm="1">
        <f t="array" ref="H23">IF(May[[#This Row],[Name]]="","",IF(SUMPRODUCT((Overview[Name]=May[[#This Row],[Name]])*ISNUMBER(Overview[[November Weight (kg)]:[February Weight (kg)]]))=0,"N/A",MAX(IF((Overview[Name]=May[[#This Row],[Name]])*ISNUMBER(Overview[[November Weight (kg)]:[February Weight (kg)]]),Overview[[November Weight (kg)]:[February Weight (kg)]]))))</f>
        <v/>
      </c>
      <c r="I23" s="57" t="str">
        <f>IF(May[[#This Row],[Name]]="","",IF(NOT(ISNUMBER(May[[#This Row],[Highest Weight in the Past 3 - 6 Months]])),"N/A",IF(May[[#This Row],[May Weight (kg)]]=May[[#This Row],[Highest Weight in the Past 3 - 6 Months]],0,May[[#This Row],[May Weight (kg)]]-May[[#This Row],[Highest Weight in the Past 3 - 6 Months]])))</f>
        <v/>
      </c>
      <c r="J23"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3" s="130"/>
      <c r="L23" s="131"/>
      <c r="M23"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3" s="64" t="str">
        <f>IF(May[[#This Row],[Name]]="","",IF(May[[#This Row],[May MUST Score ]]=0,"Low",IF(May[[#This Row],[May MUST Score ]]=1,"Medium","High")))</f>
        <v/>
      </c>
      <c r="O23" s="10"/>
      <c r="P23" s="70"/>
      <c r="Q23" s="12"/>
      <c r="R23" s="17"/>
      <c r="S23" s="10"/>
      <c r="T23" s="17"/>
      <c r="U23" s="70"/>
      <c r="V23" s="11"/>
      <c r="W23" s="94"/>
      <c r="X23" s="12"/>
      <c r="Y23" s="11"/>
    </row>
    <row r="24" spans="2:25" x14ac:dyDescent="0.25">
      <c r="B24" s="12"/>
      <c r="C24" s="129"/>
      <c r="D24" s="94"/>
      <c r="E24" s="58" t="str">
        <f>IF(May[[#This Row],[Name]]="","",May[[#This Row],[May Weight (kg)]]/(VLOOKUP(May[[#This Row],[Name]],Overview[],2,FALSE)/100)^2)</f>
        <v/>
      </c>
      <c r="F24" s="58" t="str">
        <f>IF(May[[#This Row],[Name]]="","",IF(VLOOKUP(May[[#This Row],[Name]],Overview[],12,FALSE)="","N/A",May[[#This Row],[May Weight (kg)]]-VLOOKUP(May[[#This Row],[Name]],Overview[],12,FALSE)))</f>
        <v/>
      </c>
      <c r="G24" s="175" t="str">
        <f>IF(May[[#This Row],[Name]]="","",IF(VLOOKUP(May[[#This Row],[Name]],Overview[],12,FALSE)="","N/A",(May[[#This Row],[May Weight (kg)]]-VLOOKUP(May[[#This Row],[Name]],Overview[],12,FALSE))/VLOOKUP(May[[#This Row],[Name]],Overview[],12,FALSE)))</f>
        <v/>
      </c>
      <c r="H24" s="61" t="str" cm="1">
        <f t="array" ref="H24">IF(May[[#This Row],[Name]]="","",IF(SUMPRODUCT((Overview[Name]=May[[#This Row],[Name]])*ISNUMBER(Overview[[November Weight (kg)]:[February Weight (kg)]]))=0,"N/A",MAX(IF((Overview[Name]=May[[#This Row],[Name]])*ISNUMBER(Overview[[November Weight (kg)]:[February Weight (kg)]]),Overview[[November Weight (kg)]:[February Weight (kg)]]))))</f>
        <v/>
      </c>
      <c r="I24" s="57" t="str">
        <f>IF(May[[#This Row],[Name]]="","",IF(NOT(ISNUMBER(May[[#This Row],[Highest Weight in the Past 3 - 6 Months]])),"N/A",IF(May[[#This Row],[May Weight (kg)]]=May[[#This Row],[Highest Weight in the Past 3 - 6 Months]],0,May[[#This Row],[May Weight (kg)]]-May[[#This Row],[Highest Weight in the Past 3 - 6 Months]])))</f>
        <v/>
      </c>
      <c r="J24"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4" s="130"/>
      <c r="L24" s="131"/>
      <c r="M24"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4" s="64" t="str">
        <f>IF(May[[#This Row],[Name]]="","",IF(May[[#This Row],[May MUST Score ]]=0,"Low",IF(May[[#This Row],[May MUST Score ]]=1,"Medium","High")))</f>
        <v/>
      </c>
      <c r="O24" s="10"/>
      <c r="P24" s="70"/>
      <c r="Q24" s="12"/>
      <c r="R24" s="17"/>
      <c r="S24" s="10"/>
      <c r="T24" s="17"/>
      <c r="U24" s="70"/>
      <c r="V24" s="11"/>
      <c r="W24" s="94"/>
      <c r="X24" s="12"/>
      <c r="Y24" s="11"/>
    </row>
    <row r="25" spans="2:25" x14ac:dyDescent="0.25">
      <c r="B25" s="12"/>
      <c r="C25" s="129"/>
      <c r="D25" s="94"/>
      <c r="E25" s="58" t="str">
        <f>IF(May[[#This Row],[Name]]="","",May[[#This Row],[May Weight (kg)]]/(VLOOKUP(May[[#This Row],[Name]],Overview[],2,FALSE)/100)^2)</f>
        <v/>
      </c>
      <c r="F25" s="58" t="str">
        <f>IF(May[[#This Row],[Name]]="","",IF(VLOOKUP(May[[#This Row],[Name]],Overview[],12,FALSE)="","N/A",May[[#This Row],[May Weight (kg)]]-VLOOKUP(May[[#This Row],[Name]],Overview[],12,FALSE)))</f>
        <v/>
      </c>
      <c r="G25" s="175" t="str">
        <f>IF(May[[#This Row],[Name]]="","",IF(VLOOKUP(May[[#This Row],[Name]],Overview[],12,FALSE)="","N/A",(May[[#This Row],[May Weight (kg)]]-VLOOKUP(May[[#This Row],[Name]],Overview[],12,FALSE))/VLOOKUP(May[[#This Row],[Name]],Overview[],12,FALSE)))</f>
        <v/>
      </c>
      <c r="H25" s="61" t="str" cm="1">
        <f t="array" ref="H25">IF(May[[#This Row],[Name]]="","",IF(SUMPRODUCT((Overview[Name]=May[[#This Row],[Name]])*ISNUMBER(Overview[[November Weight (kg)]:[February Weight (kg)]]))=0,"N/A",MAX(IF((Overview[Name]=May[[#This Row],[Name]])*ISNUMBER(Overview[[November Weight (kg)]:[February Weight (kg)]]),Overview[[November Weight (kg)]:[February Weight (kg)]]))))</f>
        <v/>
      </c>
      <c r="I25" s="57" t="str">
        <f>IF(May[[#This Row],[Name]]="","",IF(NOT(ISNUMBER(May[[#This Row],[Highest Weight in the Past 3 - 6 Months]])),"N/A",IF(May[[#This Row],[May Weight (kg)]]=May[[#This Row],[Highest Weight in the Past 3 - 6 Months]],0,May[[#This Row],[May Weight (kg)]]-May[[#This Row],[Highest Weight in the Past 3 - 6 Months]])))</f>
        <v/>
      </c>
      <c r="J25"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5" s="130"/>
      <c r="L25" s="131"/>
      <c r="M25"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5" s="64" t="str">
        <f>IF(May[[#This Row],[Name]]="","",IF(May[[#This Row],[May MUST Score ]]=0,"Low",IF(May[[#This Row],[May MUST Score ]]=1,"Medium","High")))</f>
        <v/>
      </c>
      <c r="O25" s="10"/>
      <c r="P25" s="70"/>
      <c r="Q25" s="12"/>
      <c r="R25" s="17"/>
      <c r="S25" s="10"/>
      <c r="T25" s="17"/>
      <c r="U25" s="70"/>
      <c r="V25" s="11"/>
      <c r="W25" s="94"/>
      <c r="X25" s="12"/>
      <c r="Y25" s="11"/>
    </row>
    <row r="26" spans="2:25" x14ac:dyDescent="0.25">
      <c r="B26" s="12"/>
      <c r="C26" s="129"/>
      <c r="D26" s="94"/>
      <c r="E26" s="58" t="str">
        <f>IF(May[[#This Row],[Name]]="","",May[[#This Row],[May Weight (kg)]]/(VLOOKUP(May[[#This Row],[Name]],Overview[],2,FALSE)/100)^2)</f>
        <v/>
      </c>
      <c r="F26" s="58" t="str">
        <f>IF(May[[#This Row],[Name]]="","",IF(VLOOKUP(May[[#This Row],[Name]],Overview[],12,FALSE)="","N/A",May[[#This Row],[May Weight (kg)]]-VLOOKUP(May[[#This Row],[Name]],Overview[],12,FALSE)))</f>
        <v/>
      </c>
      <c r="G26" s="175" t="str">
        <f>IF(May[[#This Row],[Name]]="","",IF(VLOOKUP(May[[#This Row],[Name]],Overview[],12,FALSE)="","N/A",(May[[#This Row],[May Weight (kg)]]-VLOOKUP(May[[#This Row],[Name]],Overview[],12,FALSE))/VLOOKUP(May[[#This Row],[Name]],Overview[],12,FALSE)))</f>
        <v/>
      </c>
      <c r="H26" s="61" t="str" cm="1">
        <f t="array" ref="H26">IF(May[[#This Row],[Name]]="","",IF(SUMPRODUCT((Overview[Name]=May[[#This Row],[Name]])*ISNUMBER(Overview[[November Weight (kg)]:[February Weight (kg)]]))=0,"N/A",MAX(IF((Overview[Name]=May[[#This Row],[Name]])*ISNUMBER(Overview[[November Weight (kg)]:[February Weight (kg)]]),Overview[[November Weight (kg)]:[February Weight (kg)]]))))</f>
        <v/>
      </c>
      <c r="I26" s="57" t="str">
        <f>IF(May[[#This Row],[Name]]="","",IF(NOT(ISNUMBER(May[[#This Row],[Highest Weight in the Past 3 - 6 Months]])),"N/A",IF(May[[#This Row],[May Weight (kg)]]=May[[#This Row],[Highest Weight in the Past 3 - 6 Months]],0,May[[#This Row],[May Weight (kg)]]-May[[#This Row],[Highest Weight in the Past 3 - 6 Months]])))</f>
        <v/>
      </c>
      <c r="J26"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6" s="130"/>
      <c r="L26" s="131"/>
      <c r="M26"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6" s="64" t="str">
        <f>IF(May[[#This Row],[Name]]="","",IF(May[[#This Row],[May MUST Score ]]=0,"Low",IF(May[[#This Row],[May MUST Score ]]=1,"Medium","High")))</f>
        <v/>
      </c>
      <c r="O26" s="10"/>
      <c r="P26" s="70"/>
      <c r="Q26" s="12"/>
      <c r="R26" s="17"/>
      <c r="S26" s="10"/>
      <c r="T26" s="17"/>
      <c r="U26" s="70"/>
      <c r="V26" s="11"/>
      <c r="W26" s="94"/>
      <c r="X26" s="12"/>
      <c r="Y26" s="11"/>
    </row>
    <row r="27" spans="2:25" x14ac:dyDescent="0.25">
      <c r="B27" s="12"/>
      <c r="C27" s="129"/>
      <c r="D27" s="94"/>
      <c r="E27" s="58" t="str">
        <f>IF(May[[#This Row],[Name]]="","",May[[#This Row],[May Weight (kg)]]/(VLOOKUP(May[[#This Row],[Name]],Overview[],2,FALSE)/100)^2)</f>
        <v/>
      </c>
      <c r="F27" s="58" t="str">
        <f>IF(May[[#This Row],[Name]]="","",IF(VLOOKUP(May[[#This Row],[Name]],Overview[],12,FALSE)="","N/A",May[[#This Row],[May Weight (kg)]]-VLOOKUP(May[[#This Row],[Name]],Overview[],12,FALSE)))</f>
        <v/>
      </c>
      <c r="G27" s="175" t="str">
        <f>IF(May[[#This Row],[Name]]="","",IF(VLOOKUP(May[[#This Row],[Name]],Overview[],12,FALSE)="","N/A",(May[[#This Row],[May Weight (kg)]]-VLOOKUP(May[[#This Row],[Name]],Overview[],12,FALSE))/VLOOKUP(May[[#This Row],[Name]],Overview[],12,FALSE)))</f>
        <v/>
      </c>
      <c r="H27" s="61" t="str" cm="1">
        <f t="array" ref="H27">IF(May[[#This Row],[Name]]="","",IF(SUMPRODUCT((Overview[Name]=May[[#This Row],[Name]])*ISNUMBER(Overview[[November Weight (kg)]:[February Weight (kg)]]))=0,"N/A",MAX(IF((Overview[Name]=May[[#This Row],[Name]])*ISNUMBER(Overview[[November Weight (kg)]:[February Weight (kg)]]),Overview[[November Weight (kg)]:[February Weight (kg)]]))))</f>
        <v/>
      </c>
      <c r="I27" s="57" t="str">
        <f>IF(May[[#This Row],[Name]]="","",IF(NOT(ISNUMBER(May[[#This Row],[Highest Weight in the Past 3 - 6 Months]])),"N/A",IF(May[[#This Row],[May Weight (kg)]]=May[[#This Row],[Highest Weight in the Past 3 - 6 Months]],0,May[[#This Row],[May Weight (kg)]]-May[[#This Row],[Highest Weight in the Past 3 - 6 Months]])))</f>
        <v/>
      </c>
      <c r="J27"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7" s="130"/>
      <c r="L27" s="131"/>
      <c r="M27"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7" s="64" t="str">
        <f>IF(May[[#This Row],[Name]]="","",IF(May[[#This Row],[May MUST Score ]]=0,"Low",IF(May[[#This Row],[May MUST Score ]]=1,"Medium","High")))</f>
        <v/>
      </c>
      <c r="O27" s="10"/>
      <c r="P27" s="70"/>
      <c r="Q27" s="12"/>
      <c r="R27" s="17"/>
      <c r="S27" s="10"/>
      <c r="T27" s="17"/>
      <c r="U27" s="70"/>
      <c r="V27" s="11"/>
      <c r="W27" s="94"/>
      <c r="X27" s="12"/>
      <c r="Y27" s="11"/>
    </row>
    <row r="28" spans="2:25" x14ac:dyDescent="0.25">
      <c r="B28" s="12"/>
      <c r="C28" s="129"/>
      <c r="D28" s="94"/>
      <c r="E28" s="58" t="str">
        <f>IF(May[[#This Row],[Name]]="","",May[[#This Row],[May Weight (kg)]]/(VLOOKUP(May[[#This Row],[Name]],Overview[],2,FALSE)/100)^2)</f>
        <v/>
      </c>
      <c r="F28" s="58" t="str">
        <f>IF(May[[#This Row],[Name]]="","",IF(VLOOKUP(May[[#This Row],[Name]],Overview[],12,FALSE)="","N/A",May[[#This Row],[May Weight (kg)]]-VLOOKUP(May[[#This Row],[Name]],Overview[],12,FALSE)))</f>
        <v/>
      </c>
      <c r="G28" s="175" t="str">
        <f>IF(May[[#This Row],[Name]]="","",IF(VLOOKUP(May[[#This Row],[Name]],Overview[],12,FALSE)="","N/A",(May[[#This Row],[May Weight (kg)]]-VLOOKUP(May[[#This Row],[Name]],Overview[],12,FALSE))/VLOOKUP(May[[#This Row],[Name]],Overview[],12,FALSE)))</f>
        <v/>
      </c>
      <c r="H28" s="61" t="str" cm="1">
        <f t="array" ref="H28">IF(May[[#This Row],[Name]]="","",IF(SUMPRODUCT((Overview[Name]=May[[#This Row],[Name]])*ISNUMBER(Overview[[November Weight (kg)]:[February Weight (kg)]]))=0,"N/A",MAX(IF((Overview[Name]=May[[#This Row],[Name]])*ISNUMBER(Overview[[November Weight (kg)]:[February Weight (kg)]]),Overview[[November Weight (kg)]:[February Weight (kg)]]))))</f>
        <v/>
      </c>
      <c r="I28" s="57" t="str">
        <f>IF(May[[#This Row],[Name]]="","",IF(NOT(ISNUMBER(May[[#This Row],[Highest Weight in the Past 3 - 6 Months]])),"N/A",IF(May[[#This Row],[May Weight (kg)]]=May[[#This Row],[Highest Weight in the Past 3 - 6 Months]],0,May[[#This Row],[May Weight (kg)]]-May[[#This Row],[Highest Weight in the Past 3 - 6 Months]])))</f>
        <v/>
      </c>
      <c r="J28"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8" s="130"/>
      <c r="L28" s="131"/>
      <c r="M28"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8" s="64" t="str">
        <f>IF(May[[#This Row],[Name]]="","",IF(May[[#This Row],[May MUST Score ]]=0,"Low",IF(May[[#This Row],[May MUST Score ]]=1,"Medium","High")))</f>
        <v/>
      </c>
      <c r="O28" s="10"/>
      <c r="P28" s="70"/>
      <c r="Q28" s="12"/>
      <c r="R28" s="17"/>
      <c r="S28" s="10"/>
      <c r="T28" s="17"/>
      <c r="U28" s="70"/>
      <c r="V28" s="11"/>
      <c r="W28" s="94"/>
      <c r="X28" s="12"/>
      <c r="Y28" s="11"/>
    </row>
    <row r="29" spans="2:25" x14ac:dyDescent="0.25">
      <c r="B29" s="12"/>
      <c r="C29" s="129"/>
      <c r="D29" s="94"/>
      <c r="E29" s="58" t="str">
        <f>IF(May[[#This Row],[Name]]="","",May[[#This Row],[May Weight (kg)]]/(VLOOKUP(May[[#This Row],[Name]],Overview[],2,FALSE)/100)^2)</f>
        <v/>
      </c>
      <c r="F29" s="58" t="str">
        <f>IF(May[[#This Row],[Name]]="","",IF(VLOOKUP(May[[#This Row],[Name]],Overview[],12,FALSE)="","N/A",May[[#This Row],[May Weight (kg)]]-VLOOKUP(May[[#This Row],[Name]],Overview[],12,FALSE)))</f>
        <v/>
      </c>
      <c r="G29" s="175" t="str">
        <f>IF(May[[#This Row],[Name]]="","",IF(VLOOKUP(May[[#This Row],[Name]],Overview[],12,FALSE)="","N/A",(May[[#This Row],[May Weight (kg)]]-VLOOKUP(May[[#This Row],[Name]],Overview[],12,FALSE))/VLOOKUP(May[[#This Row],[Name]],Overview[],12,FALSE)))</f>
        <v/>
      </c>
      <c r="H29" s="61" t="str" cm="1">
        <f t="array" ref="H29">IF(May[[#This Row],[Name]]="","",IF(SUMPRODUCT((Overview[Name]=May[[#This Row],[Name]])*ISNUMBER(Overview[[November Weight (kg)]:[February Weight (kg)]]))=0,"N/A",MAX(IF((Overview[Name]=May[[#This Row],[Name]])*ISNUMBER(Overview[[November Weight (kg)]:[February Weight (kg)]]),Overview[[November Weight (kg)]:[February Weight (kg)]]))))</f>
        <v/>
      </c>
      <c r="I29" s="57" t="str">
        <f>IF(May[[#This Row],[Name]]="","",IF(NOT(ISNUMBER(May[[#This Row],[Highest Weight in the Past 3 - 6 Months]])),"N/A",IF(May[[#This Row],[May Weight (kg)]]=May[[#This Row],[Highest Weight in the Past 3 - 6 Months]],0,May[[#This Row],[May Weight (kg)]]-May[[#This Row],[Highest Weight in the Past 3 - 6 Months]])))</f>
        <v/>
      </c>
      <c r="J29"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29" s="130"/>
      <c r="L29" s="131"/>
      <c r="M29"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29" s="64" t="str">
        <f>IF(May[[#This Row],[Name]]="","",IF(May[[#This Row],[May MUST Score ]]=0,"Low",IF(May[[#This Row],[May MUST Score ]]=1,"Medium","High")))</f>
        <v/>
      </c>
      <c r="O29" s="10"/>
      <c r="P29" s="70"/>
      <c r="Q29" s="12"/>
      <c r="R29" s="17"/>
      <c r="S29" s="10"/>
      <c r="T29" s="17"/>
      <c r="U29" s="70"/>
      <c r="V29" s="11"/>
      <c r="W29" s="94"/>
      <c r="X29" s="12"/>
      <c r="Y29" s="11"/>
    </row>
    <row r="30" spans="2:25" x14ac:dyDescent="0.25">
      <c r="B30" s="12"/>
      <c r="C30" s="129"/>
      <c r="D30" s="94"/>
      <c r="E30" s="58" t="str">
        <f>IF(May[[#This Row],[Name]]="","",May[[#This Row],[May Weight (kg)]]/(VLOOKUP(May[[#This Row],[Name]],Overview[],2,FALSE)/100)^2)</f>
        <v/>
      </c>
      <c r="F30" s="58" t="str">
        <f>IF(May[[#This Row],[Name]]="","",IF(VLOOKUP(May[[#This Row],[Name]],Overview[],12,FALSE)="","N/A",May[[#This Row],[May Weight (kg)]]-VLOOKUP(May[[#This Row],[Name]],Overview[],12,FALSE)))</f>
        <v/>
      </c>
      <c r="G30" s="175" t="str">
        <f>IF(May[[#This Row],[Name]]="","",IF(VLOOKUP(May[[#This Row],[Name]],Overview[],12,FALSE)="","N/A",(May[[#This Row],[May Weight (kg)]]-VLOOKUP(May[[#This Row],[Name]],Overview[],12,FALSE))/VLOOKUP(May[[#This Row],[Name]],Overview[],12,FALSE)))</f>
        <v/>
      </c>
      <c r="H30" s="61" t="str" cm="1">
        <f t="array" ref="H30">IF(May[[#This Row],[Name]]="","",IF(SUMPRODUCT((Overview[Name]=May[[#This Row],[Name]])*ISNUMBER(Overview[[November Weight (kg)]:[February Weight (kg)]]))=0,"N/A",MAX(IF((Overview[Name]=May[[#This Row],[Name]])*ISNUMBER(Overview[[November Weight (kg)]:[February Weight (kg)]]),Overview[[November Weight (kg)]:[February Weight (kg)]]))))</f>
        <v/>
      </c>
      <c r="I30" s="57" t="str">
        <f>IF(May[[#This Row],[Name]]="","",IF(NOT(ISNUMBER(May[[#This Row],[Highest Weight in the Past 3 - 6 Months]])),"N/A",IF(May[[#This Row],[May Weight (kg)]]=May[[#This Row],[Highest Weight in the Past 3 - 6 Months]],0,May[[#This Row],[May Weight (kg)]]-May[[#This Row],[Highest Weight in the Past 3 - 6 Months]])))</f>
        <v/>
      </c>
      <c r="J30"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0" s="130"/>
      <c r="L30" s="131"/>
      <c r="M30"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0" s="64" t="str">
        <f>IF(May[[#This Row],[Name]]="","",IF(May[[#This Row],[May MUST Score ]]=0,"Low",IF(May[[#This Row],[May MUST Score ]]=1,"Medium","High")))</f>
        <v/>
      </c>
      <c r="O30" s="10"/>
      <c r="P30" s="70"/>
      <c r="Q30" s="12"/>
      <c r="R30" s="17"/>
      <c r="S30" s="10"/>
      <c r="T30" s="17"/>
      <c r="U30" s="70"/>
      <c r="V30" s="11"/>
      <c r="W30" s="94"/>
      <c r="X30" s="12"/>
      <c r="Y30" s="11"/>
    </row>
    <row r="31" spans="2:25" x14ac:dyDescent="0.25">
      <c r="B31" s="12"/>
      <c r="C31" s="129"/>
      <c r="D31" s="94"/>
      <c r="E31" s="58" t="str">
        <f>IF(May[[#This Row],[Name]]="","",May[[#This Row],[May Weight (kg)]]/(VLOOKUP(May[[#This Row],[Name]],Overview[],2,FALSE)/100)^2)</f>
        <v/>
      </c>
      <c r="F31" s="58" t="str">
        <f>IF(May[[#This Row],[Name]]="","",IF(VLOOKUP(May[[#This Row],[Name]],Overview[],12,FALSE)="","N/A",May[[#This Row],[May Weight (kg)]]-VLOOKUP(May[[#This Row],[Name]],Overview[],12,FALSE)))</f>
        <v/>
      </c>
      <c r="G31" s="175" t="str">
        <f>IF(May[[#This Row],[Name]]="","",IF(VLOOKUP(May[[#This Row],[Name]],Overview[],12,FALSE)="","N/A",(May[[#This Row],[May Weight (kg)]]-VLOOKUP(May[[#This Row],[Name]],Overview[],12,FALSE))/VLOOKUP(May[[#This Row],[Name]],Overview[],12,FALSE)))</f>
        <v/>
      </c>
      <c r="H31" s="61" t="str" cm="1">
        <f t="array" ref="H31">IF(May[[#This Row],[Name]]="","",IF(SUMPRODUCT((Overview[Name]=May[[#This Row],[Name]])*ISNUMBER(Overview[[November Weight (kg)]:[February Weight (kg)]]))=0,"N/A",MAX(IF((Overview[Name]=May[[#This Row],[Name]])*ISNUMBER(Overview[[November Weight (kg)]:[February Weight (kg)]]),Overview[[November Weight (kg)]:[February Weight (kg)]]))))</f>
        <v/>
      </c>
      <c r="I31" s="57" t="str">
        <f>IF(May[[#This Row],[Name]]="","",IF(NOT(ISNUMBER(May[[#This Row],[Highest Weight in the Past 3 - 6 Months]])),"N/A",IF(May[[#This Row],[May Weight (kg)]]=May[[#This Row],[Highest Weight in the Past 3 - 6 Months]],0,May[[#This Row],[May Weight (kg)]]-May[[#This Row],[Highest Weight in the Past 3 - 6 Months]])))</f>
        <v/>
      </c>
      <c r="J31"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1" s="130"/>
      <c r="L31" s="131"/>
      <c r="M31"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1" s="64" t="str">
        <f>IF(May[[#This Row],[Name]]="","",IF(May[[#This Row],[May MUST Score ]]=0,"Low",IF(May[[#This Row],[May MUST Score ]]=1,"Medium","High")))</f>
        <v/>
      </c>
      <c r="O31" s="10"/>
      <c r="P31" s="70"/>
      <c r="Q31" s="12"/>
      <c r="R31" s="17"/>
      <c r="S31" s="10"/>
      <c r="T31" s="17"/>
      <c r="U31" s="70"/>
      <c r="V31" s="11"/>
      <c r="W31" s="94"/>
      <c r="X31" s="12"/>
      <c r="Y31" s="11"/>
    </row>
    <row r="32" spans="2:25" x14ac:dyDescent="0.25">
      <c r="B32" s="12"/>
      <c r="C32" s="129"/>
      <c r="D32" s="94"/>
      <c r="E32" s="58" t="str">
        <f>IF(May[[#This Row],[Name]]="","",May[[#This Row],[May Weight (kg)]]/(VLOOKUP(May[[#This Row],[Name]],Overview[],2,FALSE)/100)^2)</f>
        <v/>
      </c>
      <c r="F32" s="58" t="str">
        <f>IF(May[[#This Row],[Name]]="","",IF(VLOOKUP(May[[#This Row],[Name]],Overview[],12,FALSE)="","N/A",May[[#This Row],[May Weight (kg)]]-VLOOKUP(May[[#This Row],[Name]],Overview[],12,FALSE)))</f>
        <v/>
      </c>
      <c r="G32" s="175" t="str">
        <f>IF(May[[#This Row],[Name]]="","",IF(VLOOKUP(May[[#This Row],[Name]],Overview[],12,FALSE)="","N/A",(May[[#This Row],[May Weight (kg)]]-VLOOKUP(May[[#This Row],[Name]],Overview[],12,FALSE))/VLOOKUP(May[[#This Row],[Name]],Overview[],12,FALSE)))</f>
        <v/>
      </c>
      <c r="H32" s="61" t="str" cm="1">
        <f t="array" ref="H32">IF(May[[#This Row],[Name]]="","",IF(SUMPRODUCT((Overview[Name]=May[[#This Row],[Name]])*ISNUMBER(Overview[[November Weight (kg)]:[February Weight (kg)]]))=0,"N/A",MAX(IF((Overview[Name]=May[[#This Row],[Name]])*ISNUMBER(Overview[[November Weight (kg)]:[February Weight (kg)]]),Overview[[November Weight (kg)]:[February Weight (kg)]]))))</f>
        <v/>
      </c>
      <c r="I32" s="57" t="str">
        <f>IF(May[[#This Row],[Name]]="","",IF(NOT(ISNUMBER(May[[#This Row],[Highest Weight in the Past 3 - 6 Months]])),"N/A",IF(May[[#This Row],[May Weight (kg)]]=May[[#This Row],[Highest Weight in the Past 3 - 6 Months]],0,May[[#This Row],[May Weight (kg)]]-May[[#This Row],[Highest Weight in the Past 3 - 6 Months]])))</f>
        <v/>
      </c>
      <c r="J32"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2" s="130"/>
      <c r="L32" s="131"/>
      <c r="M32"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2" s="64" t="str">
        <f>IF(May[[#This Row],[Name]]="","",IF(May[[#This Row],[May MUST Score ]]=0,"Low",IF(May[[#This Row],[May MUST Score ]]=1,"Medium","High")))</f>
        <v/>
      </c>
      <c r="O32" s="10"/>
      <c r="P32" s="70"/>
      <c r="Q32" s="12"/>
      <c r="R32" s="17"/>
      <c r="S32" s="10"/>
      <c r="T32" s="17"/>
      <c r="U32" s="70"/>
      <c r="V32" s="11"/>
      <c r="W32" s="94"/>
      <c r="X32" s="12"/>
      <c r="Y32" s="11"/>
    </row>
    <row r="33" spans="2:25" x14ac:dyDescent="0.25">
      <c r="B33" s="12"/>
      <c r="C33" s="129"/>
      <c r="D33" s="94"/>
      <c r="E33" s="58" t="str">
        <f>IF(May[[#This Row],[Name]]="","",May[[#This Row],[May Weight (kg)]]/(VLOOKUP(May[[#This Row],[Name]],Overview[],2,FALSE)/100)^2)</f>
        <v/>
      </c>
      <c r="F33" s="58" t="str">
        <f>IF(May[[#This Row],[Name]]="","",IF(VLOOKUP(May[[#This Row],[Name]],Overview[],12,FALSE)="","N/A",May[[#This Row],[May Weight (kg)]]-VLOOKUP(May[[#This Row],[Name]],Overview[],12,FALSE)))</f>
        <v/>
      </c>
      <c r="G33" s="175" t="str">
        <f>IF(May[[#This Row],[Name]]="","",IF(VLOOKUP(May[[#This Row],[Name]],Overview[],12,FALSE)="","N/A",(May[[#This Row],[May Weight (kg)]]-VLOOKUP(May[[#This Row],[Name]],Overview[],12,FALSE))/VLOOKUP(May[[#This Row],[Name]],Overview[],12,FALSE)))</f>
        <v/>
      </c>
      <c r="H33" s="61" t="str" cm="1">
        <f t="array" ref="H33">IF(May[[#This Row],[Name]]="","",IF(SUMPRODUCT((Overview[Name]=May[[#This Row],[Name]])*ISNUMBER(Overview[[November Weight (kg)]:[February Weight (kg)]]))=0,"N/A",MAX(IF((Overview[Name]=May[[#This Row],[Name]])*ISNUMBER(Overview[[November Weight (kg)]:[February Weight (kg)]]),Overview[[November Weight (kg)]:[February Weight (kg)]]))))</f>
        <v/>
      </c>
      <c r="I33" s="57" t="str">
        <f>IF(May[[#This Row],[Name]]="","",IF(NOT(ISNUMBER(May[[#This Row],[Highest Weight in the Past 3 - 6 Months]])),"N/A",IF(May[[#This Row],[May Weight (kg)]]=May[[#This Row],[Highest Weight in the Past 3 - 6 Months]],0,May[[#This Row],[May Weight (kg)]]-May[[#This Row],[Highest Weight in the Past 3 - 6 Months]])))</f>
        <v/>
      </c>
      <c r="J33"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3" s="130"/>
      <c r="L33" s="131"/>
      <c r="M33"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3" s="64" t="str">
        <f>IF(May[[#This Row],[Name]]="","",IF(May[[#This Row],[May MUST Score ]]=0,"Low",IF(May[[#This Row],[May MUST Score ]]=1,"Medium","High")))</f>
        <v/>
      </c>
      <c r="O33" s="10"/>
      <c r="P33" s="70"/>
      <c r="Q33" s="12"/>
      <c r="R33" s="17"/>
      <c r="S33" s="10"/>
      <c r="T33" s="17"/>
      <c r="U33" s="70"/>
      <c r="V33" s="11"/>
      <c r="W33" s="94"/>
      <c r="X33" s="12"/>
      <c r="Y33" s="11"/>
    </row>
    <row r="34" spans="2:25" x14ac:dyDescent="0.25">
      <c r="B34" s="12"/>
      <c r="C34" s="129"/>
      <c r="D34" s="94"/>
      <c r="E34" s="58" t="str">
        <f>IF(May[[#This Row],[Name]]="","",May[[#This Row],[May Weight (kg)]]/(VLOOKUP(May[[#This Row],[Name]],Overview[],2,FALSE)/100)^2)</f>
        <v/>
      </c>
      <c r="F34" s="58" t="str">
        <f>IF(May[[#This Row],[Name]]="","",IF(VLOOKUP(May[[#This Row],[Name]],Overview[],12,FALSE)="","N/A",May[[#This Row],[May Weight (kg)]]-VLOOKUP(May[[#This Row],[Name]],Overview[],12,FALSE)))</f>
        <v/>
      </c>
      <c r="G34" s="175" t="str">
        <f>IF(May[[#This Row],[Name]]="","",IF(VLOOKUP(May[[#This Row],[Name]],Overview[],12,FALSE)="","N/A",(May[[#This Row],[May Weight (kg)]]-VLOOKUP(May[[#This Row],[Name]],Overview[],12,FALSE))/VLOOKUP(May[[#This Row],[Name]],Overview[],12,FALSE)))</f>
        <v/>
      </c>
      <c r="H34" s="61" t="str" cm="1">
        <f t="array" ref="H34">IF(May[[#This Row],[Name]]="","",IF(SUMPRODUCT((Overview[Name]=May[[#This Row],[Name]])*ISNUMBER(Overview[[November Weight (kg)]:[February Weight (kg)]]))=0,"N/A",MAX(IF((Overview[Name]=May[[#This Row],[Name]])*ISNUMBER(Overview[[November Weight (kg)]:[February Weight (kg)]]),Overview[[November Weight (kg)]:[February Weight (kg)]]))))</f>
        <v/>
      </c>
      <c r="I34" s="57" t="str">
        <f>IF(May[[#This Row],[Name]]="","",IF(NOT(ISNUMBER(May[[#This Row],[Highest Weight in the Past 3 - 6 Months]])),"N/A",IF(May[[#This Row],[May Weight (kg)]]=May[[#This Row],[Highest Weight in the Past 3 - 6 Months]],0,May[[#This Row],[May Weight (kg)]]-May[[#This Row],[Highest Weight in the Past 3 - 6 Months]])))</f>
        <v/>
      </c>
      <c r="J34"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4" s="130"/>
      <c r="L34" s="131"/>
      <c r="M34"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4" s="64" t="str">
        <f>IF(May[[#This Row],[Name]]="","",IF(May[[#This Row],[May MUST Score ]]=0,"Low",IF(May[[#This Row],[May MUST Score ]]=1,"Medium","High")))</f>
        <v/>
      </c>
      <c r="O34" s="10"/>
      <c r="P34" s="70"/>
      <c r="Q34" s="12"/>
      <c r="R34" s="17"/>
      <c r="S34" s="10"/>
      <c r="T34" s="17"/>
      <c r="U34" s="70"/>
      <c r="V34" s="11"/>
      <c r="W34" s="94"/>
      <c r="X34" s="12"/>
      <c r="Y34" s="11"/>
    </row>
    <row r="35" spans="2:25" x14ac:dyDescent="0.25">
      <c r="B35" s="12"/>
      <c r="C35" s="129"/>
      <c r="D35" s="94"/>
      <c r="E35" s="58" t="str">
        <f>IF(May[[#This Row],[Name]]="","",May[[#This Row],[May Weight (kg)]]/(VLOOKUP(May[[#This Row],[Name]],Overview[],2,FALSE)/100)^2)</f>
        <v/>
      </c>
      <c r="F35" s="58" t="str">
        <f>IF(May[[#This Row],[Name]]="","",IF(VLOOKUP(May[[#This Row],[Name]],Overview[],12,FALSE)="","N/A",May[[#This Row],[May Weight (kg)]]-VLOOKUP(May[[#This Row],[Name]],Overview[],12,FALSE)))</f>
        <v/>
      </c>
      <c r="G35" s="175" t="str">
        <f>IF(May[[#This Row],[Name]]="","",IF(VLOOKUP(May[[#This Row],[Name]],Overview[],12,FALSE)="","N/A",(May[[#This Row],[May Weight (kg)]]-VLOOKUP(May[[#This Row],[Name]],Overview[],12,FALSE))/VLOOKUP(May[[#This Row],[Name]],Overview[],12,FALSE)))</f>
        <v/>
      </c>
      <c r="H35" s="61" t="str" cm="1">
        <f t="array" ref="H35">IF(May[[#This Row],[Name]]="","",IF(SUMPRODUCT((Overview[Name]=May[[#This Row],[Name]])*ISNUMBER(Overview[[November Weight (kg)]:[February Weight (kg)]]))=0,"N/A",MAX(IF((Overview[Name]=May[[#This Row],[Name]])*ISNUMBER(Overview[[November Weight (kg)]:[February Weight (kg)]]),Overview[[November Weight (kg)]:[February Weight (kg)]]))))</f>
        <v/>
      </c>
      <c r="I35" s="57" t="str">
        <f>IF(May[[#This Row],[Name]]="","",IF(NOT(ISNUMBER(May[[#This Row],[Highest Weight in the Past 3 - 6 Months]])),"N/A",IF(May[[#This Row],[May Weight (kg)]]=May[[#This Row],[Highest Weight in the Past 3 - 6 Months]],0,May[[#This Row],[May Weight (kg)]]-May[[#This Row],[Highest Weight in the Past 3 - 6 Months]])))</f>
        <v/>
      </c>
      <c r="J35"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5" s="130"/>
      <c r="L35" s="131"/>
      <c r="M35"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5" s="64" t="str">
        <f>IF(May[[#This Row],[Name]]="","",IF(May[[#This Row],[May MUST Score ]]=0,"Low",IF(May[[#This Row],[May MUST Score ]]=1,"Medium","High")))</f>
        <v/>
      </c>
      <c r="O35" s="10"/>
      <c r="P35" s="70"/>
      <c r="Q35" s="12"/>
      <c r="R35" s="17"/>
      <c r="S35" s="10"/>
      <c r="T35" s="17"/>
      <c r="U35" s="70"/>
      <c r="V35" s="11"/>
      <c r="W35" s="94"/>
      <c r="X35" s="12"/>
      <c r="Y35" s="11"/>
    </row>
    <row r="36" spans="2:25" x14ac:dyDescent="0.25">
      <c r="B36" s="12"/>
      <c r="C36" s="129"/>
      <c r="D36" s="94"/>
      <c r="E36" s="58" t="str">
        <f>IF(May[[#This Row],[Name]]="","",May[[#This Row],[May Weight (kg)]]/(VLOOKUP(May[[#This Row],[Name]],Overview[],2,FALSE)/100)^2)</f>
        <v/>
      </c>
      <c r="F36" s="58" t="str">
        <f>IF(May[[#This Row],[Name]]="","",IF(VLOOKUP(May[[#This Row],[Name]],Overview[],12,FALSE)="","N/A",May[[#This Row],[May Weight (kg)]]-VLOOKUP(May[[#This Row],[Name]],Overview[],12,FALSE)))</f>
        <v/>
      </c>
      <c r="G36" s="175" t="str">
        <f>IF(May[[#This Row],[Name]]="","",IF(VLOOKUP(May[[#This Row],[Name]],Overview[],12,FALSE)="","N/A",(May[[#This Row],[May Weight (kg)]]-VLOOKUP(May[[#This Row],[Name]],Overview[],12,FALSE))/VLOOKUP(May[[#This Row],[Name]],Overview[],12,FALSE)))</f>
        <v/>
      </c>
      <c r="H36" s="61" t="str" cm="1">
        <f t="array" ref="H36">IF(May[[#This Row],[Name]]="","",IF(SUMPRODUCT((Overview[Name]=May[[#This Row],[Name]])*ISNUMBER(Overview[[November Weight (kg)]:[February Weight (kg)]]))=0,"N/A",MAX(IF((Overview[Name]=May[[#This Row],[Name]])*ISNUMBER(Overview[[November Weight (kg)]:[February Weight (kg)]]),Overview[[November Weight (kg)]:[February Weight (kg)]]))))</f>
        <v/>
      </c>
      <c r="I36" s="57" t="str">
        <f>IF(May[[#This Row],[Name]]="","",IF(NOT(ISNUMBER(May[[#This Row],[Highest Weight in the Past 3 - 6 Months]])),"N/A",IF(May[[#This Row],[May Weight (kg)]]=May[[#This Row],[Highest Weight in the Past 3 - 6 Months]],0,May[[#This Row],[May Weight (kg)]]-May[[#This Row],[Highest Weight in the Past 3 - 6 Months]])))</f>
        <v/>
      </c>
      <c r="J36"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6" s="130"/>
      <c r="L36" s="131"/>
      <c r="M36"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6" s="64" t="str">
        <f>IF(May[[#This Row],[Name]]="","",IF(May[[#This Row],[May MUST Score ]]=0,"Low",IF(May[[#This Row],[May MUST Score ]]=1,"Medium","High")))</f>
        <v/>
      </c>
      <c r="O36" s="10"/>
      <c r="P36" s="70"/>
      <c r="Q36" s="12"/>
      <c r="R36" s="17"/>
      <c r="S36" s="10"/>
      <c r="T36" s="17"/>
      <c r="U36" s="70"/>
      <c r="V36" s="11"/>
      <c r="W36" s="94"/>
      <c r="X36" s="12"/>
      <c r="Y36" s="11"/>
    </row>
    <row r="37" spans="2:25" x14ac:dyDescent="0.25">
      <c r="B37" s="12"/>
      <c r="C37" s="129"/>
      <c r="D37" s="94"/>
      <c r="E37" s="58" t="str">
        <f>IF(May[[#This Row],[Name]]="","",May[[#This Row],[May Weight (kg)]]/(VLOOKUP(May[[#This Row],[Name]],Overview[],2,FALSE)/100)^2)</f>
        <v/>
      </c>
      <c r="F37" s="58" t="str">
        <f>IF(May[[#This Row],[Name]]="","",IF(VLOOKUP(May[[#This Row],[Name]],Overview[],12,FALSE)="","N/A",May[[#This Row],[May Weight (kg)]]-VLOOKUP(May[[#This Row],[Name]],Overview[],12,FALSE)))</f>
        <v/>
      </c>
      <c r="G37" s="175" t="str">
        <f>IF(May[[#This Row],[Name]]="","",IF(VLOOKUP(May[[#This Row],[Name]],Overview[],12,FALSE)="","N/A",(May[[#This Row],[May Weight (kg)]]-VLOOKUP(May[[#This Row],[Name]],Overview[],12,FALSE))/VLOOKUP(May[[#This Row],[Name]],Overview[],12,FALSE)))</f>
        <v/>
      </c>
      <c r="H37" s="61" t="str" cm="1">
        <f t="array" ref="H37">IF(May[[#This Row],[Name]]="","",IF(SUMPRODUCT((Overview[Name]=May[[#This Row],[Name]])*ISNUMBER(Overview[[November Weight (kg)]:[February Weight (kg)]]))=0,"N/A",MAX(IF((Overview[Name]=May[[#This Row],[Name]])*ISNUMBER(Overview[[November Weight (kg)]:[February Weight (kg)]]),Overview[[November Weight (kg)]:[February Weight (kg)]]))))</f>
        <v/>
      </c>
      <c r="I37" s="57" t="str">
        <f>IF(May[[#This Row],[Name]]="","",IF(NOT(ISNUMBER(May[[#This Row],[Highest Weight in the Past 3 - 6 Months]])),"N/A",IF(May[[#This Row],[May Weight (kg)]]=May[[#This Row],[Highest Weight in the Past 3 - 6 Months]],0,May[[#This Row],[May Weight (kg)]]-May[[#This Row],[Highest Weight in the Past 3 - 6 Months]])))</f>
        <v/>
      </c>
      <c r="J37"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7" s="130"/>
      <c r="L37" s="131"/>
      <c r="M37"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7" s="64" t="str">
        <f>IF(May[[#This Row],[Name]]="","",IF(May[[#This Row],[May MUST Score ]]=0,"Low",IF(May[[#This Row],[May MUST Score ]]=1,"Medium","High")))</f>
        <v/>
      </c>
      <c r="O37" s="10"/>
      <c r="P37" s="70"/>
      <c r="Q37" s="12"/>
      <c r="R37" s="17"/>
      <c r="S37" s="10"/>
      <c r="T37" s="17"/>
      <c r="U37" s="70"/>
      <c r="V37" s="11"/>
      <c r="W37" s="94"/>
      <c r="X37" s="12"/>
      <c r="Y37" s="11"/>
    </row>
    <row r="38" spans="2:25" x14ac:dyDescent="0.25">
      <c r="B38" s="12"/>
      <c r="C38" s="129"/>
      <c r="D38" s="94"/>
      <c r="E38" s="58" t="str">
        <f>IF(May[[#This Row],[Name]]="","",May[[#This Row],[May Weight (kg)]]/(VLOOKUP(May[[#This Row],[Name]],Overview[],2,FALSE)/100)^2)</f>
        <v/>
      </c>
      <c r="F38" s="58" t="str">
        <f>IF(May[[#This Row],[Name]]="","",IF(VLOOKUP(May[[#This Row],[Name]],Overview[],12,FALSE)="","N/A",May[[#This Row],[May Weight (kg)]]-VLOOKUP(May[[#This Row],[Name]],Overview[],12,FALSE)))</f>
        <v/>
      </c>
      <c r="G38" s="175" t="str">
        <f>IF(May[[#This Row],[Name]]="","",IF(VLOOKUP(May[[#This Row],[Name]],Overview[],12,FALSE)="","N/A",(May[[#This Row],[May Weight (kg)]]-VLOOKUP(May[[#This Row],[Name]],Overview[],12,FALSE))/VLOOKUP(May[[#This Row],[Name]],Overview[],12,FALSE)))</f>
        <v/>
      </c>
      <c r="H38" s="61" t="str" cm="1">
        <f t="array" ref="H38">IF(May[[#This Row],[Name]]="","",IF(SUMPRODUCT((Overview[Name]=May[[#This Row],[Name]])*ISNUMBER(Overview[[November Weight (kg)]:[February Weight (kg)]]))=0,"N/A",MAX(IF((Overview[Name]=May[[#This Row],[Name]])*ISNUMBER(Overview[[November Weight (kg)]:[February Weight (kg)]]),Overview[[November Weight (kg)]:[February Weight (kg)]]))))</f>
        <v/>
      </c>
      <c r="I38" s="57" t="str">
        <f>IF(May[[#This Row],[Name]]="","",IF(NOT(ISNUMBER(May[[#This Row],[Highest Weight in the Past 3 - 6 Months]])),"N/A",IF(May[[#This Row],[May Weight (kg)]]=May[[#This Row],[Highest Weight in the Past 3 - 6 Months]],0,May[[#This Row],[May Weight (kg)]]-May[[#This Row],[Highest Weight in the Past 3 - 6 Months]])))</f>
        <v/>
      </c>
      <c r="J38"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8" s="130"/>
      <c r="L38" s="131"/>
      <c r="M38"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8" s="64" t="str">
        <f>IF(May[[#This Row],[Name]]="","",IF(May[[#This Row],[May MUST Score ]]=0,"Low",IF(May[[#This Row],[May MUST Score ]]=1,"Medium","High")))</f>
        <v/>
      </c>
      <c r="O38" s="10"/>
      <c r="P38" s="70"/>
      <c r="Q38" s="12"/>
      <c r="R38" s="17"/>
      <c r="S38" s="10"/>
      <c r="T38" s="17"/>
      <c r="U38" s="70"/>
      <c r="V38" s="11"/>
      <c r="W38" s="94"/>
      <c r="X38" s="12"/>
      <c r="Y38" s="11"/>
    </row>
    <row r="39" spans="2:25" x14ac:dyDescent="0.25">
      <c r="B39" s="12"/>
      <c r="C39" s="129"/>
      <c r="D39" s="94"/>
      <c r="E39" s="58" t="str">
        <f>IF(May[[#This Row],[Name]]="","",May[[#This Row],[May Weight (kg)]]/(VLOOKUP(May[[#This Row],[Name]],Overview[],2,FALSE)/100)^2)</f>
        <v/>
      </c>
      <c r="F39" s="58" t="str">
        <f>IF(May[[#This Row],[Name]]="","",IF(VLOOKUP(May[[#This Row],[Name]],Overview[],12,FALSE)="","N/A",May[[#This Row],[May Weight (kg)]]-VLOOKUP(May[[#This Row],[Name]],Overview[],12,FALSE)))</f>
        <v/>
      </c>
      <c r="G39" s="175" t="str">
        <f>IF(May[[#This Row],[Name]]="","",IF(VLOOKUP(May[[#This Row],[Name]],Overview[],12,FALSE)="","N/A",(May[[#This Row],[May Weight (kg)]]-VLOOKUP(May[[#This Row],[Name]],Overview[],12,FALSE))/VLOOKUP(May[[#This Row],[Name]],Overview[],12,FALSE)))</f>
        <v/>
      </c>
      <c r="H39" s="61" t="str" cm="1">
        <f t="array" ref="H39">IF(May[[#This Row],[Name]]="","",IF(SUMPRODUCT((Overview[Name]=May[[#This Row],[Name]])*ISNUMBER(Overview[[November Weight (kg)]:[February Weight (kg)]]))=0,"N/A",MAX(IF((Overview[Name]=May[[#This Row],[Name]])*ISNUMBER(Overview[[November Weight (kg)]:[February Weight (kg)]]),Overview[[November Weight (kg)]:[February Weight (kg)]]))))</f>
        <v/>
      </c>
      <c r="I39" s="57" t="str">
        <f>IF(May[[#This Row],[Name]]="","",IF(NOT(ISNUMBER(May[[#This Row],[Highest Weight in the Past 3 - 6 Months]])),"N/A",IF(May[[#This Row],[May Weight (kg)]]=May[[#This Row],[Highest Weight in the Past 3 - 6 Months]],0,May[[#This Row],[May Weight (kg)]]-May[[#This Row],[Highest Weight in the Past 3 - 6 Months]])))</f>
        <v/>
      </c>
      <c r="J39"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39" s="130"/>
      <c r="L39" s="131"/>
      <c r="M39"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39" s="64" t="str">
        <f>IF(May[[#This Row],[Name]]="","",IF(May[[#This Row],[May MUST Score ]]=0,"Low",IF(May[[#This Row],[May MUST Score ]]=1,"Medium","High")))</f>
        <v/>
      </c>
      <c r="O39" s="10"/>
      <c r="P39" s="70"/>
      <c r="Q39" s="12"/>
      <c r="R39" s="17"/>
      <c r="S39" s="10"/>
      <c r="T39" s="17"/>
      <c r="U39" s="70"/>
      <c r="V39" s="11"/>
      <c r="W39" s="94"/>
      <c r="X39" s="12"/>
      <c r="Y39" s="11"/>
    </row>
    <row r="40" spans="2:25" x14ac:dyDescent="0.25">
      <c r="B40" s="12"/>
      <c r="C40" s="129"/>
      <c r="D40" s="94"/>
      <c r="E40" s="58" t="str">
        <f>IF(May[[#This Row],[Name]]="","",May[[#This Row],[May Weight (kg)]]/(VLOOKUP(May[[#This Row],[Name]],Overview[],2,FALSE)/100)^2)</f>
        <v/>
      </c>
      <c r="F40" s="58" t="str">
        <f>IF(May[[#This Row],[Name]]="","",IF(VLOOKUP(May[[#This Row],[Name]],Overview[],12,FALSE)="","N/A",May[[#This Row],[May Weight (kg)]]-VLOOKUP(May[[#This Row],[Name]],Overview[],12,FALSE)))</f>
        <v/>
      </c>
      <c r="G40" s="175" t="str">
        <f>IF(May[[#This Row],[Name]]="","",IF(VLOOKUP(May[[#This Row],[Name]],Overview[],12,FALSE)="","N/A",(May[[#This Row],[May Weight (kg)]]-VLOOKUP(May[[#This Row],[Name]],Overview[],12,FALSE))/VLOOKUP(May[[#This Row],[Name]],Overview[],12,FALSE)))</f>
        <v/>
      </c>
      <c r="H40" s="61" t="str" cm="1">
        <f t="array" ref="H40">IF(May[[#This Row],[Name]]="","",IF(SUMPRODUCT((Overview[Name]=May[[#This Row],[Name]])*ISNUMBER(Overview[[November Weight (kg)]:[February Weight (kg)]]))=0,"N/A",MAX(IF((Overview[Name]=May[[#This Row],[Name]])*ISNUMBER(Overview[[November Weight (kg)]:[February Weight (kg)]]),Overview[[November Weight (kg)]:[February Weight (kg)]]))))</f>
        <v/>
      </c>
      <c r="I40" s="57" t="str">
        <f>IF(May[[#This Row],[Name]]="","",IF(NOT(ISNUMBER(May[[#This Row],[Highest Weight in the Past 3 - 6 Months]])),"N/A",IF(May[[#This Row],[May Weight (kg)]]=May[[#This Row],[Highest Weight in the Past 3 - 6 Months]],0,May[[#This Row],[May Weight (kg)]]-May[[#This Row],[Highest Weight in the Past 3 - 6 Months]])))</f>
        <v/>
      </c>
      <c r="J40"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40" s="130"/>
      <c r="L40" s="131"/>
      <c r="M40"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40" s="64" t="str">
        <f>IF(May[[#This Row],[Name]]="","",IF(May[[#This Row],[May MUST Score ]]=0,"Low",IF(May[[#This Row],[May MUST Score ]]=1,"Medium","High")))</f>
        <v/>
      </c>
      <c r="O40" s="10"/>
      <c r="P40" s="70"/>
      <c r="Q40" s="12"/>
      <c r="R40" s="17"/>
      <c r="S40" s="10"/>
      <c r="T40" s="17"/>
      <c r="U40" s="70"/>
      <c r="V40" s="11"/>
      <c r="W40" s="94"/>
      <c r="X40" s="12"/>
      <c r="Y40" s="11"/>
    </row>
    <row r="41" spans="2:25" x14ac:dyDescent="0.25">
      <c r="B41" s="12"/>
      <c r="C41" s="129"/>
      <c r="D41" s="94"/>
      <c r="E41" s="58" t="str">
        <f>IF(May[[#This Row],[Name]]="","",May[[#This Row],[May Weight (kg)]]/(VLOOKUP(May[[#This Row],[Name]],Overview[],2,FALSE)/100)^2)</f>
        <v/>
      </c>
      <c r="F41" s="58" t="str">
        <f>IF(May[[#This Row],[Name]]="","",IF(VLOOKUP(May[[#This Row],[Name]],Overview[],12,FALSE)="","N/A",May[[#This Row],[May Weight (kg)]]-VLOOKUP(May[[#This Row],[Name]],Overview[],12,FALSE)))</f>
        <v/>
      </c>
      <c r="G41" s="175" t="str">
        <f>IF(May[[#This Row],[Name]]="","",IF(VLOOKUP(May[[#This Row],[Name]],Overview[],12,FALSE)="","N/A",(May[[#This Row],[May Weight (kg)]]-VLOOKUP(May[[#This Row],[Name]],Overview[],12,FALSE))/VLOOKUP(May[[#This Row],[Name]],Overview[],12,FALSE)))</f>
        <v/>
      </c>
      <c r="H41" s="61" t="str" cm="1">
        <f t="array" ref="H41">IF(May[[#This Row],[Name]]="","",IF(SUMPRODUCT((Overview[Name]=May[[#This Row],[Name]])*ISNUMBER(Overview[[November Weight (kg)]:[February Weight (kg)]]))=0,"N/A",MAX(IF((Overview[Name]=May[[#This Row],[Name]])*ISNUMBER(Overview[[November Weight (kg)]:[February Weight (kg)]]),Overview[[November Weight (kg)]:[February Weight (kg)]]))))</f>
        <v/>
      </c>
      <c r="I41" s="57" t="str">
        <f>IF(May[[#This Row],[Name]]="","",IF(NOT(ISNUMBER(May[[#This Row],[Highest Weight in the Past 3 - 6 Months]])),"N/A",IF(May[[#This Row],[May Weight (kg)]]=May[[#This Row],[Highest Weight in the Past 3 - 6 Months]],0,May[[#This Row],[May Weight (kg)]]-May[[#This Row],[Highest Weight in the Past 3 - 6 Months]])))</f>
        <v/>
      </c>
      <c r="J41"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41" s="130"/>
      <c r="L41" s="131"/>
      <c r="M41" s="76"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41" s="64" t="str">
        <f>IF(May[[#This Row],[Name]]="","",IF(May[[#This Row],[May MUST Score ]]=0,"Low",IF(May[[#This Row],[May MUST Score ]]=1,"Medium","High")))</f>
        <v/>
      </c>
      <c r="O41" s="10"/>
      <c r="P41" s="70"/>
      <c r="Q41" s="12"/>
      <c r="R41" s="17"/>
      <c r="S41" s="10"/>
      <c r="T41" s="17"/>
      <c r="U41" s="70"/>
      <c r="V41" s="11"/>
      <c r="W41" s="94"/>
      <c r="X41" s="12"/>
      <c r="Y41" s="11"/>
    </row>
    <row r="42" spans="2:25" ht="15.75" thickBot="1" x14ac:dyDescent="0.3">
      <c r="B42" s="18"/>
      <c r="C42" s="132"/>
      <c r="D42" s="95"/>
      <c r="E42" s="60" t="str">
        <f>IF(May[[#This Row],[Name]]="","",May[[#This Row],[May Weight (kg)]]/(VLOOKUP(May[[#This Row],[Name]],Overview[],2,FALSE)/100)^2)</f>
        <v/>
      </c>
      <c r="F42" s="60" t="str">
        <f>IF(May[[#This Row],[Name]]="","",IF(VLOOKUP(May[[#This Row],[Name]],Overview[],12,FALSE)="","N/A",May[[#This Row],[May Weight (kg)]]-VLOOKUP(May[[#This Row],[Name]],Overview[],12,FALSE)))</f>
        <v/>
      </c>
      <c r="G42" s="176" t="str">
        <f>IF(May[[#This Row],[Name]]="","",IF(VLOOKUP(May[[#This Row],[Name]],Overview[],12,FALSE)="","N/A",(May[[#This Row],[May Weight (kg)]]-VLOOKUP(May[[#This Row],[Name]],Overview[],12,FALSE))/VLOOKUP(May[[#This Row],[Name]],Overview[],12,FALSE)))</f>
        <v/>
      </c>
      <c r="H42" s="61" t="str" cm="1">
        <f t="array" ref="H42">IF(May[[#This Row],[Name]]="","",IF(SUMPRODUCT((Overview[Name]=May[[#This Row],[Name]])*ISNUMBER(Overview[[November Weight (kg)]:[February Weight (kg)]]))=0,"N/A",MAX(IF((Overview[Name]=May[[#This Row],[Name]])*ISNUMBER(Overview[[November Weight (kg)]:[February Weight (kg)]]),Overview[[November Weight (kg)]:[February Weight (kg)]]))))</f>
        <v/>
      </c>
      <c r="I42" s="57" t="str">
        <f>IF(May[[#This Row],[Name]]="","",IF(NOT(ISNUMBER(May[[#This Row],[Highest Weight in the Past 3 - 6 Months]])),"N/A",IF(May[[#This Row],[May Weight (kg)]]=May[[#This Row],[Highest Weight in the Past 3 - 6 Months]],0,May[[#This Row],[May Weight (kg)]]-May[[#This Row],[Highest Weight in the Past 3 - 6 Months]])))</f>
        <v/>
      </c>
      <c r="J42" s="179" t="str">
        <f>IF(May[[#This Row],[Name]]="","",IF(OR(May[[#This Row],[Highest Weight in the Past 3 - 6 Months]]="",May[[#This Row],[Highest Weight in the Past 3 - 6 Months]]="N/A"),"N/A",IFERROR(May[[#This Row],[Weight (kg) Difference from Highest Weight in Past 3 - 6 Months (Current Month - Highest Month)]]/May[[#This Row],[Highest Weight in the Past 3 - 6 Months]],"N/A")))</f>
        <v/>
      </c>
      <c r="K42" s="133"/>
      <c r="L42" s="134"/>
      <c r="M42" s="77" t="str">
        <f>IF(May[[#This Row],[Name]]="","",IFERROR(IF(May[[#This Row],[May BMI (kg/m2)]]&gt;20,0,IF(May[[#This Row],[May BMI (kg/m2)]]&gt;=18.5,1,2))+IF(May[[#This Row],[If Weight has been lost, is this Planned? (Yes/No)]]="Yes",0,IF(May[[#This Row],[Weight (kg) Difference from Highest Weight in 3 - 6 months as %]]&gt;-0.05,0,IF(May[[#This Row],[Weight (kg) Difference from Highest Weight in 3 - 6 months as %]]&gt;=-0.1,1,2))),""))</f>
        <v/>
      </c>
      <c r="N42" s="64" t="str">
        <f>IF(May[[#This Row],[Name]]="","",IF(May[[#This Row],[May MUST Score ]]=0,"Low",IF(May[[#This Row],[May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62" priority="6" operator="greaterThanOrEqual">
      <formula>2</formula>
    </cfRule>
    <cfRule type="cellIs" dxfId="61" priority="7" operator="equal">
      <formula>1</formula>
    </cfRule>
    <cfRule type="cellIs" dxfId="60" priority="8" operator="equal">
      <formula>0</formula>
    </cfRule>
  </conditionalFormatting>
  <conditionalFormatting sqref="N8:N42">
    <cfRule type="containsText" dxfId="59" priority="2" operator="containsText" text="High">
      <formula>NOT(ISERROR(SEARCH("High",N8)))</formula>
    </cfRule>
    <cfRule type="containsText" dxfId="58" priority="3" operator="containsText" text="Medium">
      <formula>NOT(ISERROR(SEARCH("Medium",N8)))</formula>
    </cfRule>
    <cfRule type="containsText" dxfId="57" priority="4" operator="containsText" text="Low">
      <formula>NOT(ISERROR(SEARCH("Low",N8)))</formula>
    </cfRule>
  </conditionalFormatting>
  <conditionalFormatting sqref="W8:X42">
    <cfRule type="containsText" dxfId="56"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3DADC75C-6816-4983-9C70-4EBD0E180BEA}">
          <x14:formula1>
            <xm:f>Validation!$A$33:$A$37</xm:f>
          </x14:formula1>
          <xm:sqref>V8:V42</xm:sqref>
        </x14:dataValidation>
        <x14:dataValidation type="list" allowBlank="1" showInputMessage="1" showErrorMessage="1" xr:uid="{1E66C1D9-971A-421F-A481-8BE69B8F2694}">
          <x14:formula1>
            <xm:f>Validation!$A$27:$A$31</xm:f>
          </x14:formula1>
          <xm:sqref>U8:U42</xm:sqref>
        </x14:dataValidation>
        <x14:dataValidation type="list" allowBlank="1" showInputMessage="1" showErrorMessage="1" xr:uid="{131CB2A9-6EB6-4144-B808-913ED4B850F9}">
          <x14:formula1>
            <xm:f>'Weight Overview'!$B$4:$B$38</xm:f>
          </x14:formula1>
          <xm:sqref>B8:B42</xm:sqref>
        </x14:dataValidation>
        <x14:dataValidation type="list" allowBlank="1" showInputMessage="1" showErrorMessage="1" xr:uid="{9CBA302F-4ADE-4A13-89F1-328F2488AC12}">
          <x14:formula1>
            <xm:f>Validation!$A$2:$A$3</xm:f>
          </x14:formula1>
          <xm:sqref>O8:O42 K8:L42 W8:W42 Q8:Q42 S8:S42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B7310-2771-4242-8F2D-0A37B45B2B2C}">
  <sheetPr>
    <tabColor rgb="FFFF66CC"/>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00" t="s">
        <v>1</v>
      </c>
      <c r="C4" s="90" t="s">
        <v>11</v>
      </c>
      <c r="D4" s="99" t="s">
        <v>2</v>
      </c>
      <c r="E4" s="88" t="s">
        <v>3</v>
      </c>
      <c r="Y4" s="62"/>
      <c r="Z4" s="2"/>
    </row>
    <row r="5" spans="2:26" ht="15.75" thickBot="1" x14ac:dyDescent="0.3">
      <c r="B5" s="74"/>
      <c r="C5" s="73"/>
      <c r="D5" s="73"/>
      <c r="E5" s="65"/>
      <c r="P5" s="81"/>
      <c r="W5" s="74"/>
      <c r="X5" s="62"/>
      <c r="Y5" s="62"/>
      <c r="Z5" s="2"/>
    </row>
    <row r="6" spans="2:26" ht="15.75" thickBot="1" x14ac:dyDescent="0.3">
      <c r="C6" s="322" t="s">
        <v>85</v>
      </c>
      <c r="D6" s="323"/>
      <c r="E6" s="323"/>
      <c r="F6" s="323"/>
      <c r="G6" s="324"/>
      <c r="H6" s="304" t="s">
        <v>68</v>
      </c>
      <c r="I6" s="305"/>
      <c r="J6" s="305"/>
      <c r="K6" s="306"/>
      <c r="L6" s="322" t="s">
        <v>69</v>
      </c>
      <c r="M6" s="323"/>
      <c r="N6" s="324"/>
      <c r="O6" s="304" t="s">
        <v>83</v>
      </c>
      <c r="P6" s="305"/>
      <c r="Q6" s="305"/>
      <c r="R6" s="305"/>
      <c r="S6" s="322" t="s">
        <v>84</v>
      </c>
      <c r="T6" s="323"/>
      <c r="U6" s="323"/>
      <c r="V6" s="324"/>
      <c r="Y6" s="63"/>
    </row>
    <row r="7" spans="2:26" ht="105.75" thickBot="1" x14ac:dyDescent="0.3">
      <c r="B7" s="97" t="s">
        <v>0</v>
      </c>
      <c r="C7" s="53" t="s">
        <v>121</v>
      </c>
      <c r="D7" s="56" t="s">
        <v>122</v>
      </c>
      <c r="E7" s="54" t="s">
        <v>191</v>
      </c>
      <c r="F7" s="54" t="s">
        <v>137</v>
      </c>
      <c r="G7" s="55" t="s">
        <v>138</v>
      </c>
      <c r="H7" s="71" t="s">
        <v>72</v>
      </c>
      <c r="I7" s="72" t="s">
        <v>70</v>
      </c>
      <c r="J7" s="67" t="s">
        <v>71</v>
      </c>
      <c r="K7" s="80" t="s">
        <v>64</v>
      </c>
      <c r="L7" s="97" t="s">
        <v>67</v>
      </c>
      <c r="M7" s="54" t="s">
        <v>127</v>
      </c>
      <c r="N7" s="55" t="s">
        <v>128</v>
      </c>
      <c r="O7" s="71" t="s">
        <v>65</v>
      </c>
      <c r="P7" s="68" t="s">
        <v>66</v>
      </c>
      <c r="Q7" s="92" t="s">
        <v>88</v>
      </c>
      <c r="R7" s="67" t="s">
        <v>86</v>
      </c>
      <c r="S7" s="53" t="s">
        <v>89</v>
      </c>
      <c r="T7" s="56" t="s">
        <v>87</v>
      </c>
      <c r="U7" s="56" t="s">
        <v>90</v>
      </c>
      <c r="V7" s="98" t="s">
        <v>91</v>
      </c>
      <c r="W7" s="68" t="s">
        <v>63</v>
      </c>
      <c r="X7" s="67" t="s">
        <v>59</v>
      </c>
      <c r="Y7" s="80" t="s">
        <v>18</v>
      </c>
    </row>
    <row r="8" spans="2:26" x14ac:dyDescent="0.25">
      <c r="B8" s="20"/>
      <c r="C8" s="125"/>
      <c r="D8" s="126"/>
      <c r="E8" s="57" t="str">
        <f>IF(Jun[[#This Row],[Name]]="","",Jun[[#This Row],[June Weight (kg)]]/(VLOOKUP(Jun[[#This Row],[Name]],Overview[],2,FALSE)/100)^2)</f>
        <v/>
      </c>
      <c r="F8" s="57" t="str">
        <f>IF(Jun[[#This Row],[Name]]="","",IF(VLOOKUP(Jun[[#This Row],[Name]],Overview[],13,FALSE)="","N/A",Jun[[#This Row],[June Weight (kg)]]-VLOOKUP(Jun[[#This Row],[Name]],Overview[],13,FALSE)))</f>
        <v/>
      </c>
      <c r="G8" s="174" t="str">
        <f>IF(Jun[[#This Row],[Name]]="","",IF(VLOOKUP(Jun[[#This Row],[Name]],Overview[],13,FALSE)="","N/A",(Jun[[#This Row],[June Weight (kg)]]-VLOOKUP(Jun[[#This Row],[Name]],Overview[],13,FALSE))/VLOOKUP(Jun[[#This Row],[Name]],Overview[],13,FALSE)))</f>
        <v/>
      </c>
      <c r="H8" s="61" t="str" cm="1">
        <f t="array" ref="H8">IF(Jun[[#This Row],[Name]]="","",IF(SUMPRODUCT((Overview[Name]=Jun[[#This Row],[Name]])*ISNUMBER(Overview[[December Weight (kg)]:[March 
Weight (kg)]]))=0,"N/A",MAX(IF((Overview[Name]=Jun[[#This Row],[Name]])*ISNUMBER(Overview[[December Weight (kg)]:[March 
Weight (kg)]]),Overview[[December Weight (kg)]:[March 
Weight (kg)]]))))</f>
        <v/>
      </c>
      <c r="I8" s="57" t="str">
        <f>IF(Jun[[#This Row],[Name]]="","",IF(NOT(ISNUMBER(Jun[[#This Row],[Highest Weight in the Past 3 - 6 Months]])),"N/A",IF(Jun[[#This Row],[June Weight (kg)]]=Jun[[#This Row],[Highest Weight in the Past 3 - 6 Months]],0,Jun[[#This Row],[June Weight (kg)]]-Jun[[#This Row],[Highest Weight in the Past 3 - 6 Months]])))</f>
        <v/>
      </c>
      <c r="J8"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8" s="127"/>
      <c r="L8" s="128"/>
      <c r="M8" s="75"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8" s="64" t="str">
        <f>IF(Jun[[#This Row],[Name]]="","",IF(Jun[[#This Row],[June MUST Score ]]=0,"Low",IF(Jun[[#This Row],[June MUST Score ]]=1,"Medium","High")))</f>
        <v/>
      </c>
      <c r="O8" s="7"/>
      <c r="P8" s="69"/>
      <c r="Q8" s="20"/>
      <c r="R8" s="22"/>
      <c r="S8" s="44"/>
      <c r="T8" s="16"/>
      <c r="U8" s="69"/>
      <c r="V8" s="8"/>
      <c r="W8" s="93"/>
      <c r="X8" s="9"/>
      <c r="Y8" s="8"/>
    </row>
    <row r="9" spans="2:26" x14ac:dyDescent="0.25">
      <c r="B9" s="12"/>
      <c r="C9" s="129"/>
      <c r="D9" s="94"/>
      <c r="E9" s="58" t="str">
        <f>IF(Jun[[#This Row],[Name]]="","",Jun[[#This Row],[June Weight (kg)]]/(VLOOKUP(Jun[[#This Row],[Name]],Overview[],2,FALSE)/100)^2)</f>
        <v/>
      </c>
      <c r="F9" s="58" t="str">
        <f>IF(Jun[[#This Row],[Name]]="","",IF(VLOOKUP(Jun[[#This Row],[Name]],Overview[],13,FALSE)="","N/A",Jun[[#This Row],[June Weight (kg)]]-VLOOKUP(Jun[[#This Row],[Name]],Overview[],13,FALSE)))</f>
        <v/>
      </c>
      <c r="G9" s="175" t="str">
        <f>IF(Jun[[#This Row],[Name]]="","",IF(VLOOKUP(Jun[[#This Row],[Name]],Overview[],13,FALSE)="","N/A",(Jun[[#This Row],[June Weight (kg)]]-VLOOKUP(Jun[[#This Row],[Name]],Overview[],13,FALSE))/VLOOKUP(Jun[[#This Row],[Name]],Overview[],13,FALSE)))</f>
        <v/>
      </c>
      <c r="H9" s="61" t="str" cm="1">
        <f t="array" ref="H9">IF(Jun[[#This Row],[Name]]="","",IF(SUMPRODUCT((Overview[Name]=Jun[[#This Row],[Name]])*ISNUMBER(Overview[[December Weight (kg)]:[March 
Weight (kg)]]))=0,"N/A",MAX(IF((Overview[Name]=Jun[[#This Row],[Name]])*ISNUMBER(Overview[[December Weight (kg)]:[March 
Weight (kg)]]),Overview[[December Weight (kg)]:[March 
Weight (kg)]]))))</f>
        <v/>
      </c>
      <c r="I9" s="57" t="str">
        <f>IF(Jun[[#This Row],[Name]]="","",IF(NOT(ISNUMBER(Jun[[#This Row],[Highest Weight in the Past 3 - 6 Months]])),"N/A",IF(Jun[[#This Row],[June Weight (kg)]]=Jun[[#This Row],[Highest Weight in the Past 3 - 6 Months]],0,Jun[[#This Row],[June Weight (kg)]]-Jun[[#This Row],[Highest Weight in the Past 3 - 6 Months]])))</f>
        <v/>
      </c>
      <c r="J9"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9" s="130"/>
      <c r="L9" s="131"/>
      <c r="M9"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9" s="64" t="str">
        <f>IF(Jun[[#This Row],[Name]]="","",IF(Jun[[#This Row],[June MUST Score ]]=0,"Low",IF(Jun[[#This Row],[June MUST Score ]]=1,"Medium","High")))</f>
        <v/>
      </c>
      <c r="O9" s="44"/>
      <c r="P9" s="66"/>
      <c r="Q9" s="20"/>
      <c r="R9" s="17"/>
      <c r="S9" s="44"/>
      <c r="T9" s="22"/>
      <c r="U9" s="66"/>
      <c r="V9" s="21"/>
      <c r="W9" s="94"/>
      <c r="X9" s="12"/>
      <c r="Y9" s="11"/>
    </row>
    <row r="10" spans="2:26" x14ac:dyDescent="0.25">
      <c r="B10" s="12"/>
      <c r="C10" s="129"/>
      <c r="D10" s="94"/>
      <c r="E10" s="58" t="str">
        <f>IF(Jun[[#This Row],[Name]]="","",Jun[[#This Row],[June Weight (kg)]]/(VLOOKUP(Jun[[#This Row],[Name]],Overview[],2,FALSE)/100)^2)</f>
        <v/>
      </c>
      <c r="F10" s="58" t="str">
        <f>IF(Jun[[#This Row],[Name]]="","",IF(VLOOKUP(Jun[[#This Row],[Name]],Overview[],13,FALSE)="","N/A",Jun[[#This Row],[June Weight (kg)]]-VLOOKUP(Jun[[#This Row],[Name]],Overview[],13,FALSE)))</f>
        <v/>
      </c>
      <c r="G10" s="175" t="str">
        <f>IF(Jun[[#This Row],[Name]]="","",IF(VLOOKUP(Jun[[#This Row],[Name]],Overview[],13,FALSE)="","N/A",(Jun[[#This Row],[June Weight (kg)]]-VLOOKUP(Jun[[#This Row],[Name]],Overview[],13,FALSE))/VLOOKUP(Jun[[#This Row],[Name]],Overview[],13,FALSE)))</f>
        <v/>
      </c>
      <c r="H10" s="61" t="str" cm="1">
        <f t="array" ref="H10">IF(Jun[[#This Row],[Name]]="","",IF(SUMPRODUCT((Overview[Name]=Jun[[#This Row],[Name]])*ISNUMBER(Overview[[December Weight (kg)]:[March 
Weight (kg)]]))=0,"N/A",MAX(IF((Overview[Name]=Jun[[#This Row],[Name]])*ISNUMBER(Overview[[December Weight (kg)]:[March 
Weight (kg)]]),Overview[[December Weight (kg)]:[March 
Weight (kg)]]))))</f>
        <v/>
      </c>
      <c r="I10" s="57" t="str">
        <f>IF(Jun[[#This Row],[Name]]="","",IF(NOT(ISNUMBER(Jun[[#This Row],[Highest Weight in the Past 3 - 6 Months]])),"N/A",IF(Jun[[#This Row],[June Weight (kg)]]=Jun[[#This Row],[Highest Weight in the Past 3 - 6 Months]],0,Jun[[#This Row],[June Weight (kg)]]-Jun[[#This Row],[Highest Weight in the Past 3 - 6 Months]])))</f>
        <v/>
      </c>
      <c r="J10"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0" s="130"/>
      <c r="L10" s="131"/>
      <c r="M10"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0" s="64" t="str">
        <f>IF(Jun[[#This Row],[Name]]="","",IF(Jun[[#This Row],[June MUST Score ]]=0,"Low",IF(Jun[[#This Row],[June MUST Score ]]=1,"Medium","High")))</f>
        <v/>
      </c>
      <c r="O10" s="10"/>
      <c r="P10" s="70"/>
      <c r="Q10" s="12"/>
      <c r="R10" s="17"/>
      <c r="S10" s="10"/>
      <c r="T10" s="17"/>
      <c r="U10" s="70"/>
      <c r="V10" s="11"/>
      <c r="W10" s="94"/>
      <c r="X10" s="12"/>
      <c r="Y10" s="11"/>
    </row>
    <row r="11" spans="2:26" x14ac:dyDescent="0.25">
      <c r="B11" s="12"/>
      <c r="C11" s="129"/>
      <c r="D11" s="94"/>
      <c r="E11" s="58" t="str">
        <f>IF(Jun[[#This Row],[Name]]="","",Jun[[#This Row],[June Weight (kg)]]/(VLOOKUP(Jun[[#This Row],[Name]],Overview[],2,FALSE)/100)^2)</f>
        <v/>
      </c>
      <c r="F11" s="58" t="str">
        <f>IF(Jun[[#This Row],[Name]]="","",IF(VLOOKUP(Jun[[#This Row],[Name]],Overview[],13,FALSE)="","N/A",Jun[[#This Row],[June Weight (kg)]]-VLOOKUP(Jun[[#This Row],[Name]],Overview[],13,FALSE)))</f>
        <v/>
      </c>
      <c r="G11" s="175" t="str">
        <f>IF(Jun[[#This Row],[Name]]="","",IF(VLOOKUP(Jun[[#This Row],[Name]],Overview[],13,FALSE)="","N/A",(Jun[[#This Row],[June Weight (kg)]]-VLOOKUP(Jun[[#This Row],[Name]],Overview[],13,FALSE))/VLOOKUP(Jun[[#This Row],[Name]],Overview[],13,FALSE)))</f>
        <v/>
      </c>
      <c r="H11" s="61" t="str" cm="1">
        <f t="array" ref="H11">IF(Jun[[#This Row],[Name]]="","",IF(SUMPRODUCT((Overview[Name]=Jun[[#This Row],[Name]])*ISNUMBER(Overview[[December Weight (kg)]:[March 
Weight (kg)]]))=0,"N/A",MAX(IF((Overview[Name]=Jun[[#This Row],[Name]])*ISNUMBER(Overview[[December Weight (kg)]:[March 
Weight (kg)]]),Overview[[December Weight (kg)]:[March 
Weight (kg)]]))))</f>
        <v/>
      </c>
      <c r="I11" s="57" t="str">
        <f>IF(Jun[[#This Row],[Name]]="","",IF(NOT(ISNUMBER(Jun[[#This Row],[Highest Weight in the Past 3 - 6 Months]])),"N/A",IF(Jun[[#This Row],[June Weight (kg)]]=Jun[[#This Row],[Highest Weight in the Past 3 - 6 Months]],0,Jun[[#This Row],[June Weight (kg)]]-Jun[[#This Row],[Highest Weight in the Past 3 - 6 Months]])))</f>
        <v/>
      </c>
      <c r="J11"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1" s="130"/>
      <c r="L11" s="131"/>
      <c r="M11"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1" s="64" t="str">
        <f>IF(Jun[[#This Row],[Name]]="","",IF(Jun[[#This Row],[June MUST Score ]]=0,"Low",IF(Jun[[#This Row],[June MUST Score ]]=1,"Medium","High")))</f>
        <v/>
      </c>
      <c r="O11" s="10"/>
      <c r="P11" s="70"/>
      <c r="Q11" s="12"/>
      <c r="R11" s="17"/>
      <c r="S11" s="10"/>
      <c r="T11" s="17"/>
      <c r="U11" s="70"/>
      <c r="V11" s="11"/>
      <c r="W11" s="94"/>
      <c r="X11" s="12"/>
      <c r="Y11" s="11"/>
    </row>
    <row r="12" spans="2:26" x14ac:dyDescent="0.25">
      <c r="B12" s="12"/>
      <c r="C12" s="129"/>
      <c r="D12" s="94"/>
      <c r="E12" s="58" t="str">
        <f>IF(Jun[[#This Row],[Name]]="","",Jun[[#This Row],[June Weight (kg)]]/(VLOOKUP(Jun[[#This Row],[Name]],Overview[],2,FALSE)/100)^2)</f>
        <v/>
      </c>
      <c r="F12" s="58" t="str">
        <f>IF(Jun[[#This Row],[Name]]="","",IF(VLOOKUP(Jun[[#This Row],[Name]],Overview[],13,FALSE)="","N/A",Jun[[#This Row],[June Weight (kg)]]-VLOOKUP(Jun[[#This Row],[Name]],Overview[],13,FALSE)))</f>
        <v/>
      </c>
      <c r="G12" s="175" t="str">
        <f>IF(Jun[[#This Row],[Name]]="","",IF(VLOOKUP(Jun[[#This Row],[Name]],Overview[],13,FALSE)="","N/A",(Jun[[#This Row],[June Weight (kg)]]-VLOOKUP(Jun[[#This Row],[Name]],Overview[],13,FALSE))/VLOOKUP(Jun[[#This Row],[Name]],Overview[],13,FALSE)))</f>
        <v/>
      </c>
      <c r="H12" s="61" t="str" cm="1">
        <f t="array" ref="H12">IF(Jun[[#This Row],[Name]]="","",IF(SUMPRODUCT((Overview[Name]=Jun[[#This Row],[Name]])*ISNUMBER(Overview[[December Weight (kg)]:[March 
Weight (kg)]]))=0,"N/A",MAX(IF((Overview[Name]=Jun[[#This Row],[Name]])*ISNUMBER(Overview[[December Weight (kg)]:[March 
Weight (kg)]]),Overview[[December Weight (kg)]:[March 
Weight (kg)]]))))</f>
        <v/>
      </c>
      <c r="I12" s="57" t="str">
        <f>IF(Jun[[#This Row],[Name]]="","",IF(NOT(ISNUMBER(Jun[[#This Row],[Highest Weight in the Past 3 - 6 Months]])),"N/A",IF(Jun[[#This Row],[June Weight (kg)]]=Jun[[#This Row],[Highest Weight in the Past 3 - 6 Months]],0,Jun[[#This Row],[June Weight (kg)]]-Jun[[#This Row],[Highest Weight in the Past 3 - 6 Months]])))</f>
        <v/>
      </c>
      <c r="J12"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2" s="130"/>
      <c r="L12" s="131"/>
      <c r="M12"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2" s="64" t="str">
        <f>IF(Jun[[#This Row],[Name]]="","",IF(Jun[[#This Row],[June MUST Score ]]=0,"Low",IF(Jun[[#This Row],[June MUST Score ]]=1,"Medium","High")))</f>
        <v/>
      </c>
      <c r="O12" s="10"/>
      <c r="P12" s="70"/>
      <c r="Q12" s="12"/>
      <c r="R12" s="17"/>
      <c r="S12" s="10"/>
      <c r="T12" s="17"/>
      <c r="U12" s="70"/>
      <c r="V12" s="11"/>
      <c r="W12" s="94"/>
      <c r="X12" s="12"/>
      <c r="Y12" s="11"/>
    </row>
    <row r="13" spans="2:26" x14ac:dyDescent="0.25">
      <c r="B13" s="12"/>
      <c r="C13" s="129"/>
      <c r="D13" s="94"/>
      <c r="E13" s="58" t="str">
        <f>IF(Jun[[#This Row],[Name]]="","",Jun[[#This Row],[June Weight (kg)]]/(VLOOKUP(Jun[[#This Row],[Name]],Overview[],2,FALSE)/100)^2)</f>
        <v/>
      </c>
      <c r="F13" s="58" t="str">
        <f>IF(Jun[[#This Row],[Name]]="","",IF(VLOOKUP(Jun[[#This Row],[Name]],Overview[],13,FALSE)="","N/A",Jun[[#This Row],[June Weight (kg)]]-VLOOKUP(Jun[[#This Row],[Name]],Overview[],13,FALSE)))</f>
        <v/>
      </c>
      <c r="G13" s="175" t="str">
        <f>IF(Jun[[#This Row],[Name]]="","",IF(VLOOKUP(Jun[[#This Row],[Name]],Overview[],13,FALSE)="","N/A",(Jun[[#This Row],[June Weight (kg)]]-VLOOKUP(Jun[[#This Row],[Name]],Overview[],13,FALSE))/VLOOKUP(Jun[[#This Row],[Name]],Overview[],13,FALSE)))</f>
        <v/>
      </c>
      <c r="H13" s="61" t="str" cm="1">
        <f t="array" ref="H13">IF(Jun[[#This Row],[Name]]="","",IF(SUMPRODUCT((Overview[Name]=Jun[[#This Row],[Name]])*ISNUMBER(Overview[[December Weight (kg)]:[March 
Weight (kg)]]))=0,"N/A",MAX(IF((Overview[Name]=Jun[[#This Row],[Name]])*ISNUMBER(Overview[[December Weight (kg)]:[March 
Weight (kg)]]),Overview[[December Weight (kg)]:[March 
Weight (kg)]]))))</f>
        <v/>
      </c>
      <c r="I13" s="57" t="str">
        <f>IF(Jun[[#This Row],[Name]]="","",IF(NOT(ISNUMBER(Jun[[#This Row],[Highest Weight in the Past 3 - 6 Months]])),"N/A",IF(Jun[[#This Row],[June Weight (kg)]]=Jun[[#This Row],[Highest Weight in the Past 3 - 6 Months]],0,Jun[[#This Row],[June Weight (kg)]]-Jun[[#This Row],[Highest Weight in the Past 3 - 6 Months]])))</f>
        <v/>
      </c>
      <c r="J13"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3" s="130"/>
      <c r="L13" s="131"/>
      <c r="M13"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3" s="64" t="str">
        <f>IF(Jun[[#This Row],[Name]]="","",IF(Jun[[#This Row],[June MUST Score ]]=0,"Low",IF(Jun[[#This Row],[June MUST Score ]]=1,"Medium","High")))</f>
        <v/>
      </c>
      <c r="O13" s="10"/>
      <c r="P13" s="70"/>
      <c r="Q13" s="12"/>
      <c r="R13" s="17"/>
      <c r="S13" s="10"/>
      <c r="T13" s="17"/>
      <c r="U13" s="70"/>
      <c r="V13" s="11"/>
      <c r="W13" s="94"/>
      <c r="X13" s="12"/>
      <c r="Y13" s="11"/>
    </row>
    <row r="14" spans="2:26" x14ac:dyDescent="0.25">
      <c r="B14" s="12"/>
      <c r="C14" s="129"/>
      <c r="D14" s="94"/>
      <c r="E14" s="58" t="str">
        <f>IF(Jun[[#This Row],[Name]]="","",Jun[[#This Row],[June Weight (kg)]]/(VLOOKUP(Jun[[#This Row],[Name]],Overview[],2,FALSE)/100)^2)</f>
        <v/>
      </c>
      <c r="F14" s="58" t="str">
        <f>IF(Jun[[#This Row],[Name]]="","",IF(VLOOKUP(Jun[[#This Row],[Name]],Overview[],13,FALSE)="","N/A",Jun[[#This Row],[June Weight (kg)]]-VLOOKUP(Jun[[#This Row],[Name]],Overview[],13,FALSE)))</f>
        <v/>
      </c>
      <c r="G14" s="175" t="str">
        <f>IF(Jun[[#This Row],[Name]]="","",IF(VLOOKUP(Jun[[#This Row],[Name]],Overview[],13,FALSE)="","N/A",(Jun[[#This Row],[June Weight (kg)]]-VLOOKUP(Jun[[#This Row],[Name]],Overview[],13,FALSE))/VLOOKUP(Jun[[#This Row],[Name]],Overview[],13,FALSE)))</f>
        <v/>
      </c>
      <c r="H14" s="61" t="str" cm="1">
        <f t="array" ref="H14">IF(Jun[[#This Row],[Name]]="","",IF(SUMPRODUCT((Overview[Name]=Jun[[#This Row],[Name]])*ISNUMBER(Overview[[December Weight (kg)]:[March 
Weight (kg)]]))=0,"N/A",MAX(IF((Overview[Name]=Jun[[#This Row],[Name]])*ISNUMBER(Overview[[December Weight (kg)]:[March 
Weight (kg)]]),Overview[[December Weight (kg)]:[March 
Weight (kg)]]))))</f>
        <v/>
      </c>
      <c r="I14" s="57" t="str">
        <f>IF(Jun[[#This Row],[Name]]="","",IF(NOT(ISNUMBER(Jun[[#This Row],[Highest Weight in the Past 3 - 6 Months]])),"N/A",IF(Jun[[#This Row],[June Weight (kg)]]=Jun[[#This Row],[Highest Weight in the Past 3 - 6 Months]],0,Jun[[#This Row],[June Weight (kg)]]-Jun[[#This Row],[Highest Weight in the Past 3 - 6 Months]])))</f>
        <v/>
      </c>
      <c r="J14"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4" s="130"/>
      <c r="L14" s="131"/>
      <c r="M14"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4" s="64" t="str">
        <f>IF(Jun[[#This Row],[Name]]="","",IF(Jun[[#This Row],[June MUST Score ]]=0,"Low",IF(Jun[[#This Row],[June MUST Score ]]=1,"Medium","High")))</f>
        <v/>
      </c>
      <c r="O14" s="10"/>
      <c r="P14" s="70"/>
      <c r="Q14" s="12"/>
      <c r="R14" s="17"/>
      <c r="S14" s="10"/>
      <c r="T14" s="17"/>
      <c r="U14" s="70"/>
      <c r="V14" s="11"/>
      <c r="W14" s="94"/>
      <c r="X14" s="12"/>
      <c r="Y14" s="11"/>
    </row>
    <row r="15" spans="2:26" x14ac:dyDescent="0.25">
      <c r="B15" s="12"/>
      <c r="C15" s="129"/>
      <c r="D15" s="94"/>
      <c r="E15" s="58" t="str">
        <f>IF(Jun[[#This Row],[Name]]="","",Jun[[#This Row],[June Weight (kg)]]/(VLOOKUP(Jun[[#This Row],[Name]],Overview[],2,FALSE)/100)^2)</f>
        <v/>
      </c>
      <c r="F15" s="58" t="str">
        <f>IF(Jun[[#This Row],[Name]]="","",IF(VLOOKUP(Jun[[#This Row],[Name]],Overview[],13,FALSE)="","N/A",Jun[[#This Row],[June Weight (kg)]]-VLOOKUP(Jun[[#This Row],[Name]],Overview[],13,FALSE)))</f>
        <v/>
      </c>
      <c r="G15" s="175" t="str">
        <f>IF(Jun[[#This Row],[Name]]="","",IF(VLOOKUP(Jun[[#This Row],[Name]],Overview[],13,FALSE)="","N/A",(Jun[[#This Row],[June Weight (kg)]]-VLOOKUP(Jun[[#This Row],[Name]],Overview[],13,FALSE))/VLOOKUP(Jun[[#This Row],[Name]],Overview[],13,FALSE)))</f>
        <v/>
      </c>
      <c r="H15" s="61" t="str" cm="1">
        <f t="array" ref="H15">IF(Jun[[#This Row],[Name]]="","",IF(SUMPRODUCT((Overview[Name]=Jun[[#This Row],[Name]])*ISNUMBER(Overview[[December Weight (kg)]:[March 
Weight (kg)]]))=0,"N/A",MAX(IF((Overview[Name]=Jun[[#This Row],[Name]])*ISNUMBER(Overview[[December Weight (kg)]:[March 
Weight (kg)]]),Overview[[December Weight (kg)]:[March 
Weight (kg)]]))))</f>
        <v/>
      </c>
      <c r="I15" s="57" t="str">
        <f>IF(Jun[[#This Row],[Name]]="","",IF(NOT(ISNUMBER(Jun[[#This Row],[Highest Weight in the Past 3 - 6 Months]])),"N/A",IF(Jun[[#This Row],[June Weight (kg)]]=Jun[[#This Row],[Highest Weight in the Past 3 - 6 Months]],0,Jun[[#This Row],[June Weight (kg)]]-Jun[[#This Row],[Highest Weight in the Past 3 - 6 Months]])))</f>
        <v/>
      </c>
      <c r="J15"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5" s="130"/>
      <c r="L15" s="131"/>
      <c r="M15"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5" s="64" t="str">
        <f>IF(Jun[[#This Row],[Name]]="","",IF(Jun[[#This Row],[June MUST Score ]]=0,"Low",IF(Jun[[#This Row],[June MUST Score ]]=1,"Medium","High")))</f>
        <v/>
      </c>
      <c r="O15" s="10"/>
      <c r="P15" s="70"/>
      <c r="Q15" s="12"/>
      <c r="R15" s="17"/>
      <c r="S15" s="10"/>
      <c r="T15" s="17"/>
      <c r="U15" s="70"/>
      <c r="V15" s="11"/>
      <c r="W15" s="94"/>
      <c r="X15" s="12"/>
      <c r="Y15" s="11"/>
    </row>
    <row r="16" spans="2:26" x14ac:dyDescent="0.25">
      <c r="B16" s="12"/>
      <c r="C16" s="129"/>
      <c r="D16" s="94"/>
      <c r="E16" s="58" t="str">
        <f>IF(Jun[[#This Row],[Name]]="","",Jun[[#This Row],[June Weight (kg)]]/(VLOOKUP(Jun[[#This Row],[Name]],Overview[],2,FALSE)/100)^2)</f>
        <v/>
      </c>
      <c r="F16" s="58" t="str">
        <f>IF(Jun[[#This Row],[Name]]="","",IF(VLOOKUP(Jun[[#This Row],[Name]],Overview[],13,FALSE)="","N/A",Jun[[#This Row],[June Weight (kg)]]-VLOOKUP(Jun[[#This Row],[Name]],Overview[],13,FALSE)))</f>
        <v/>
      </c>
      <c r="G16" s="175" t="str">
        <f>IF(Jun[[#This Row],[Name]]="","",IF(VLOOKUP(Jun[[#This Row],[Name]],Overview[],13,FALSE)="","N/A",(Jun[[#This Row],[June Weight (kg)]]-VLOOKUP(Jun[[#This Row],[Name]],Overview[],13,FALSE))/VLOOKUP(Jun[[#This Row],[Name]],Overview[],13,FALSE)))</f>
        <v/>
      </c>
      <c r="H16" s="61" t="str" cm="1">
        <f t="array" ref="H16">IF(Jun[[#This Row],[Name]]="","",IF(SUMPRODUCT((Overview[Name]=Jun[[#This Row],[Name]])*ISNUMBER(Overview[[December Weight (kg)]:[March 
Weight (kg)]]))=0,"N/A",MAX(IF((Overview[Name]=Jun[[#This Row],[Name]])*ISNUMBER(Overview[[December Weight (kg)]:[March 
Weight (kg)]]),Overview[[December Weight (kg)]:[March 
Weight (kg)]]))))</f>
        <v/>
      </c>
      <c r="I16" s="57" t="str">
        <f>IF(Jun[[#This Row],[Name]]="","",IF(NOT(ISNUMBER(Jun[[#This Row],[Highest Weight in the Past 3 - 6 Months]])),"N/A",IF(Jun[[#This Row],[June Weight (kg)]]=Jun[[#This Row],[Highest Weight in the Past 3 - 6 Months]],0,Jun[[#This Row],[June Weight (kg)]]-Jun[[#This Row],[Highest Weight in the Past 3 - 6 Months]])))</f>
        <v/>
      </c>
      <c r="J16"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6" s="130"/>
      <c r="L16" s="131"/>
      <c r="M16"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6" s="64" t="str">
        <f>IF(Jun[[#This Row],[Name]]="","",IF(Jun[[#This Row],[June MUST Score ]]=0,"Low",IF(Jun[[#This Row],[June MUST Score ]]=1,"Medium","High")))</f>
        <v/>
      </c>
      <c r="O16" s="10"/>
      <c r="P16" s="70"/>
      <c r="Q16" s="12"/>
      <c r="R16" s="17"/>
      <c r="S16" s="10"/>
      <c r="T16" s="17"/>
      <c r="U16" s="70"/>
      <c r="V16" s="11"/>
      <c r="W16" s="94"/>
      <c r="X16" s="12"/>
      <c r="Y16" s="11"/>
    </row>
    <row r="17" spans="2:25" x14ac:dyDescent="0.25">
      <c r="B17" s="12"/>
      <c r="C17" s="129"/>
      <c r="D17" s="94"/>
      <c r="E17" s="58" t="str">
        <f>IF(Jun[[#This Row],[Name]]="","",Jun[[#This Row],[June Weight (kg)]]/(VLOOKUP(Jun[[#This Row],[Name]],Overview[],2,FALSE)/100)^2)</f>
        <v/>
      </c>
      <c r="F17" s="58" t="str">
        <f>IF(Jun[[#This Row],[Name]]="","",IF(VLOOKUP(Jun[[#This Row],[Name]],Overview[],13,FALSE)="","N/A",Jun[[#This Row],[June Weight (kg)]]-VLOOKUP(Jun[[#This Row],[Name]],Overview[],13,FALSE)))</f>
        <v/>
      </c>
      <c r="G17" s="175" t="str">
        <f>IF(Jun[[#This Row],[Name]]="","",IF(VLOOKUP(Jun[[#This Row],[Name]],Overview[],13,FALSE)="","N/A",(Jun[[#This Row],[June Weight (kg)]]-VLOOKUP(Jun[[#This Row],[Name]],Overview[],13,FALSE))/VLOOKUP(Jun[[#This Row],[Name]],Overview[],13,FALSE)))</f>
        <v/>
      </c>
      <c r="H17" s="61" t="str" cm="1">
        <f t="array" ref="H17">IF(Jun[[#This Row],[Name]]="","",IF(SUMPRODUCT((Overview[Name]=Jun[[#This Row],[Name]])*ISNUMBER(Overview[[December Weight (kg)]:[March 
Weight (kg)]]))=0,"N/A",MAX(IF((Overview[Name]=Jun[[#This Row],[Name]])*ISNUMBER(Overview[[December Weight (kg)]:[March 
Weight (kg)]]),Overview[[December Weight (kg)]:[March 
Weight (kg)]]))))</f>
        <v/>
      </c>
      <c r="I17" s="57" t="str">
        <f>IF(Jun[[#This Row],[Name]]="","",IF(NOT(ISNUMBER(Jun[[#This Row],[Highest Weight in the Past 3 - 6 Months]])),"N/A",IF(Jun[[#This Row],[June Weight (kg)]]=Jun[[#This Row],[Highest Weight in the Past 3 - 6 Months]],0,Jun[[#This Row],[June Weight (kg)]]-Jun[[#This Row],[Highest Weight in the Past 3 - 6 Months]])))</f>
        <v/>
      </c>
      <c r="J17"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7" s="130"/>
      <c r="L17" s="131"/>
      <c r="M17"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7" s="64" t="str">
        <f>IF(Jun[[#This Row],[Name]]="","",IF(Jun[[#This Row],[June MUST Score ]]=0,"Low",IF(Jun[[#This Row],[June MUST Score ]]=1,"Medium","High")))</f>
        <v/>
      </c>
      <c r="O17" s="10"/>
      <c r="P17" s="70"/>
      <c r="Q17" s="12"/>
      <c r="R17" s="17"/>
      <c r="S17" s="10"/>
      <c r="T17" s="17"/>
      <c r="U17" s="70"/>
      <c r="V17" s="11"/>
      <c r="W17" s="94"/>
      <c r="X17" s="12"/>
      <c r="Y17" s="11"/>
    </row>
    <row r="18" spans="2:25" x14ac:dyDescent="0.25">
      <c r="B18" s="12"/>
      <c r="C18" s="129"/>
      <c r="D18" s="94"/>
      <c r="E18" s="58" t="str">
        <f>IF(Jun[[#This Row],[Name]]="","",Jun[[#This Row],[June Weight (kg)]]/(VLOOKUP(Jun[[#This Row],[Name]],Overview[],2,FALSE)/100)^2)</f>
        <v/>
      </c>
      <c r="F18" s="58" t="str">
        <f>IF(Jun[[#This Row],[Name]]="","",IF(VLOOKUP(Jun[[#This Row],[Name]],Overview[],13,FALSE)="","N/A",Jun[[#This Row],[June Weight (kg)]]-VLOOKUP(Jun[[#This Row],[Name]],Overview[],13,FALSE)))</f>
        <v/>
      </c>
      <c r="G18" s="175" t="str">
        <f>IF(Jun[[#This Row],[Name]]="","",IF(VLOOKUP(Jun[[#This Row],[Name]],Overview[],13,FALSE)="","N/A",(Jun[[#This Row],[June Weight (kg)]]-VLOOKUP(Jun[[#This Row],[Name]],Overview[],13,FALSE))/VLOOKUP(Jun[[#This Row],[Name]],Overview[],13,FALSE)))</f>
        <v/>
      </c>
      <c r="H18" s="61" t="str" cm="1">
        <f t="array" ref="H18">IF(Jun[[#This Row],[Name]]="","",IF(SUMPRODUCT((Overview[Name]=Jun[[#This Row],[Name]])*ISNUMBER(Overview[[December Weight (kg)]:[March 
Weight (kg)]]))=0,"N/A",MAX(IF((Overview[Name]=Jun[[#This Row],[Name]])*ISNUMBER(Overview[[December Weight (kg)]:[March 
Weight (kg)]]),Overview[[December Weight (kg)]:[March 
Weight (kg)]]))))</f>
        <v/>
      </c>
      <c r="I18" s="57" t="str">
        <f>IF(Jun[[#This Row],[Name]]="","",IF(NOT(ISNUMBER(Jun[[#This Row],[Highest Weight in the Past 3 - 6 Months]])),"N/A",IF(Jun[[#This Row],[June Weight (kg)]]=Jun[[#This Row],[Highest Weight in the Past 3 - 6 Months]],0,Jun[[#This Row],[June Weight (kg)]]-Jun[[#This Row],[Highest Weight in the Past 3 - 6 Months]])))</f>
        <v/>
      </c>
      <c r="J18"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8" s="130"/>
      <c r="L18" s="131"/>
      <c r="M18"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8" s="64" t="str">
        <f>IF(Jun[[#This Row],[Name]]="","",IF(Jun[[#This Row],[June MUST Score ]]=0,"Low",IF(Jun[[#This Row],[June MUST Score ]]=1,"Medium","High")))</f>
        <v/>
      </c>
      <c r="O18" s="10"/>
      <c r="P18" s="70"/>
      <c r="Q18" s="12"/>
      <c r="R18" s="17"/>
      <c r="S18" s="10"/>
      <c r="T18" s="17"/>
      <c r="U18" s="70"/>
      <c r="V18" s="11"/>
      <c r="W18" s="94"/>
      <c r="X18" s="12"/>
      <c r="Y18" s="11"/>
    </row>
    <row r="19" spans="2:25" x14ac:dyDescent="0.25">
      <c r="B19" s="12"/>
      <c r="C19" s="129"/>
      <c r="D19" s="94"/>
      <c r="E19" s="58" t="str">
        <f>IF(Jun[[#This Row],[Name]]="","",Jun[[#This Row],[June Weight (kg)]]/(VLOOKUP(Jun[[#This Row],[Name]],Overview[],2,FALSE)/100)^2)</f>
        <v/>
      </c>
      <c r="F19" s="58" t="str">
        <f>IF(Jun[[#This Row],[Name]]="","",IF(VLOOKUP(Jun[[#This Row],[Name]],Overview[],13,FALSE)="","N/A",Jun[[#This Row],[June Weight (kg)]]-VLOOKUP(Jun[[#This Row],[Name]],Overview[],13,FALSE)))</f>
        <v/>
      </c>
      <c r="G19" s="175" t="str">
        <f>IF(Jun[[#This Row],[Name]]="","",IF(VLOOKUP(Jun[[#This Row],[Name]],Overview[],13,FALSE)="","N/A",(Jun[[#This Row],[June Weight (kg)]]-VLOOKUP(Jun[[#This Row],[Name]],Overview[],13,FALSE))/VLOOKUP(Jun[[#This Row],[Name]],Overview[],13,FALSE)))</f>
        <v/>
      </c>
      <c r="H19" s="61" t="str" cm="1">
        <f t="array" ref="H19">IF(Jun[[#This Row],[Name]]="","",IF(SUMPRODUCT((Overview[Name]=Jun[[#This Row],[Name]])*ISNUMBER(Overview[[December Weight (kg)]:[March 
Weight (kg)]]))=0,"N/A",MAX(IF((Overview[Name]=Jun[[#This Row],[Name]])*ISNUMBER(Overview[[December Weight (kg)]:[March 
Weight (kg)]]),Overview[[December Weight (kg)]:[March 
Weight (kg)]]))))</f>
        <v/>
      </c>
      <c r="I19" s="57" t="str">
        <f>IF(Jun[[#This Row],[Name]]="","",IF(NOT(ISNUMBER(Jun[[#This Row],[Highest Weight in the Past 3 - 6 Months]])),"N/A",IF(Jun[[#This Row],[June Weight (kg)]]=Jun[[#This Row],[Highest Weight in the Past 3 - 6 Months]],0,Jun[[#This Row],[June Weight (kg)]]-Jun[[#This Row],[Highest Weight in the Past 3 - 6 Months]])))</f>
        <v/>
      </c>
      <c r="J19"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19" s="130"/>
      <c r="L19" s="131"/>
      <c r="M19"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19" s="64" t="str">
        <f>IF(Jun[[#This Row],[Name]]="","",IF(Jun[[#This Row],[June MUST Score ]]=0,"Low",IF(Jun[[#This Row],[June MUST Score ]]=1,"Medium","High")))</f>
        <v/>
      </c>
      <c r="O19" s="10"/>
      <c r="P19" s="70"/>
      <c r="Q19" s="12"/>
      <c r="R19" s="17"/>
      <c r="S19" s="10"/>
      <c r="T19" s="17"/>
      <c r="U19" s="70"/>
      <c r="V19" s="11"/>
      <c r="W19" s="94"/>
      <c r="X19" s="12"/>
      <c r="Y19" s="11"/>
    </row>
    <row r="20" spans="2:25" x14ac:dyDescent="0.25">
      <c r="B20" s="12"/>
      <c r="C20" s="129"/>
      <c r="D20" s="94"/>
      <c r="E20" s="58" t="str">
        <f>IF(Jun[[#This Row],[Name]]="","",Jun[[#This Row],[June Weight (kg)]]/(VLOOKUP(Jun[[#This Row],[Name]],Overview[],2,FALSE)/100)^2)</f>
        <v/>
      </c>
      <c r="F20" s="58" t="str">
        <f>IF(Jun[[#This Row],[Name]]="","",IF(VLOOKUP(Jun[[#This Row],[Name]],Overview[],13,FALSE)="","N/A",Jun[[#This Row],[June Weight (kg)]]-VLOOKUP(Jun[[#This Row],[Name]],Overview[],13,FALSE)))</f>
        <v/>
      </c>
      <c r="G20" s="175" t="str">
        <f>IF(Jun[[#This Row],[Name]]="","",IF(VLOOKUP(Jun[[#This Row],[Name]],Overview[],13,FALSE)="","N/A",(Jun[[#This Row],[June Weight (kg)]]-VLOOKUP(Jun[[#This Row],[Name]],Overview[],13,FALSE))/VLOOKUP(Jun[[#This Row],[Name]],Overview[],13,FALSE)))</f>
        <v/>
      </c>
      <c r="H20" s="61" t="str" cm="1">
        <f t="array" ref="H20">IF(Jun[[#This Row],[Name]]="","",IF(SUMPRODUCT((Overview[Name]=Jun[[#This Row],[Name]])*ISNUMBER(Overview[[December Weight (kg)]:[March 
Weight (kg)]]))=0,"N/A",MAX(IF((Overview[Name]=Jun[[#This Row],[Name]])*ISNUMBER(Overview[[December Weight (kg)]:[March 
Weight (kg)]]),Overview[[December Weight (kg)]:[March 
Weight (kg)]]))))</f>
        <v/>
      </c>
      <c r="I20" s="57" t="str">
        <f>IF(Jun[[#This Row],[Name]]="","",IF(NOT(ISNUMBER(Jun[[#This Row],[Highest Weight in the Past 3 - 6 Months]])),"N/A",IF(Jun[[#This Row],[June Weight (kg)]]=Jun[[#This Row],[Highest Weight in the Past 3 - 6 Months]],0,Jun[[#This Row],[June Weight (kg)]]-Jun[[#This Row],[Highest Weight in the Past 3 - 6 Months]])))</f>
        <v/>
      </c>
      <c r="J20"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0" s="130"/>
      <c r="L20" s="131"/>
      <c r="M20"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0" s="64" t="str">
        <f>IF(Jun[[#This Row],[Name]]="","",IF(Jun[[#This Row],[June MUST Score ]]=0,"Low",IF(Jun[[#This Row],[June MUST Score ]]=1,"Medium","High")))</f>
        <v/>
      </c>
      <c r="O20" s="10"/>
      <c r="P20" s="70"/>
      <c r="Q20" s="12"/>
      <c r="R20" s="17"/>
      <c r="S20" s="10"/>
      <c r="T20" s="17"/>
      <c r="U20" s="70"/>
      <c r="V20" s="11"/>
      <c r="W20" s="94"/>
      <c r="X20" s="12"/>
      <c r="Y20" s="11"/>
    </row>
    <row r="21" spans="2:25" x14ac:dyDescent="0.25">
      <c r="B21" s="12"/>
      <c r="C21" s="129"/>
      <c r="D21" s="94"/>
      <c r="E21" s="58" t="str">
        <f>IF(Jun[[#This Row],[Name]]="","",Jun[[#This Row],[June Weight (kg)]]/(VLOOKUP(Jun[[#This Row],[Name]],Overview[],2,FALSE)/100)^2)</f>
        <v/>
      </c>
      <c r="F21" s="58" t="str">
        <f>IF(Jun[[#This Row],[Name]]="","",IF(VLOOKUP(Jun[[#This Row],[Name]],Overview[],13,FALSE)="","N/A",Jun[[#This Row],[June Weight (kg)]]-VLOOKUP(Jun[[#This Row],[Name]],Overview[],13,FALSE)))</f>
        <v/>
      </c>
      <c r="G21" s="175" t="str">
        <f>IF(Jun[[#This Row],[Name]]="","",IF(VLOOKUP(Jun[[#This Row],[Name]],Overview[],13,FALSE)="","N/A",(Jun[[#This Row],[June Weight (kg)]]-VLOOKUP(Jun[[#This Row],[Name]],Overview[],13,FALSE))/VLOOKUP(Jun[[#This Row],[Name]],Overview[],13,FALSE)))</f>
        <v/>
      </c>
      <c r="H21" s="61" t="str" cm="1">
        <f t="array" ref="H21">IF(Jun[[#This Row],[Name]]="","",IF(SUMPRODUCT((Overview[Name]=Jun[[#This Row],[Name]])*ISNUMBER(Overview[[December Weight (kg)]:[March 
Weight (kg)]]))=0,"N/A",MAX(IF((Overview[Name]=Jun[[#This Row],[Name]])*ISNUMBER(Overview[[December Weight (kg)]:[March 
Weight (kg)]]),Overview[[December Weight (kg)]:[March 
Weight (kg)]]))))</f>
        <v/>
      </c>
      <c r="I21" s="57" t="str">
        <f>IF(Jun[[#This Row],[Name]]="","",IF(NOT(ISNUMBER(Jun[[#This Row],[Highest Weight in the Past 3 - 6 Months]])),"N/A",IF(Jun[[#This Row],[June Weight (kg)]]=Jun[[#This Row],[Highest Weight in the Past 3 - 6 Months]],0,Jun[[#This Row],[June Weight (kg)]]-Jun[[#This Row],[Highest Weight in the Past 3 - 6 Months]])))</f>
        <v/>
      </c>
      <c r="J21"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1" s="130"/>
      <c r="L21" s="131"/>
      <c r="M21"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1" s="64" t="str">
        <f>IF(Jun[[#This Row],[Name]]="","",IF(Jun[[#This Row],[June MUST Score ]]=0,"Low",IF(Jun[[#This Row],[June MUST Score ]]=1,"Medium","High")))</f>
        <v/>
      </c>
      <c r="O21" s="10"/>
      <c r="P21" s="70"/>
      <c r="Q21" s="12"/>
      <c r="R21" s="17"/>
      <c r="S21" s="10"/>
      <c r="T21" s="17"/>
      <c r="U21" s="70"/>
      <c r="V21" s="11"/>
      <c r="W21" s="94"/>
      <c r="X21" s="12"/>
      <c r="Y21" s="11"/>
    </row>
    <row r="22" spans="2:25" x14ac:dyDescent="0.25">
      <c r="B22" s="12"/>
      <c r="C22" s="129"/>
      <c r="D22" s="94"/>
      <c r="E22" s="58" t="str">
        <f>IF(Jun[[#This Row],[Name]]="","",Jun[[#This Row],[June Weight (kg)]]/(VLOOKUP(Jun[[#This Row],[Name]],Overview[],2,FALSE)/100)^2)</f>
        <v/>
      </c>
      <c r="F22" s="58" t="str">
        <f>IF(Jun[[#This Row],[Name]]="","",IF(VLOOKUP(Jun[[#This Row],[Name]],Overview[],13,FALSE)="","N/A",Jun[[#This Row],[June Weight (kg)]]-VLOOKUP(Jun[[#This Row],[Name]],Overview[],13,FALSE)))</f>
        <v/>
      </c>
      <c r="G22" s="175" t="str">
        <f>IF(Jun[[#This Row],[Name]]="","",IF(VLOOKUP(Jun[[#This Row],[Name]],Overview[],13,FALSE)="","N/A",(Jun[[#This Row],[June Weight (kg)]]-VLOOKUP(Jun[[#This Row],[Name]],Overview[],13,FALSE))/VLOOKUP(Jun[[#This Row],[Name]],Overview[],13,FALSE)))</f>
        <v/>
      </c>
      <c r="H22" s="61" t="str" cm="1">
        <f t="array" ref="H22">IF(Jun[[#This Row],[Name]]="","",IF(SUMPRODUCT((Overview[Name]=Jun[[#This Row],[Name]])*ISNUMBER(Overview[[December Weight (kg)]:[March 
Weight (kg)]]))=0,"N/A",MAX(IF((Overview[Name]=Jun[[#This Row],[Name]])*ISNUMBER(Overview[[December Weight (kg)]:[March 
Weight (kg)]]),Overview[[December Weight (kg)]:[March 
Weight (kg)]]))))</f>
        <v/>
      </c>
      <c r="I22" s="57" t="str">
        <f>IF(Jun[[#This Row],[Name]]="","",IF(NOT(ISNUMBER(Jun[[#This Row],[Highest Weight in the Past 3 - 6 Months]])),"N/A",IF(Jun[[#This Row],[June Weight (kg)]]=Jun[[#This Row],[Highest Weight in the Past 3 - 6 Months]],0,Jun[[#This Row],[June Weight (kg)]]-Jun[[#This Row],[Highest Weight in the Past 3 - 6 Months]])))</f>
        <v/>
      </c>
      <c r="J22"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2" s="130"/>
      <c r="L22" s="131"/>
      <c r="M22"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2" s="64" t="str">
        <f>IF(Jun[[#This Row],[Name]]="","",IF(Jun[[#This Row],[June MUST Score ]]=0,"Low",IF(Jun[[#This Row],[June MUST Score ]]=1,"Medium","High")))</f>
        <v/>
      </c>
      <c r="O22" s="10"/>
      <c r="P22" s="70"/>
      <c r="Q22" s="12"/>
      <c r="R22" s="17"/>
      <c r="S22" s="10"/>
      <c r="T22" s="17"/>
      <c r="U22" s="70"/>
      <c r="V22" s="11"/>
      <c r="W22" s="94"/>
      <c r="X22" s="12"/>
      <c r="Y22" s="11"/>
    </row>
    <row r="23" spans="2:25" x14ac:dyDescent="0.25">
      <c r="B23" s="12"/>
      <c r="C23" s="129"/>
      <c r="D23" s="94"/>
      <c r="E23" s="58" t="str">
        <f>IF(Jun[[#This Row],[Name]]="","",Jun[[#This Row],[June Weight (kg)]]/(VLOOKUP(Jun[[#This Row],[Name]],Overview[],2,FALSE)/100)^2)</f>
        <v/>
      </c>
      <c r="F23" s="58" t="str">
        <f>IF(Jun[[#This Row],[Name]]="","",IF(VLOOKUP(Jun[[#This Row],[Name]],Overview[],13,FALSE)="","N/A",Jun[[#This Row],[June Weight (kg)]]-VLOOKUP(Jun[[#This Row],[Name]],Overview[],13,FALSE)))</f>
        <v/>
      </c>
      <c r="G23" s="175" t="str">
        <f>IF(Jun[[#This Row],[Name]]="","",IF(VLOOKUP(Jun[[#This Row],[Name]],Overview[],13,FALSE)="","N/A",(Jun[[#This Row],[June Weight (kg)]]-VLOOKUP(Jun[[#This Row],[Name]],Overview[],13,FALSE))/VLOOKUP(Jun[[#This Row],[Name]],Overview[],13,FALSE)))</f>
        <v/>
      </c>
      <c r="H23" s="61" t="str" cm="1">
        <f t="array" ref="H23">IF(Jun[[#This Row],[Name]]="","",IF(SUMPRODUCT((Overview[Name]=Jun[[#This Row],[Name]])*ISNUMBER(Overview[[December Weight (kg)]:[March 
Weight (kg)]]))=0,"N/A",MAX(IF((Overview[Name]=Jun[[#This Row],[Name]])*ISNUMBER(Overview[[December Weight (kg)]:[March 
Weight (kg)]]),Overview[[December Weight (kg)]:[March 
Weight (kg)]]))))</f>
        <v/>
      </c>
      <c r="I23" s="57" t="str">
        <f>IF(Jun[[#This Row],[Name]]="","",IF(NOT(ISNUMBER(Jun[[#This Row],[Highest Weight in the Past 3 - 6 Months]])),"N/A",IF(Jun[[#This Row],[June Weight (kg)]]=Jun[[#This Row],[Highest Weight in the Past 3 - 6 Months]],0,Jun[[#This Row],[June Weight (kg)]]-Jun[[#This Row],[Highest Weight in the Past 3 - 6 Months]])))</f>
        <v/>
      </c>
      <c r="J23"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3" s="130"/>
      <c r="L23" s="131"/>
      <c r="M23"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3" s="64" t="str">
        <f>IF(Jun[[#This Row],[Name]]="","",IF(Jun[[#This Row],[June MUST Score ]]=0,"Low",IF(Jun[[#This Row],[June MUST Score ]]=1,"Medium","High")))</f>
        <v/>
      </c>
      <c r="O23" s="10"/>
      <c r="P23" s="70"/>
      <c r="Q23" s="12"/>
      <c r="R23" s="17"/>
      <c r="S23" s="10"/>
      <c r="T23" s="17"/>
      <c r="U23" s="70"/>
      <c r="V23" s="11"/>
      <c r="W23" s="94"/>
      <c r="X23" s="12"/>
      <c r="Y23" s="11"/>
    </row>
    <row r="24" spans="2:25" x14ac:dyDescent="0.25">
      <c r="B24" s="12"/>
      <c r="C24" s="129"/>
      <c r="D24" s="94"/>
      <c r="E24" s="58" t="str">
        <f>IF(Jun[[#This Row],[Name]]="","",Jun[[#This Row],[June Weight (kg)]]/(VLOOKUP(Jun[[#This Row],[Name]],Overview[],2,FALSE)/100)^2)</f>
        <v/>
      </c>
      <c r="F24" s="58" t="str">
        <f>IF(Jun[[#This Row],[Name]]="","",IF(VLOOKUP(Jun[[#This Row],[Name]],Overview[],13,FALSE)="","N/A",Jun[[#This Row],[June Weight (kg)]]-VLOOKUP(Jun[[#This Row],[Name]],Overview[],13,FALSE)))</f>
        <v/>
      </c>
      <c r="G24" s="175" t="str">
        <f>IF(Jun[[#This Row],[Name]]="","",IF(VLOOKUP(Jun[[#This Row],[Name]],Overview[],13,FALSE)="","N/A",(Jun[[#This Row],[June Weight (kg)]]-VLOOKUP(Jun[[#This Row],[Name]],Overview[],13,FALSE))/VLOOKUP(Jun[[#This Row],[Name]],Overview[],13,FALSE)))</f>
        <v/>
      </c>
      <c r="H24" s="61" t="str" cm="1">
        <f t="array" ref="H24">IF(Jun[[#This Row],[Name]]="","",IF(SUMPRODUCT((Overview[Name]=Jun[[#This Row],[Name]])*ISNUMBER(Overview[[December Weight (kg)]:[March 
Weight (kg)]]))=0,"N/A",MAX(IF((Overview[Name]=Jun[[#This Row],[Name]])*ISNUMBER(Overview[[December Weight (kg)]:[March 
Weight (kg)]]),Overview[[December Weight (kg)]:[March 
Weight (kg)]]))))</f>
        <v/>
      </c>
      <c r="I24" s="57" t="str">
        <f>IF(Jun[[#This Row],[Name]]="","",IF(NOT(ISNUMBER(Jun[[#This Row],[Highest Weight in the Past 3 - 6 Months]])),"N/A",IF(Jun[[#This Row],[June Weight (kg)]]=Jun[[#This Row],[Highest Weight in the Past 3 - 6 Months]],0,Jun[[#This Row],[June Weight (kg)]]-Jun[[#This Row],[Highest Weight in the Past 3 - 6 Months]])))</f>
        <v/>
      </c>
      <c r="J24"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4" s="130"/>
      <c r="L24" s="131"/>
      <c r="M24"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4" s="64" t="str">
        <f>IF(Jun[[#This Row],[Name]]="","",IF(Jun[[#This Row],[June MUST Score ]]=0,"Low",IF(Jun[[#This Row],[June MUST Score ]]=1,"Medium","High")))</f>
        <v/>
      </c>
      <c r="O24" s="10"/>
      <c r="P24" s="70"/>
      <c r="Q24" s="12"/>
      <c r="R24" s="17"/>
      <c r="S24" s="10"/>
      <c r="T24" s="17"/>
      <c r="U24" s="70"/>
      <c r="V24" s="11"/>
      <c r="W24" s="94"/>
      <c r="X24" s="12"/>
      <c r="Y24" s="11"/>
    </row>
    <row r="25" spans="2:25" x14ac:dyDescent="0.25">
      <c r="B25" s="12"/>
      <c r="C25" s="129"/>
      <c r="D25" s="94"/>
      <c r="E25" s="58" t="str">
        <f>IF(Jun[[#This Row],[Name]]="","",Jun[[#This Row],[June Weight (kg)]]/(VLOOKUP(Jun[[#This Row],[Name]],Overview[],2,FALSE)/100)^2)</f>
        <v/>
      </c>
      <c r="F25" s="58" t="str">
        <f>IF(Jun[[#This Row],[Name]]="","",IF(VLOOKUP(Jun[[#This Row],[Name]],Overview[],13,FALSE)="","N/A",Jun[[#This Row],[June Weight (kg)]]-VLOOKUP(Jun[[#This Row],[Name]],Overview[],13,FALSE)))</f>
        <v/>
      </c>
      <c r="G25" s="175" t="str">
        <f>IF(Jun[[#This Row],[Name]]="","",IF(VLOOKUP(Jun[[#This Row],[Name]],Overview[],13,FALSE)="","N/A",(Jun[[#This Row],[June Weight (kg)]]-VLOOKUP(Jun[[#This Row],[Name]],Overview[],13,FALSE))/VLOOKUP(Jun[[#This Row],[Name]],Overview[],13,FALSE)))</f>
        <v/>
      </c>
      <c r="H25" s="61" t="str" cm="1">
        <f t="array" ref="H25">IF(Jun[[#This Row],[Name]]="","",IF(SUMPRODUCT((Overview[Name]=Jun[[#This Row],[Name]])*ISNUMBER(Overview[[December Weight (kg)]:[March 
Weight (kg)]]))=0,"N/A",MAX(IF((Overview[Name]=Jun[[#This Row],[Name]])*ISNUMBER(Overview[[December Weight (kg)]:[March 
Weight (kg)]]),Overview[[December Weight (kg)]:[March 
Weight (kg)]]))))</f>
        <v/>
      </c>
      <c r="I25" s="57" t="str">
        <f>IF(Jun[[#This Row],[Name]]="","",IF(NOT(ISNUMBER(Jun[[#This Row],[Highest Weight in the Past 3 - 6 Months]])),"N/A",IF(Jun[[#This Row],[June Weight (kg)]]=Jun[[#This Row],[Highest Weight in the Past 3 - 6 Months]],0,Jun[[#This Row],[June Weight (kg)]]-Jun[[#This Row],[Highest Weight in the Past 3 - 6 Months]])))</f>
        <v/>
      </c>
      <c r="J25"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5" s="130"/>
      <c r="L25" s="131"/>
      <c r="M25"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5" s="64" t="str">
        <f>IF(Jun[[#This Row],[Name]]="","",IF(Jun[[#This Row],[June MUST Score ]]=0,"Low",IF(Jun[[#This Row],[June MUST Score ]]=1,"Medium","High")))</f>
        <v/>
      </c>
      <c r="O25" s="10"/>
      <c r="P25" s="70"/>
      <c r="Q25" s="12"/>
      <c r="R25" s="17"/>
      <c r="S25" s="10"/>
      <c r="T25" s="17"/>
      <c r="U25" s="70"/>
      <c r="V25" s="11"/>
      <c r="W25" s="94"/>
      <c r="X25" s="12"/>
      <c r="Y25" s="11"/>
    </row>
    <row r="26" spans="2:25" x14ac:dyDescent="0.25">
      <c r="B26" s="12"/>
      <c r="C26" s="129"/>
      <c r="D26" s="94"/>
      <c r="E26" s="58" t="str">
        <f>IF(Jun[[#This Row],[Name]]="","",Jun[[#This Row],[June Weight (kg)]]/(VLOOKUP(Jun[[#This Row],[Name]],Overview[],2,FALSE)/100)^2)</f>
        <v/>
      </c>
      <c r="F26" s="58" t="str">
        <f>IF(Jun[[#This Row],[Name]]="","",IF(VLOOKUP(Jun[[#This Row],[Name]],Overview[],13,FALSE)="","N/A",Jun[[#This Row],[June Weight (kg)]]-VLOOKUP(Jun[[#This Row],[Name]],Overview[],13,FALSE)))</f>
        <v/>
      </c>
      <c r="G26" s="175" t="str">
        <f>IF(Jun[[#This Row],[Name]]="","",IF(VLOOKUP(Jun[[#This Row],[Name]],Overview[],13,FALSE)="","N/A",(Jun[[#This Row],[June Weight (kg)]]-VLOOKUP(Jun[[#This Row],[Name]],Overview[],13,FALSE))/VLOOKUP(Jun[[#This Row],[Name]],Overview[],13,FALSE)))</f>
        <v/>
      </c>
      <c r="H26" s="61" t="str" cm="1">
        <f t="array" ref="H26">IF(Jun[[#This Row],[Name]]="","",IF(SUMPRODUCT((Overview[Name]=Jun[[#This Row],[Name]])*ISNUMBER(Overview[[December Weight (kg)]:[March 
Weight (kg)]]))=0,"N/A",MAX(IF((Overview[Name]=Jun[[#This Row],[Name]])*ISNUMBER(Overview[[December Weight (kg)]:[March 
Weight (kg)]]),Overview[[December Weight (kg)]:[March 
Weight (kg)]]))))</f>
        <v/>
      </c>
      <c r="I26" s="57" t="str">
        <f>IF(Jun[[#This Row],[Name]]="","",IF(NOT(ISNUMBER(Jun[[#This Row],[Highest Weight in the Past 3 - 6 Months]])),"N/A",IF(Jun[[#This Row],[June Weight (kg)]]=Jun[[#This Row],[Highest Weight in the Past 3 - 6 Months]],0,Jun[[#This Row],[June Weight (kg)]]-Jun[[#This Row],[Highest Weight in the Past 3 - 6 Months]])))</f>
        <v/>
      </c>
      <c r="J26"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6" s="130"/>
      <c r="L26" s="131"/>
      <c r="M26"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6" s="64" t="str">
        <f>IF(Jun[[#This Row],[Name]]="","",IF(Jun[[#This Row],[June MUST Score ]]=0,"Low",IF(Jun[[#This Row],[June MUST Score ]]=1,"Medium","High")))</f>
        <v/>
      </c>
      <c r="O26" s="10"/>
      <c r="P26" s="70"/>
      <c r="Q26" s="12"/>
      <c r="R26" s="17"/>
      <c r="S26" s="10"/>
      <c r="T26" s="17"/>
      <c r="U26" s="70"/>
      <c r="V26" s="11"/>
      <c r="W26" s="94"/>
      <c r="X26" s="12"/>
      <c r="Y26" s="11"/>
    </row>
    <row r="27" spans="2:25" x14ac:dyDescent="0.25">
      <c r="B27" s="12"/>
      <c r="C27" s="129"/>
      <c r="D27" s="94"/>
      <c r="E27" s="58" t="str">
        <f>IF(Jun[[#This Row],[Name]]="","",Jun[[#This Row],[June Weight (kg)]]/(VLOOKUP(Jun[[#This Row],[Name]],Overview[],2,FALSE)/100)^2)</f>
        <v/>
      </c>
      <c r="F27" s="58" t="str">
        <f>IF(Jun[[#This Row],[Name]]="","",IF(VLOOKUP(Jun[[#This Row],[Name]],Overview[],13,FALSE)="","N/A",Jun[[#This Row],[June Weight (kg)]]-VLOOKUP(Jun[[#This Row],[Name]],Overview[],13,FALSE)))</f>
        <v/>
      </c>
      <c r="G27" s="175" t="str">
        <f>IF(Jun[[#This Row],[Name]]="","",IF(VLOOKUP(Jun[[#This Row],[Name]],Overview[],13,FALSE)="","N/A",(Jun[[#This Row],[June Weight (kg)]]-VLOOKUP(Jun[[#This Row],[Name]],Overview[],13,FALSE))/VLOOKUP(Jun[[#This Row],[Name]],Overview[],13,FALSE)))</f>
        <v/>
      </c>
      <c r="H27" s="61" t="str" cm="1">
        <f t="array" ref="H27">IF(Jun[[#This Row],[Name]]="","",IF(SUMPRODUCT((Overview[Name]=Jun[[#This Row],[Name]])*ISNUMBER(Overview[[December Weight (kg)]:[March 
Weight (kg)]]))=0,"N/A",MAX(IF((Overview[Name]=Jun[[#This Row],[Name]])*ISNUMBER(Overview[[December Weight (kg)]:[March 
Weight (kg)]]),Overview[[December Weight (kg)]:[March 
Weight (kg)]]))))</f>
        <v/>
      </c>
      <c r="I27" s="57" t="str">
        <f>IF(Jun[[#This Row],[Name]]="","",IF(NOT(ISNUMBER(Jun[[#This Row],[Highest Weight in the Past 3 - 6 Months]])),"N/A",IF(Jun[[#This Row],[June Weight (kg)]]=Jun[[#This Row],[Highest Weight in the Past 3 - 6 Months]],0,Jun[[#This Row],[June Weight (kg)]]-Jun[[#This Row],[Highest Weight in the Past 3 - 6 Months]])))</f>
        <v/>
      </c>
      <c r="J27"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7" s="130"/>
      <c r="L27" s="131"/>
      <c r="M27"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7" s="64" t="str">
        <f>IF(Jun[[#This Row],[Name]]="","",IF(Jun[[#This Row],[June MUST Score ]]=0,"Low",IF(Jun[[#This Row],[June MUST Score ]]=1,"Medium","High")))</f>
        <v/>
      </c>
      <c r="O27" s="10"/>
      <c r="P27" s="70"/>
      <c r="Q27" s="12"/>
      <c r="R27" s="17"/>
      <c r="S27" s="10"/>
      <c r="T27" s="17"/>
      <c r="U27" s="70"/>
      <c r="V27" s="11"/>
      <c r="W27" s="94"/>
      <c r="X27" s="12"/>
      <c r="Y27" s="11"/>
    </row>
    <row r="28" spans="2:25" x14ac:dyDescent="0.25">
      <c r="B28" s="12"/>
      <c r="C28" s="129"/>
      <c r="D28" s="94"/>
      <c r="E28" s="58" t="str">
        <f>IF(Jun[[#This Row],[Name]]="","",Jun[[#This Row],[June Weight (kg)]]/(VLOOKUP(Jun[[#This Row],[Name]],Overview[],2,FALSE)/100)^2)</f>
        <v/>
      </c>
      <c r="F28" s="58" t="str">
        <f>IF(Jun[[#This Row],[Name]]="","",IF(VLOOKUP(Jun[[#This Row],[Name]],Overview[],13,FALSE)="","N/A",Jun[[#This Row],[June Weight (kg)]]-VLOOKUP(Jun[[#This Row],[Name]],Overview[],13,FALSE)))</f>
        <v/>
      </c>
      <c r="G28" s="175" t="str">
        <f>IF(Jun[[#This Row],[Name]]="","",IF(VLOOKUP(Jun[[#This Row],[Name]],Overview[],13,FALSE)="","N/A",(Jun[[#This Row],[June Weight (kg)]]-VLOOKUP(Jun[[#This Row],[Name]],Overview[],13,FALSE))/VLOOKUP(Jun[[#This Row],[Name]],Overview[],13,FALSE)))</f>
        <v/>
      </c>
      <c r="H28" s="61" t="str" cm="1">
        <f t="array" ref="H28">IF(Jun[[#This Row],[Name]]="","",IF(SUMPRODUCT((Overview[Name]=Jun[[#This Row],[Name]])*ISNUMBER(Overview[[December Weight (kg)]:[March 
Weight (kg)]]))=0,"N/A",MAX(IF((Overview[Name]=Jun[[#This Row],[Name]])*ISNUMBER(Overview[[December Weight (kg)]:[March 
Weight (kg)]]),Overview[[December Weight (kg)]:[March 
Weight (kg)]]))))</f>
        <v/>
      </c>
      <c r="I28" s="57" t="str">
        <f>IF(Jun[[#This Row],[Name]]="","",IF(NOT(ISNUMBER(Jun[[#This Row],[Highest Weight in the Past 3 - 6 Months]])),"N/A",IF(Jun[[#This Row],[June Weight (kg)]]=Jun[[#This Row],[Highest Weight in the Past 3 - 6 Months]],0,Jun[[#This Row],[June Weight (kg)]]-Jun[[#This Row],[Highest Weight in the Past 3 - 6 Months]])))</f>
        <v/>
      </c>
      <c r="J28"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8" s="130"/>
      <c r="L28" s="131"/>
      <c r="M28"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8" s="64" t="str">
        <f>IF(Jun[[#This Row],[Name]]="","",IF(Jun[[#This Row],[June MUST Score ]]=0,"Low",IF(Jun[[#This Row],[June MUST Score ]]=1,"Medium","High")))</f>
        <v/>
      </c>
      <c r="O28" s="10"/>
      <c r="P28" s="70"/>
      <c r="Q28" s="12"/>
      <c r="R28" s="17"/>
      <c r="S28" s="10"/>
      <c r="T28" s="17"/>
      <c r="U28" s="70"/>
      <c r="V28" s="11"/>
      <c r="W28" s="94"/>
      <c r="X28" s="12"/>
      <c r="Y28" s="11"/>
    </row>
    <row r="29" spans="2:25" x14ac:dyDescent="0.25">
      <c r="B29" s="12"/>
      <c r="C29" s="129"/>
      <c r="D29" s="94"/>
      <c r="E29" s="58" t="str">
        <f>IF(Jun[[#This Row],[Name]]="","",Jun[[#This Row],[June Weight (kg)]]/(VLOOKUP(Jun[[#This Row],[Name]],Overview[],2,FALSE)/100)^2)</f>
        <v/>
      </c>
      <c r="F29" s="58" t="str">
        <f>IF(Jun[[#This Row],[Name]]="","",IF(VLOOKUP(Jun[[#This Row],[Name]],Overview[],13,FALSE)="","N/A",Jun[[#This Row],[June Weight (kg)]]-VLOOKUP(Jun[[#This Row],[Name]],Overview[],13,FALSE)))</f>
        <v/>
      </c>
      <c r="G29" s="175" t="str">
        <f>IF(Jun[[#This Row],[Name]]="","",IF(VLOOKUP(Jun[[#This Row],[Name]],Overview[],13,FALSE)="","N/A",(Jun[[#This Row],[June Weight (kg)]]-VLOOKUP(Jun[[#This Row],[Name]],Overview[],13,FALSE))/VLOOKUP(Jun[[#This Row],[Name]],Overview[],13,FALSE)))</f>
        <v/>
      </c>
      <c r="H29" s="61" t="str" cm="1">
        <f t="array" ref="H29">IF(Jun[[#This Row],[Name]]="","",IF(SUMPRODUCT((Overview[Name]=Jun[[#This Row],[Name]])*ISNUMBER(Overview[[December Weight (kg)]:[March 
Weight (kg)]]))=0,"N/A",MAX(IF((Overview[Name]=Jun[[#This Row],[Name]])*ISNUMBER(Overview[[December Weight (kg)]:[March 
Weight (kg)]]),Overview[[December Weight (kg)]:[March 
Weight (kg)]]))))</f>
        <v/>
      </c>
      <c r="I29" s="57" t="str">
        <f>IF(Jun[[#This Row],[Name]]="","",IF(NOT(ISNUMBER(Jun[[#This Row],[Highest Weight in the Past 3 - 6 Months]])),"N/A",IF(Jun[[#This Row],[June Weight (kg)]]=Jun[[#This Row],[Highest Weight in the Past 3 - 6 Months]],0,Jun[[#This Row],[June Weight (kg)]]-Jun[[#This Row],[Highest Weight in the Past 3 - 6 Months]])))</f>
        <v/>
      </c>
      <c r="J29"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29" s="130"/>
      <c r="L29" s="131"/>
      <c r="M29"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29" s="64" t="str">
        <f>IF(Jun[[#This Row],[Name]]="","",IF(Jun[[#This Row],[June MUST Score ]]=0,"Low",IF(Jun[[#This Row],[June MUST Score ]]=1,"Medium","High")))</f>
        <v/>
      </c>
      <c r="O29" s="10"/>
      <c r="P29" s="70"/>
      <c r="Q29" s="12"/>
      <c r="R29" s="17"/>
      <c r="S29" s="10"/>
      <c r="T29" s="17"/>
      <c r="U29" s="70"/>
      <c r="V29" s="11"/>
      <c r="W29" s="94"/>
      <c r="X29" s="12"/>
      <c r="Y29" s="11"/>
    </row>
    <row r="30" spans="2:25" x14ac:dyDescent="0.25">
      <c r="B30" s="12"/>
      <c r="C30" s="129"/>
      <c r="D30" s="94"/>
      <c r="E30" s="58" t="str">
        <f>IF(Jun[[#This Row],[Name]]="","",Jun[[#This Row],[June Weight (kg)]]/(VLOOKUP(Jun[[#This Row],[Name]],Overview[],2,FALSE)/100)^2)</f>
        <v/>
      </c>
      <c r="F30" s="58" t="str">
        <f>IF(Jun[[#This Row],[Name]]="","",IF(VLOOKUP(Jun[[#This Row],[Name]],Overview[],13,FALSE)="","N/A",Jun[[#This Row],[June Weight (kg)]]-VLOOKUP(Jun[[#This Row],[Name]],Overview[],13,FALSE)))</f>
        <v/>
      </c>
      <c r="G30" s="175" t="str">
        <f>IF(Jun[[#This Row],[Name]]="","",IF(VLOOKUP(Jun[[#This Row],[Name]],Overview[],13,FALSE)="","N/A",(Jun[[#This Row],[June Weight (kg)]]-VLOOKUP(Jun[[#This Row],[Name]],Overview[],13,FALSE))/VLOOKUP(Jun[[#This Row],[Name]],Overview[],13,FALSE)))</f>
        <v/>
      </c>
      <c r="H30" s="61" t="str" cm="1">
        <f t="array" ref="H30">IF(Jun[[#This Row],[Name]]="","",IF(SUMPRODUCT((Overview[Name]=Jun[[#This Row],[Name]])*ISNUMBER(Overview[[December Weight (kg)]:[March 
Weight (kg)]]))=0,"N/A",MAX(IF((Overview[Name]=Jun[[#This Row],[Name]])*ISNUMBER(Overview[[December Weight (kg)]:[March 
Weight (kg)]]),Overview[[December Weight (kg)]:[March 
Weight (kg)]]))))</f>
        <v/>
      </c>
      <c r="I30" s="57" t="str">
        <f>IF(Jun[[#This Row],[Name]]="","",IF(NOT(ISNUMBER(Jun[[#This Row],[Highest Weight in the Past 3 - 6 Months]])),"N/A",IF(Jun[[#This Row],[June Weight (kg)]]=Jun[[#This Row],[Highest Weight in the Past 3 - 6 Months]],0,Jun[[#This Row],[June Weight (kg)]]-Jun[[#This Row],[Highest Weight in the Past 3 - 6 Months]])))</f>
        <v/>
      </c>
      <c r="J30"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0" s="130"/>
      <c r="L30" s="131"/>
      <c r="M30"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0" s="64" t="str">
        <f>IF(Jun[[#This Row],[Name]]="","",IF(Jun[[#This Row],[June MUST Score ]]=0,"Low",IF(Jun[[#This Row],[June MUST Score ]]=1,"Medium","High")))</f>
        <v/>
      </c>
      <c r="O30" s="10"/>
      <c r="P30" s="70"/>
      <c r="Q30" s="12"/>
      <c r="R30" s="17"/>
      <c r="S30" s="10"/>
      <c r="T30" s="17"/>
      <c r="U30" s="70"/>
      <c r="V30" s="11"/>
      <c r="W30" s="94"/>
      <c r="X30" s="12"/>
      <c r="Y30" s="11"/>
    </row>
    <row r="31" spans="2:25" x14ac:dyDescent="0.25">
      <c r="B31" s="12"/>
      <c r="C31" s="129"/>
      <c r="D31" s="94"/>
      <c r="E31" s="58" t="str">
        <f>IF(Jun[[#This Row],[Name]]="","",Jun[[#This Row],[June Weight (kg)]]/(VLOOKUP(Jun[[#This Row],[Name]],Overview[],2,FALSE)/100)^2)</f>
        <v/>
      </c>
      <c r="F31" s="58" t="str">
        <f>IF(Jun[[#This Row],[Name]]="","",IF(VLOOKUP(Jun[[#This Row],[Name]],Overview[],13,FALSE)="","N/A",Jun[[#This Row],[June Weight (kg)]]-VLOOKUP(Jun[[#This Row],[Name]],Overview[],13,FALSE)))</f>
        <v/>
      </c>
      <c r="G31" s="175" t="str">
        <f>IF(Jun[[#This Row],[Name]]="","",IF(VLOOKUP(Jun[[#This Row],[Name]],Overview[],13,FALSE)="","N/A",(Jun[[#This Row],[June Weight (kg)]]-VLOOKUP(Jun[[#This Row],[Name]],Overview[],13,FALSE))/VLOOKUP(Jun[[#This Row],[Name]],Overview[],13,FALSE)))</f>
        <v/>
      </c>
      <c r="H31" s="61" t="str" cm="1">
        <f t="array" ref="H31">IF(Jun[[#This Row],[Name]]="","",IF(SUMPRODUCT((Overview[Name]=Jun[[#This Row],[Name]])*ISNUMBER(Overview[[December Weight (kg)]:[March 
Weight (kg)]]))=0,"N/A",MAX(IF((Overview[Name]=Jun[[#This Row],[Name]])*ISNUMBER(Overview[[December Weight (kg)]:[March 
Weight (kg)]]),Overview[[December Weight (kg)]:[March 
Weight (kg)]]))))</f>
        <v/>
      </c>
      <c r="I31" s="57" t="str">
        <f>IF(Jun[[#This Row],[Name]]="","",IF(NOT(ISNUMBER(Jun[[#This Row],[Highest Weight in the Past 3 - 6 Months]])),"N/A",IF(Jun[[#This Row],[June Weight (kg)]]=Jun[[#This Row],[Highest Weight in the Past 3 - 6 Months]],0,Jun[[#This Row],[June Weight (kg)]]-Jun[[#This Row],[Highest Weight in the Past 3 - 6 Months]])))</f>
        <v/>
      </c>
      <c r="J31"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1" s="130"/>
      <c r="L31" s="131"/>
      <c r="M31"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1" s="64" t="str">
        <f>IF(Jun[[#This Row],[Name]]="","",IF(Jun[[#This Row],[June MUST Score ]]=0,"Low",IF(Jun[[#This Row],[June MUST Score ]]=1,"Medium","High")))</f>
        <v/>
      </c>
      <c r="O31" s="10"/>
      <c r="P31" s="70"/>
      <c r="Q31" s="12"/>
      <c r="R31" s="17"/>
      <c r="S31" s="10"/>
      <c r="T31" s="17"/>
      <c r="U31" s="70"/>
      <c r="V31" s="11"/>
      <c r="W31" s="94"/>
      <c r="X31" s="12"/>
      <c r="Y31" s="11"/>
    </row>
    <row r="32" spans="2:25" x14ac:dyDescent="0.25">
      <c r="B32" s="12"/>
      <c r="C32" s="129"/>
      <c r="D32" s="94"/>
      <c r="E32" s="58" t="str">
        <f>IF(Jun[[#This Row],[Name]]="","",Jun[[#This Row],[June Weight (kg)]]/(VLOOKUP(Jun[[#This Row],[Name]],Overview[],2,FALSE)/100)^2)</f>
        <v/>
      </c>
      <c r="F32" s="58" t="str">
        <f>IF(Jun[[#This Row],[Name]]="","",IF(VLOOKUP(Jun[[#This Row],[Name]],Overview[],13,FALSE)="","N/A",Jun[[#This Row],[June Weight (kg)]]-VLOOKUP(Jun[[#This Row],[Name]],Overview[],13,FALSE)))</f>
        <v/>
      </c>
      <c r="G32" s="175" t="str">
        <f>IF(Jun[[#This Row],[Name]]="","",IF(VLOOKUP(Jun[[#This Row],[Name]],Overview[],13,FALSE)="","N/A",(Jun[[#This Row],[June Weight (kg)]]-VLOOKUP(Jun[[#This Row],[Name]],Overview[],13,FALSE))/VLOOKUP(Jun[[#This Row],[Name]],Overview[],13,FALSE)))</f>
        <v/>
      </c>
      <c r="H32" s="61" t="str" cm="1">
        <f t="array" ref="H32">IF(Jun[[#This Row],[Name]]="","",IF(SUMPRODUCT((Overview[Name]=Jun[[#This Row],[Name]])*ISNUMBER(Overview[[December Weight (kg)]:[March 
Weight (kg)]]))=0,"N/A",MAX(IF((Overview[Name]=Jun[[#This Row],[Name]])*ISNUMBER(Overview[[December Weight (kg)]:[March 
Weight (kg)]]),Overview[[December Weight (kg)]:[March 
Weight (kg)]]))))</f>
        <v/>
      </c>
      <c r="I32" s="57" t="str">
        <f>IF(Jun[[#This Row],[Name]]="","",IF(NOT(ISNUMBER(Jun[[#This Row],[Highest Weight in the Past 3 - 6 Months]])),"N/A",IF(Jun[[#This Row],[June Weight (kg)]]=Jun[[#This Row],[Highest Weight in the Past 3 - 6 Months]],0,Jun[[#This Row],[June Weight (kg)]]-Jun[[#This Row],[Highest Weight in the Past 3 - 6 Months]])))</f>
        <v/>
      </c>
      <c r="J32"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2" s="130"/>
      <c r="L32" s="131"/>
      <c r="M32"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2" s="64" t="str">
        <f>IF(Jun[[#This Row],[Name]]="","",IF(Jun[[#This Row],[June MUST Score ]]=0,"Low",IF(Jun[[#This Row],[June MUST Score ]]=1,"Medium","High")))</f>
        <v/>
      </c>
      <c r="O32" s="10"/>
      <c r="P32" s="70"/>
      <c r="Q32" s="12"/>
      <c r="R32" s="17"/>
      <c r="S32" s="10"/>
      <c r="T32" s="17"/>
      <c r="U32" s="70"/>
      <c r="V32" s="11"/>
      <c r="W32" s="94"/>
      <c r="X32" s="12"/>
      <c r="Y32" s="11"/>
    </row>
    <row r="33" spans="2:25" x14ac:dyDescent="0.25">
      <c r="B33" s="12"/>
      <c r="C33" s="129"/>
      <c r="D33" s="94"/>
      <c r="E33" s="58" t="str">
        <f>IF(Jun[[#This Row],[Name]]="","",Jun[[#This Row],[June Weight (kg)]]/(VLOOKUP(Jun[[#This Row],[Name]],Overview[],2,FALSE)/100)^2)</f>
        <v/>
      </c>
      <c r="F33" s="58" t="str">
        <f>IF(Jun[[#This Row],[Name]]="","",IF(VLOOKUP(Jun[[#This Row],[Name]],Overview[],13,FALSE)="","N/A",Jun[[#This Row],[June Weight (kg)]]-VLOOKUP(Jun[[#This Row],[Name]],Overview[],13,FALSE)))</f>
        <v/>
      </c>
      <c r="G33" s="175" t="str">
        <f>IF(Jun[[#This Row],[Name]]="","",IF(VLOOKUP(Jun[[#This Row],[Name]],Overview[],13,FALSE)="","N/A",(Jun[[#This Row],[June Weight (kg)]]-VLOOKUP(Jun[[#This Row],[Name]],Overview[],13,FALSE))/VLOOKUP(Jun[[#This Row],[Name]],Overview[],13,FALSE)))</f>
        <v/>
      </c>
      <c r="H33" s="61" t="str" cm="1">
        <f t="array" ref="H33">IF(Jun[[#This Row],[Name]]="","",IF(SUMPRODUCT((Overview[Name]=Jun[[#This Row],[Name]])*ISNUMBER(Overview[[December Weight (kg)]:[March 
Weight (kg)]]))=0,"N/A",MAX(IF((Overview[Name]=Jun[[#This Row],[Name]])*ISNUMBER(Overview[[December Weight (kg)]:[March 
Weight (kg)]]),Overview[[December Weight (kg)]:[March 
Weight (kg)]]))))</f>
        <v/>
      </c>
      <c r="I33" s="57" t="str">
        <f>IF(Jun[[#This Row],[Name]]="","",IF(NOT(ISNUMBER(Jun[[#This Row],[Highest Weight in the Past 3 - 6 Months]])),"N/A",IF(Jun[[#This Row],[June Weight (kg)]]=Jun[[#This Row],[Highest Weight in the Past 3 - 6 Months]],0,Jun[[#This Row],[June Weight (kg)]]-Jun[[#This Row],[Highest Weight in the Past 3 - 6 Months]])))</f>
        <v/>
      </c>
      <c r="J33"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3" s="130"/>
      <c r="L33" s="131"/>
      <c r="M33"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3" s="64" t="str">
        <f>IF(Jun[[#This Row],[Name]]="","",IF(Jun[[#This Row],[June MUST Score ]]=0,"Low",IF(Jun[[#This Row],[June MUST Score ]]=1,"Medium","High")))</f>
        <v/>
      </c>
      <c r="O33" s="10"/>
      <c r="P33" s="70"/>
      <c r="Q33" s="12"/>
      <c r="R33" s="17"/>
      <c r="S33" s="10"/>
      <c r="T33" s="17"/>
      <c r="U33" s="70"/>
      <c r="V33" s="11"/>
      <c r="W33" s="94"/>
      <c r="X33" s="12"/>
      <c r="Y33" s="11"/>
    </row>
    <row r="34" spans="2:25" x14ac:dyDescent="0.25">
      <c r="B34" s="12"/>
      <c r="C34" s="129"/>
      <c r="D34" s="94"/>
      <c r="E34" s="58" t="str">
        <f>IF(Jun[[#This Row],[Name]]="","",Jun[[#This Row],[June Weight (kg)]]/(VLOOKUP(Jun[[#This Row],[Name]],Overview[],2,FALSE)/100)^2)</f>
        <v/>
      </c>
      <c r="F34" s="58" t="str">
        <f>IF(Jun[[#This Row],[Name]]="","",IF(VLOOKUP(Jun[[#This Row],[Name]],Overview[],13,FALSE)="","N/A",Jun[[#This Row],[June Weight (kg)]]-VLOOKUP(Jun[[#This Row],[Name]],Overview[],13,FALSE)))</f>
        <v/>
      </c>
      <c r="G34" s="175" t="str">
        <f>IF(Jun[[#This Row],[Name]]="","",IF(VLOOKUP(Jun[[#This Row],[Name]],Overview[],13,FALSE)="","N/A",(Jun[[#This Row],[June Weight (kg)]]-VLOOKUP(Jun[[#This Row],[Name]],Overview[],13,FALSE))/VLOOKUP(Jun[[#This Row],[Name]],Overview[],13,FALSE)))</f>
        <v/>
      </c>
      <c r="H34" s="61" t="str" cm="1">
        <f t="array" ref="H34">IF(Jun[[#This Row],[Name]]="","",IF(SUMPRODUCT((Overview[Name]=Jun[[#This Row],[Name]])*ISNUMBER(Overview[[December Weight (kg)]:[March 
Weight (kg)]]))=0,"N/A",MAX(IF((Overview[Name]=Jun[[#This Row],[Name]])*ISNUMBER(Overview[[December Weight (kg)]:[March 
Weight (kg)]]),Overview[[December Weight (kg)]:[March 
Weight (kg)]]))))</f>
        <v/>
      </c>
      <c r="I34" s="57" t="str">
        <f>IF(Jun[[#This Row],[Name]]="","",IF(NOT(ISNUMBER(Jun[[#This Row],[Highest Weight in the Past 3 - 6 Months]])),"N/A",IF(Jun[[#This Row],[June Weight (kg)]]=Jun[[#This Row],[Highest Weight in the Past 3 - 6 Months]],0,Jun[[#This Row],[June Weight (kg)]]-Jun[[#This Row],[Highest Weight in the Past 3 - 6 Months]])))</f>
        <v/>
      </c>
      <c r="J34"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4" s="130"/>
      <c r="L34" s="131"/>
      <c r="M34"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4" s="64" t="str">
        <f>IF(Jun[[#This Row],[Name]]="","",IF(Jun[[#This Row],[June MUST Score ]]=0,"Low",IF(Jun[[#This Row],[June MUST Score ]]=1,"Medium","High")))</f>
        <v/>
      </c>
      <c r="O34" s="10"/>
      <c r="P34" s="70"/>
      <c r="Q34" s="12"/>
      <c r="R34" s="17"/>
      <c r="S34" s="10"/>
      <c r="T34" s="17"/>
      <c r="U34" s="70"/>
      <c r="V34" s="11"/>
      <c r="W34" s="94"/>
      <c r="X34" s="12"/>
      <c r="Y34" s="11"/>
    </row>
    <row r="35" spans="2:25" x14ac:dyDescent="0.25">
      <c r="B35" s="12"/>
      <c r="C35" s="129"/>
      <c r="D35" s="94"/>
      <c r="E35" s="58" t="str">
        <f>IF(Jun[[#This Row],[Name]]="","",Jun[[#This Row],[June Weight (kg)]]/(VLOOKUP(Jun[[#This Row],[Name]],Overview[],2,FALSE)/100)^2)</f>
        <v/>
      </c>
      <c r="F35" s="58" t="str">
        <f>IF(Jun[[#This Row],[Name]]="","",IF(VLOOKUP(Jun[[#This Row],[Name]],Overview[],13,FALSE)="","N/A",Jun[[#This Row],[June Weight (kg)]]-VLOOKUP(Jun[[#This Row],[Name]],Overview[],13,FALSE)))</f>
        <v/>
      </c>
      <c r="G35" s="175" t="str">
        <f>IF(Jun[[#This Row],[Name]]="","",IF(VLOOKUP(Jun[[#This Row],[Name]],Overview[],13,FALSE)="","N/A",(Jun[[#This Row],[June Weight (kg)]]-VLOOKUP(Jun[[#This Row],[Name]],Overview[],13,FALSE))/VLOOKUP(Jun[[#This Row],[Name]],Overview[],13,FALSE)))</f>
        <v/>
      </c>
      <c r="H35" s="61" t="str" cm="1">
        <f t="array" ref="H35">IF(Jun[[#This Row],[Name]]="","",IF(SUMPRODUCT((Overview[Name]=Jun[[#This Row],[Name]])*ISNUMBER(Overview[[December Weight (kg)]:[March 
Weight (kg)]]))=0,"N/A",MAX(IF((Overview[Name]=Jun[[#This Row],[Name]])*ISNUMBER(Overview[[December Weight (kg)]:[March 
Weight (kg)]]),Overview[[December Weight (kg)]:[March 
Weight (kg)]]))))</f>
        <v/>
      </c>
      <c r="I35" s="57" t="str">
        <f>IF(Jun[[#This Row],[Name]]="","",IF(NOT(ISNUMBER(Jun[[#This Row],[Highest Weight in the Past 3 - 6 Months]])),"N/A",IF(Jun[[#This Row],[June Weight (kg)]]=Jun[[#This Row],[Highest Weight in the Past 3 - 6 Months]],0,Jun[[#This Row],[June Weight (kg)]]-Jun[[#This Row],[Highest Weight in the Past 3 - 6 Months]])))</f>
        <v/>
      </c>
      <c r="J35"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5" s="130"/>
      <c r="L35" s="131"/>
      <c r="M35"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5" s="64" t="str">
        <f>IF(Jun[[#This Row],[Name]]="","",IF(Jun[[#This Row],[June MUST Score ]]=0,"Low",IF(Jun[[#This Row],[June MUST Score ]]=1,"Medium","High")))</f>
        <v/>
      </c>
      <c r="O35" s="10"/>
      <c r="P35" s="70"/>
      <c r="Q35" s="12"/>
      <c r="R35" s="17"/>
      <c r="S35" s="10"/>
      <c r="T35" s="17"/>
      <c r="U35" s="70"/>
      <c r="V35" s="11"/>
      <c r="W35" s="94"/>
      <c r="X35" s="12"/>
      <c r="Y35" s="11"/>
    </row>
    <row r="36" spans="2:25" x14ac:dyDescent="0.25">
      <c r="B36" s="12"/>
      <c r="C36" s="129"/>
      <c r="D36" s="94"/>
      <c r="E36" s="58" t="str">
        <f>IF(Jun[[#This Row],[Name]]="","",Jun[[#This Row],[June Weight (kg)]]/(VLOOKUP(Jun[[#This Row],[Name]],Overview[],2,FALSE)/100)^2)</f>
        <v/>
      </c>
      <c r="F36" s="58" t="str">
        <f>IF(Jun[[#This Row],[Name]]="","",IF(VLOOKUP(Jun[[#This Row],[Name]],Overview[],13,FALSE)="","N/A",Jun[[#This Row],[June Weight (kg)]]-VLOOKUP(Jun[[#This Row],[Name]],Overview[],13,FALSE)))</f>
        <v/>
      </c>
      <c r="G36" s="175" t="str">
        <f>IF(Jun[[#This Row],[Name]]="","",IF(VLOOKUP(Jun[[#This Row],[Name]],Overview[],13,FALSE)="","N/A",(Jun[[#This Row],[June Weight (kg)]]-VLOOKUP(Jun[[#This Row],[Name]],Overview[],13,FALSE))/VLOOKUP(Jun[[#This Row],[Name]],Overview[],13,FALSE)))</f>
        <v/>
      </c>
      <c r="H36" s="61" t="str" cm="1">
        <f t="array" ref="H36">IF(Jun[[#This Row],[Name]]="","",IF(SUMPRODUCT((Overview[Name]=Jun[[#This Row],[Name]])*ISNUMBER(Overview[[December Weight (kg)]:[March 
Weight (kg)]]))=0,"N/A",MAX(IF((Overview[Name]=Jun[[#This Row],[Name]])*ISNUMBER(Overview[[December Weight (kg)]:[March 
Weight (kg)]]),Overview[[December Weight (kg)]:[March 
Weight (kg)]]))))</f>
        <v/>
      </c>
      <c r="I36" s="57" t="str">
        <f>IF(Jun[[#This Row],[Name]]="","",IF(NOT(ISNUMBER(Jun[[#This Row],[Highest Weight in the Past 3 - 6 Months]])),"N/A",IF(Jun[[#This Row],[June Weight (kg)]]=Jun[[#This Row],[Highest Weight in the Past 3 - 6 Months]],0,Jun[[#This Row],[June Weight (kg)]]-Jun[[#This Row],[Highest Weight in the Past 3 - 6 Months]])))</f>
        <v/>
      </c>
      <c r="J36"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6" s="130"/>
      <c r="L36" s="131"/>
      <c r="M36"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6" s="64" t="str">
        <f>IF(Jun[[#This Row],[Name]]="","",IF(Jun[[#This Row],[June MUST Score ]]=0,"Low",IF(Jun[[#This Row],[June MUST Score ]]=1,"Medium","High")))</f>
        <v/>
      </c>
      <c r="O36" s="10"/>
      <c r="P36" s="70"/>
      <c r="Q36" s="12"/>
      <c r="R36" s="17"/>
      <c r="S36" s="10"/>
      <c r="T36" s="17"/>
      <c r="U36" s="70"/>
      <c r="V36" s="11"/>
      <c r="W36" s="94"/>
      <c r="X36" s="12"/>
      <c r="Y36" s="11"/>
    </row>
    <row r="37" spans="2:25" x14ac:dyDescent="0.25">
      <c r="B37" s="12"/>
      <c r="C37" s="129"/>
      <c r="D37" s="94"/>
      <c r="E37" s="58" t="str">
        <f>IF(Jun[[#This Row],[Name]]="","",Jun[[#This Row],[June Weight (kg)]]/(VLOOKUP(Jun[[#This Row],[Name]],Overview[],2,FALSE)/100)^2)</f>
        <v/>
      </c>
      <c r="F37" s="58" t="str">
        <f>IF(Jun[[#This Row],[Name]]="","",IF(VLOOKUP(Jun[[#This Row],[Name]],Overview[],13,FALSE)="","N/A",Jun[[#This Row],[June Weight (kg)]]-VLOOKUP(Jun[[#This Row],[Name]],Overview[],13,FALSE)))</f>
        <v/>
      </c>
      <c r="G37" s="175" t="str">
        <f>IF(Jun[[#This Row],[Name]]="","",IF(VLOOKUP(Jun[[#This Row],[Name]],Overview[],13,FALSE)="","N/A",(Jun[[#This Row],[June Weight (kg)]]-VLOOKUP(Jun[[#This Row],[Name]],Overview[],13,FALSE))/VLOOKUP(Jun[[#This Row],[Name]],Overview[],13,FALSE)))</f>
        <v/>
      </c>
      <c r="H37" s="61" t="str" cm="1">
        <f t="array" ref="H37">IF(Jun[[#This Row],[Name]]="","",IF(SUMPRODUCT((Overview[Name]=Jun[[#This Row],[Name]])*ISNUMBER(Overview[[December Weight (kg)]:[March 
Weight (kg)]]))=0,"N/A",MAX(IF((Overview[Name]=Jun[[#This Row],[Name]])*ISNUMBER(Overview[[December Weight (kg)]:[March 
Weight (kg)]]),Overview[[December Weight (kg)]:[March 
Weight (kg)]]))))</f>
        <v/>
      </c>
      <c r="I37" s="57" t="str">
        <f>IF(Jun[[#This Row],[Name]]="","",IF(NOT(ISNUMBER(Jun[[#This Row],[Highest Weight in the Past 3 - 6 Months]])),"N/A",IF(Jun[[#This Row],[June Weight (kg)]]=Jun[[#This Row],[Highest Weight in the Past 3 - 6 Months]],0,Jun[[#This Row],[June Weight (kg)]]-Jun[[#This Row],[Highest Weight in the Past 3 - 6 Months]])))</f>
        <v/>
      </c>
      <c r="J37"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7" s="130"/>
      <c r="L37" s="131"/>
      <c r="M37"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7" s="64" t="str">
        <f>IF(Jun[[#This Row],[Name]]="","",IF(Jun[[#This Row],[June MUST Score ]]=0,"Low",IF(Jun[[#This Row],[June MUST Score ]]=1,"Medium","High")))</f>
        <v/>
      </c>
      <c r="O37" s="10"/>
      <c r="P37" s="70"/>
      <c r="Q37" s="12"/>
      <c r="R37" s="17"/>
      <c r="S37" s="10"/>
      <c r="T37" s="17"/>
      <c r="U37" s="70"/>
      <c r="V37" s="11"/>
      <c r="W37" s="94"/>
      <c r="X37" s="12"/>
      <c r="Y37" s="11"/>
    </row>
    <row r="38" spans="2:25" x14ac:dyDescent="0.25">
      <c r="B38" s="12"/>
      <c r="C38" s="129"/>
      <c r="D38" s="94"/>
      <c r="E38" s="58" t="str">
        <f>IF(Jun[[#This Row],[Name]]="","",Jun[[#This Row],[June Weight (kg)]]/(VLOOKUP(Jun[[#This Row],[Name]],Overview[],2,FALSE)/100)^2)</f>
        <v/>
      </c>
      <c r="F38" s="58" t="str">
        <f>IF(Jun[[#This Row],[Name]]="","",IF(VLOOKUP(Jun[[#This Row],[Name]],Overview[],13,FALSE)="","N/A",Jun[[#This Row],[June Weight (kg)]]-VLOOKUP(Jun[[#This Row],[Name]],Overview[],13,FALSE)))</f>
        <v/>
      </c>
      <c r="G38" s="175" t="str">
        <f>IF(Jun[[#This Row],[Name]]="","",IF(VLOOKUP(Jun[[#This Row],[Name]],Overview[],13,FALSE)="","N/A",(Jun[[#This Row],[June Weight (kg)]]-VLOOKUP(Jun[[#This Row],[Name]],Overview[],13,FALSE))/VLOOKUP(Jun[[#This Row],[Name]],Overview[],13,FALSE)))</f>
        <v/>
      </c>
      <c r="H38" s="61" t="str" cm="1">
        <f t="array" ref="H38">IF(Jun[[#This Row],[Name]]="","",IF(SUMPRODUCT((Overview[Name]=Jun[[#This Row],[Name]])*ISNUMBER(Overview[[December Weight (kg)]:[March 
Weight (kg)]]))=0,"N/A",MAX(IF((Overview[Name]=Jun[[#This Row],[Name]])*ISNUMBER(Overview[[December Weight (kg)]:[March 
Weight (kg)]]),Overview[[December Weight (kg)]:[March 
Weight (kg)]]))))</f>
        <v/>
      </c>
      <c r="I38" s="57" t="str">
        <f>IF(Jun[[#This Row],[Name]]="","",IF(NOT(ISNUMBER(Jun[[#This Row],[Highest Weight in the Past 3 - 6 Months]])),"N/A",IF(Jun[[#This Row],[June Weight (kg)]]=Jun[[#This Row],[Highest Weight in the Past 3 - 6 Months]],0,Jun[[#This Row],[June Weight (kg)]]-Jun[[#This Row],[Highest Weight in the Past 3 - 6 Months]])))</f>
        <v/>
      </c>
      <c r="J38"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8" s="130"/>
      <c r="L38" s="131"/>
      <c r="M38"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8" s="64" t="str">
        <f>IF(Jun[[#This Row],[Name]]="","",IF(Jun[[#This Row],[June MUST Score ]]=0,"Low",IF(Jun[[#This Row],[June MUST Score ]]=1,"Medium","High")))</f>
        <v/>
      </c>
      <c r="O38" s="10"/>
      <c r="P38" s="70"/>
      <c r="Q38" s="12"/>
      <c r="R38" s="17"/>
      <c r="S38" s="10"/>
      <c r="T38" s="17"/>
      <c r="U38" s="70"/>
      <c r="V38" s="11"/>
      <c r="W38" s="94"/>
      <c r="X38" s="12"/>
      <c r="Y38" s="11"/>
    </row>
    <row r="39" spans="2:25" x14ac:dyDescent="0.25">
      <c r="B39" s="12"/>
      <c r="C39" s="129"/>
      <c r="D39" s="94"/>
      <c r="E39" s="58" t="str">
        <f>IF(Jun[[#This Row],[Name]]="","",Jun[[#This Row],[June Weight (kg)]]/(VLOOKUP(Jun[[#This Row],[Name]],Overview[],2,FALSE)/100)^2)</f>
        <v/>
      </c>
      <c r="F39" s="58" t="str">
        <f>IF(Jun[[#This Row],[Name]]="","",IF(VLOOKUP(Jun[[#This Row],[Name]],Overview[],13,FALSE)="","N/A",Jun[[#This Row],[June Weight (kg)]]-VLOOKUP(Jun[[#This Row],[Name]],Overview[],13,FALSE)))</f>
        <v/>
      </c>
      <c r="G39" s="175" t="str">
        <f>IF(Jun[[#This Row],[Name]]="","",IF(VLOOKUP(Jun[[#This Row],[Name]],Overview[],13,FALSE)="","N/A",(Jun[[#This Row],[June Weight (kg)]]-VLOOKUP(Jun[[#This Row],[Name]],Overview[],13,FALSE))/VLOOKUP(Jun[[#This Row],[Name]],Overview[],13,FALSE)))</f>
        <v/>
      </c>
      <c r="H39" s="61" t="str" cm="1">
        <f t="array" ref="H39">IF(Jun[[#This Row],[Name]]="","",IF(SUMPRODUCT((Overview[Name]=Jun[[#This Row],[Name]])*ISNUMBER(Overview[[December Weight (kg)]:[March 
Weight (kg)]]))=0,"N/A",MAX(IF((Overview[Name]=Jun[[#This Row],[Name]])*ISNUMBER(Overview[[December Weight (kg)]:[March 
Weight (kg)]]),Overview[[December Weight (kg)]:[March 
Weight (kg)]]))))</f>
        <v/>
      </c>
      <c r="I39" s="57" t="str">
        <f>IF(Jun[[#This Row],[Name]]="","",IF(NOT(ISNUMBER(Jun[[#This Row],[Highest Weight in the Past 3 - 6 Months]])),"N/A",IF(Jun[[#This Row],[June Weight (kg)]]=Jun[[#This Row],[Highest Weight in the Past 3 - 6 Months]],0,Jun[[#This Row],[June Weight (kg)]]-Jun[[#This Row],[Highest Weight in the Past 3 - 6 Months]])))</f>
        <v/>
      </c>
      <c r="J39"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39" s="130"/>
      <c r="L39" s="131"/>
      <c r="M39"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39" s="64" t="str">
        <f>IF(Jun[[#This Row],[Name]]="","",IF(Jun[[#This Row],[June MUST Score ]]=0,"Low",IF(Jun[[#This Row],[June MUST Score ]]=1,"Medium","High")))</f>
        <v/>
      </c>
      <c r="O39" s="10"/>
      <c r="P39" s="70"/>
      <c r="Q39" s="12"/>
      <c r="R39" s="17"/>
      <c r="S39" s="10"/>
      <c r="T39" s="17"/>
      <c r="U39" s="70"/>
      <c r="V39" s="11"/>
      <c r="W39" s="94"/>
      <c r="X39" s="12"/>
      <c r="Y39" s="11"/>
    </row>
    <row r="40" spans="2:25" x14ac:dyDescent="0.25">
      <c r="B40" s="12"/>
      <c r="C40" s="129"/>
      <c r="D40" s="94"/>
      <c r="E40" s="58" t="str">
        <f>IF(Jun[[#This Row],[Name]]="","",Jun[[#This Row],[June Weight (kg)]]/(VLOOKUP(Jun[[#This Row],[Name]],Overview[],2,FALSE)/100)^2)</f>
        <v/>
      </c>
      <c r="F40" s="58" t="str">
        <f>IF(Jun[[#This Row],[Name]]="","",IF(VLOOKUP(Jun[[#This Row],[Name]],Overview[],13,FALSE)="","N/A",Jun[[#This Row],[June Weight (kg)]]-VLOOKUP(Jun[[#This Row],[Name]],Overview[],13,FALSE)))</f>
        <v/>
      </c>
      <c r="G40" s="175" t="str">
        <f>IF(Jun[[#This Row],[Name]]="","",IF(VLOOKUP(Jun[[#This Row],[Name]],Overview[],13,FALSE)="","N/A",(Jun[[#This Row],[June Weight (kg)]]-VLOOKUP(Jun[[#This Row],[Name]],Overview[],13,FALSE))/VLOOKUP(Jun[[#This Row],[Name]],Overview[],13,FALSE)))</f>
        <v/>
      </c>
      <c r="H40" s="61" t="str" cm="1">
        <f t="array" ref="H40">IF(Jun[[#This Row],[Name]]="","",IF(SUMPRODUCT((Overview[Name]=Jun[[#This Row],[Name]])*ISNUMBER(Overview[[December Weight (kg)]:[March 
Weight (kg)]]))=0,"N/A",MAX(IF((Overview[Name]=Jun[[#This Row],[Name]])*ISNUMBER(Overview[[December Weight (kg)]:[March 
Weight (kg)]]),Overview[[December Weight (kg)]:[March 
Weight (kg)]]))))</f>
        <v/>
      </c>
      <c r="I40" s="57" t="str">
        <f>IF(Jun[[#This Row],[Name]]="","",IF(NOT(ISNUMBER(Jun[[#This Row],[Highest Weight in the Past 3 - 6 Months]])),"N/A",IF(Jun[[#This Row],[June Weight (kg)]]=Jun[[#This Row],[Highest Weight in the Past 3 - 6 Months]],0,Jun[[#This Row],[June Weight (kg)]]-Jun[[#This Row],[Highest Weight in the Past 3 - 6 Months]])))</f>
        <v/>
      </c>
      <c r="J40"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40" s="130"/>
      <c r="L40" s="131"/>
      <c r="M40"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40" s="64" t="str">
        <f>IF(Jun[[#This Row],[Name]]="","",IF(Jun[[#This Row],[June MUST Score ]]=0,"Low",IF(Jun[[#This Row],[June MUST Score ]]=1,"Medium","High")))</f>
        <v/>
      </c>
      <c r="O40" s="10"/>
      <c r="P40" s="70"/>
      <c r="Q40" s="12"/>
      <c r="R40" s="17"/>
      <c r="S40" s="10"/>
      <c r="T40" s="17"/>
      <c r="U40" s="70"/>
      <c r="V40" s="11"/>
      <c r="W40" s="94"/>
      <c r="X40" s="12"/>
      <c r="Y40" s="11"/>
    </row>
    <row r="41" spans="2:25" x14ac:dyDescent="0.25">
      <c r="B41" s="12"/>
      <c r="C41" s="129"/>
      <c r="D41" s="94"/>
      <c r="E41" s="58" t="str">
        <f>IF(Jun[[#This Row],[Name]]="","",Jun[[#This Row],[June Weight (kg)]]/(VLOOKUP(Jun[[#This Row],[Name]],Overview[],2,FALSE)/100)^2)</f>
        <v/>
      </c>
      <c r="F41" s="58" t="str">
        <f>IF(Jun[[#This Row],[Name]]="","",IF(VLOOKUP(Jun[[#This Row],[Name]],Overview[],13,FALSE)="","N/A",Jun[[#This Row],[June Weight (kg)]]-VLOOKUP(Jun[[#This Row],[Name]],Overview[],13,FALSE)))</f>
        <v/>
      </c>
      <c r="G41" s="175" t="str">
        <f>IF(Jun[[#This Row],[Name]]="","",IF(VLOOKUP(Jun[[#This Row],[Name]],Overview[],13,FALSE)="","N/A",(Jun[[#This Row],[June Weight (kg)]]-VLOOKUP(Jun[[#This Row],[Name]],Overview[],13,FALSE))/VLOOKUP(Jun[[#This Row],[Name]],Overview[],13,FALSE)))</f>
        <v/>
      </c>
      <c r="H41" s="61" t="str" cm="1">
        <f t="array" ref="H41">IF(Jun[[#This Row],[Name]]="","",IF(SUMPRODUCT((Overview[Name]=Jun[[#This Row],[Name]])*ISNUMBER(Overview[[December Weight (kg)]:[March 
Weight (kg)]]))=0,"N/A",MAX(IF((Overview[Name]=Jun[[#This Row],[Name]])*ISNUMBER(Overview[[December Weight (kg)]:[March 
Weight (kg)]]),Overview[[December Weight (kg)]:[March 
Weight (kg)]]))))</f>
        <v/>
      </c>
      <c r="I41" s="57" t="str">
        <f>IF(Jun[[#This Row],[Name]]="","",IF(NOT(ISNUMBER(Jun[[#This Row],[Highest Weight in the Past 3 - 6 Months]])),"N/A",IF(Jun[[#This Row],[June Weight (kg)]]=Jun[[#This Row],[Highest Weight in the Past 3 - 6 Months]],0,Jun[[#This Row],[June Weight (kg)]]-Jun[[#This Row],[Highest Weight in the Past 3 - 6 Months]])))</f>
        <v/>
      </c>
      <c r="J41"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41" s="130"/>
      <c r="L41" s="131"/>
      <c r="M41" s="76"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41" s="64" t="str">
        <f>IF(Jun[[#This Row],[Name]]="","",IF(Jun[[#This Row],[June MUST Score ]]=0,"Low",IF(Jun[[#This Row],[June MUST Score ]]=1,"Medium","High")))</f>
        <v/>
      </c>
      <c r="O41" s="10"/>
      <c r="P41" s="70"/>
      <c r="Q41" s="12"/>
      <c r="R41" s="17"/>
      <c r="S41" s="10"/>
      <c r="T41" s="17"/>
      <c r="U41" s="70"/>
      <c r="V41" s="11"/>
      <c r="W41" s="94"/>
      <c r="X41" s="12"/>
      <c r="Y41" s="11"/>
    </row>
    <row r="42" spans="2:25" ht="15.75" thickBot="1" x14ac:dyDescent="0.3">
      <c r="B42" s="18"/>
      <c r="C42" s="132"/>
      <c r="D42" s="95"/>
      <c r="E42" s="60" t="str">
        <f>IF(Jun[[#This Row],[Name]]="","",Jun[[#This Row],[June Weight (kg)]]/(VLOOKUP(Jun[[#This Row],[Name]],Overview[],2,FALSE)/100)^2)</f>
        <v/>
      </c>
      <c r="F42" s="60" t="str">
        <f>IF(Jun[[#This Row],[Name]]="","",IF(VLOOKUP(Jun[[#This Row],[Name]],Overview[],13,FALSE)="","N/A",Jun[[#This Row],[June Weight (kg)]]-VLOOKUP(Jun[[#This Row],[Name]],Overview[],13,FALSE)))</f>
        <v/>
      </c>
      <c r="G42" s="176" t="str">
        <f>IF(Jun[[#This Row],[Name]]="","",IF(VLOOKUP(Jun[[#This Row],[Name]],Overview[],13,FALSE)="","N/A",(Jun[[#This Row],[June Weight (kg)]]-VLOOKUP(Jun[[#This Row],[Name]],Overview[],13,FALSE))/VLOOKUP(Jun[[#This Row],[Name]],Overview[],13,FALSE)))</f>
        <v/>
      </c>
      <c r="H42" s="61" t="str" cm="1">
        <f t="array" ref="H42">IF(Jun[[#This Row],[Name]]="","",IF(SUMPRODUCT((Overview[Name]=Jun[[#This Row],[Name]])*ISNUMBER(Overview[[December Weight (kg)]:[March 
Weight (kg)]]))=0,"N/A",MAX(IF((Overview[Name]=Jun[[#This Row],[Name]])*ISNUMBER(Overview[[December Weight (kg)]:[March 
Weight (kg)]]),Overview[[December Weight (kg)]:[March 
Weight (kg)]]))))</f>
        <v/>
      </c>
      <c r="I42" s="57" t="str">
        <f>IF(Jun[[#This Row],[Name]]="","",IF(NOT(ISNUMBER(Jun[[#This Row],[Highest Weight in the Past 3 - 6 Months]])),"N/A",IF(Jun[[#This Row],[June Weight (kg)]]=Jun[[#This Row],[Highest Weight in the Past 3 - 6 Months]],0,Jun[[#This Row],[June Weight (kg)]]-Jun[[#This Row],[Highest Weight in the Past 3 - 6 Months]])))</f>
        <v/>
      </c>
      <c r="J42" s="173" t="str">
        <f>IF(Jun[[#This Row],[Name]]="","",IF(OR(Jun[[#This Row],[Highest Weight in the Past 3 - 6 Months]]="",Jun[[#This Row],[Highest Weight in the Past 3 - 6 Months]]="N/A"),"N/A",IFERROR(Jun[[#This Row],[Weight (kg) Difference from Highest Weight in Past 3 - 6 Months (Current Month - Highest Month)]]/Jun[[#This Row],[Highest Weight in the Past 3 - 6 Months]],"N/A")))</f>
        <v/>
      </c>
      <c r="K42" s="133"/>
      <c r="L42" s="134"/>
      <c r="M42" s="77" t="str">
        <f>IF(Jun[[#This Row],[Name]]="","",IFERROR(IF(Jun[[#This Row],[June BMI (kg/m2)]]&gt;20,0,IF(Jun[[#This Row],[June BMI (kg/m2)]]&gt;=18.5,1,2))+IF(Jun[[#This Row],[If Weight has been lost, is this Planned? (Yes/No)]]="Yes",0,IF(Jun[[#This Row],[Weight (kg) Difference from Highest Weight in 3 - 6 months as %]]&gt;-0.05,0,IF(Jun[[#This Row],[Weight (kg) Difference from Highest Weight in 3 - 6 months as %]]&gt;=-0.1,1,2))),""))</f>
        <v/>
      </c>
      <c r="N42" s="64" t="str">
        <f>IF(Jun[[#This Row],[Name]]="","",IF(Jun[[#This Row],[June MUST Score ]]=0,"Low",IF(Jun[[#This Row],[June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55" priority="6" operator="greaterThanOrEqual">
      <formula>2</formula>
    </cfRule>
    <cfRule type="cellIs" dxfId="54" priority="7" operator="equal">
      <formula>1</formula>
    </cfRule>
    <cfRule type="cellIs" dxfId="53" priority="8" operator="equal">
      <formula>0</formula>
    </cfRule>
  </conditionalFormatting>
  <conditionalFormatting sqref="N8:N42">
    <cfRule type="containsText" dxfId="52" priority="2" operator="containsText" text="High">
      <formula>NOT(ISERROR(SEARCH("High",N8)))</formula>
    </cfRule>
    <cfRule type="containsText" dxfId="51" priority="3" operator="containsText" text="Medium">
      <formula>NOT(ISERROR(SEARCH("Medium",N8)))</formula>
    </cfRule>
    <cfRule type="containsText" dxfId="50" priority="4" operator="containsText" text="Low">
      <formula>NOT(ISERROR(SEARCH("Low",N8)))</formula>
    </cfRule>
  </conditionalFormatting>
  <conditionalFormatting sqref="W8:X42">
    <cfRule type="containsText" dxfId="49"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62E6126B-BF56-4265-B7E7-2F78E1169388}">
          <x14:formula1>
            <xm:f>Validation!$A$33:$A$37</xm:f>
          </x14:formula1>
          <xm:sqref>V8:V42</xm:sqref>
        </x14:dataValidation>
        <x14:dataValidation type="list" allowBlank="1" showInputMessage="1" showErrorMessage="1" xr:uid="{5847DB14-6B39-488A-AEB1-06B78C5BDDC0}">
          <x14:formula1>
            <xm:f>Validation!$A$27:$A$31</xm:f>
          </x14:formula1>
          <xm:sqref>U8:U42</xm:sqref>
        </x14:dataValidation>
        <x14:dataValidation type="list" allowBlank="1" showInputMessage="1" showErrorMessage="1" xr:uid="{CC9B0ABA-4CE7-4FD5-B8DF-2D061337851A}">
          <x14:formula1>
            <xm:f>'Weight Overview'!$B$4:$B$38</xm:f>
          </x14:formula1>
          <xm:sqref>B8:B42</xm:sqref>
        </x14:dataValidation>
        <x14:dataValidation type="list" allowBlank="1" showInputMessage="1" showErrorMessage="1" xr:uid="{58ED0D2E-C066-4F04-9E32-1A9046BAD9D9}">
          <x14:formula1>
            <xm:f>Validation!$A$2:$A$3</xm:f>
          </x14:formula1>
          <xm:sqref>O8:O42 K8:L42 W8:W42 Q8:Q42 S8:S42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3B11-D22B-4019-987B-6EB0ECB1B60C}">
  <sheetPr>
    <tabColor theme="9"/>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89" t="s">
        <v>1</v>
      </c>
      <c r="C4" s="90" t="s">
        <v>12</v>
      </c>
      <c r="D4" s="87" t="s">
        <v>2</v>
      </c>
      <c r="E4" s="88" t="s">
        <v>3</v>
      </c>
      <c r="Y4" s="62"/>
      <c r="Z4" s="2"/>
    </row>
    <row r="5" spans="2:26" ht="15.75" thickBot="1" x14ac:dyDescent="0.3">
      <c r="B5" s="74"/>
      <c r="C5" s="73"/>
      <c r="D5" s="73"/>
      <c r="E5" s="65"/>
      <c r="P5" s="81"/>
      <c r="W5" s="74"/>
      <c r="X5" s="62"/>
      <c r="Y5" s="62"/>
      <c r="Z5" s="2"/>
    </row>
    <row r="6" spans="2:26" ht="15.75" thickBot="1" x14ac:dyDescent="0.3">
      <c r="C6" s="309" t="s">
        <v>85</v>
      </c>
      <c r="D6" s="310"/>
      <c r="E6" s="310"/>
      <c r="F6" s="310"/>
      <c r="G6" s="311"/>
      <c r="H6" s="304" t="s">
        <v>68</v>
      </c>
      <c r="I6" s="305"/>
      <c r="J6" s="305"/>
      <c r="K6" s="306"/>
      <c r="L6" s="309" t="s">
        <v>69</v>
      </c>
      <c r="M6" s="310"/>
      <c r="N6" s="311"/>
      <c r="O6" s="304" t="s">
        <v>83</v>
      </c>
      <c r="P6" s="305"/>
      <c r="Q6" s="305"/>
      <c r="R6" s="305"/>
      <c r="S6" s="309" t="s">
        <v>84</v>
      </c>
      <c r="T6" s="310"/>
      <c r="U6" s="310"/>
      <c r="V6" s="311"/>
      <c r="Y6" s="63"/>
    </row>
    <row r="7" spans="2:26" ht="105.75" thickBot="1" x14ac:dyDescent="0.3">
      <c r="B7" s="59" t="s">
        <v>0</v>
      </c>
      <c r="C7" s="3" t="s">
        <v>98</v>
      </c>
      <c r="D7" s="6" t="s">
        <v>140</v>
      </c>
      <c r="E7" s="4" t="s">
        <v>141</v>
      </c>
      <c r="F7" s="4" t="s">
        <v>142</v>
      </c>
      <c r="G7" s="5" t="s">
        <v>143</v>
      </c>
      <c r="H7" s="71" t="s">
        <v>72</v>
      </c>
      <c r="I7" s="72" t="s">
        <v>70</v>
      </c>
      <c r="J7" s="67" t="s">
        <v>71</v>
      </c>
      <c r="K7" s="80" t="s">
        <v>64</v>
      </c>
      <c r="L7" s="85" t="s">
        <v>67</v>
      </c>
      <c r="M7" s="79" t="s">
        <v>144</v>
      </c>
      <c r="N7" s="84" t="s">
        <v>145</v>
      </c>
      <c r="O7" s="71" t="s">
        <v>65</v>
      </c>
      <c r="P7" s="68" t="s">
        <v>66</v>
      </c>
      <c r="Q7" s="92" t="s">
        <v>88</v>
      </c>
      <c r="R7" s="67" t="s">
        <v>86</v>
      </c>
      <c r="S7" s="78" t="s">
        <v>89</v>
      </c>
      <c r="T7" s="83" t="s">
        <v>87</v>
      </c>
      <c r="U7" s="83" t="s">
        <v>90</v>
      </c>
      <c r="V7" s="96" t="s">
        <v>91</v>
      </c>
      <c r="W7" s="68" t="s">
        <v>63</v>
      </c>
      <c r="X7" s="67" t="s">
        <v>59</v>
      </c>
      <c r="Y7" s="80" t="s">
        <v>18</v>
      </c>
    </row>
    <row r="8" spans="2:26" x14ac:dyDescent="0.25">
      <c r="B8" s="20"/>
      <c r="C8" s="125"/>
      <c r="D8" s="126"/>
      <c r="E8" s="57" t="str">
        <f>IF(Jul[[#This Row],[Name]]="","",Jul[[#This Row],[July Weight (kg)]]/(VLOOKUP(Jul[[#This Row],[Name]],Overview[],2,FALSE)/100)^2)</f>
        <v/>
      </c>
      <c r="F8" s="57" t="str">
        <f>IF(Jul[[#This Row],[Name]]="","",IF(VLOOKUP(Jul[[#This Row],[Name]],Overview[],14,FALSE)="","N/A",Jul[[#This Row],[July Weight (kg)]]-VLOOKUP(Jun[[#This Row],[Name]],Overview[],14,FALSE)))</f>
        <v/>
      </c>
      <c r="G8" s="174" t="str">
        <f>IF(Jul[[#This Row],[Name]]="","",IF(VLOOKUP(Jul[[#This Row],[Name]],Overview[],14,FALSE)="","N/A",(Jul[[#This Row],[July Weight (kg)]]-VLOOKUP(Jul[[#This Row],[Name]],Overview[],14,FALSE))/VLOOKUP(Jul[[#This Row],[Name]],Overview[],14,FALSE)))</f>
        <v/>
      </c>
      <c r="H8" s="61" t="str" cm="1">
        <f t="array" ref="H8">IF(Jul[[#This Row],[Name]]="","",IF(SUMPRODUCT((Overview[Name]=Jul[[#This Row],[Name]])*ISNUMBER(Overview[[January 
Weight (kg)]:[April 
Weight (kg)]]))=0,"N/A",MAX(IF((Overview[Name]=Jul[[#This Row],[Name]])*ISNUMBER(Overview[[January 
Weight (kg)]:[April 
Weight (kg)]]),Overview[[January 
Weight (kg)]:[April 
Weight (kg)]]))))</f>
        <v/>
      </c>
      <c r="I8" s="57" t="str">
        <f>IF(Jul[[#This Row],[Name]]="","",IF(NOT(ISNUMBER(Jul[[#This Row],[Highest Weight in the Past 3 - 6 Months]])),"N/A",IF(Jul[[#This Row],[July Weight (kg)]]=Jul[[#This Row],[Highest Weight in the Past 3 - 6 Months]],0,Jul[[#This Row],[July Weight (kg)]]-Jul[[#This Row],[Highest Weight in the Past 3 - 6 Months]])))</f>
        <v/>
      </c>
      <c r="J8"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8" s="127"/>
      <c r="L8" s="128"/>
      <c r="M8" s="75"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8" s="64" t="str">
        <f>IF(Jul[[#This Row],[Name]]="","",IF(Jul[[#This Row],[July MUST Score ]]=0,"Low",IF(Jul[[#This Row],[July MUST Score ]]=1,"Medium","High")))</f>
        <v/>
      </c>
      <c r="O8" s="7"/>
      <c r="P8" s="69"/>
      <c r="Q8" s="20"/>
      <c r="R8" s="22"/>
      <c r="S8" s="44"/>
      <c r="T8" s="16"/>
      <c r="U8" s="69"/>
      <c r="V8" s="8"/>
      <c r="W8" s="93"/>
      <c r="X8" s="9"/>
      <c r="Y8" s="8"/>
    </row>
    <row r="9" spans="2:26" x14ac:dyDescent="0.25">
      <c r="B9" s="12"/>
      <c r="C9" s="129"/>
      <c r="D9" s="94"/>
      <c r="E9" s="58" t="str">
        <f>IF(Jul[[#This Row],[Name]]="","",Jul[[#This Row],[July Weight (kg)]]/(VLOOKUP(Jul[[#This Row],[Name]],Overview[],2,FALSE)/100)^2)</f>
        <v/>
      </c>
      <c r="F9" s="58" t="str">
        <f>IF(Jul[[#This Row],[Name]]="","",IF(VLOOKUP(Jul[[#This Row],[Name]],Overview[],14,FALSE)="","N/A",Jul[[#This Row],[July Weight (kg)]]-VLOOKUP(Jun[[#This Row],[Name]],Overview[],14,FALSE)))</f>
        <v/>
      </c>
      <c r="G9" s="175" t="str">
        <f>IF(Jul[[#This Row],[Name]]="","",IF(VLOOKUP(Jul[[#This Row],[Name]],Overview[],14,FALSE)="","N/A",(Jul[[#This Row],[July Weight (kg)]]-VLOOKUP(Jul[[#This Row],[Name]],Overview[],14,FALSE))/VLOOKUP(Jul[[#This Row],[Name]],Overview[],14,FALSE)))</f>
        <v/>
      </c>
      <c r="H9" s="61" t="str" cm="1">
        <f t="array" ref="H9">IF(Jul[[#This Row],[Name]]="","",IF(SUMPRODUCT((Overview[Name]=Jul[[#This Row],[Name]])*ISNUMBER(Overview[[January 
Weight (kg)]:[April 
Weight (kg)]]))=0,"N/A",MAX(IF((Overview[Name]=Jul[[#This Row],[Name]])*ISNUMBER(Overview[[January 
Weight (kg)]:[April 
Weight (kg)]]),Overview[[January 
Weight (kg)]:[April 
Weight (kg)]]))))</f>
        <v/>
      </c>
      <c r="I9" s="57" t="str">
        <f>IF(Jul[[#This Row],[Name]]="","",IF(NOT(ISNUMBER(Jul[[#This Row],[Highest Weight in the Past 3 - 6 Months]])),"N/A",IF(Jul[[#This Row],[July Weight (kg)]]=Jul[[#This Row],[Highest Weight in the Past 3 - 6 Months]],0,Jul[[#This Row],[July Weight (kg)]]-Jul[[#This Row],[Highest Weight in the Past 3 - 6 Months]])))</f>
        <v/>
      </c>
      <c r="J9"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9" s="130"/>
      <c r="L9" s="131"/>
      <c r="M9"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9" s="64" t="str">
        <f>IF(Jul[[#This Row],[Name]]="","",IF(Jul[[#This Row],[July MUST Score ]]=0,"Low",IF(Jul[[#This Row],[July MUST Score ]]=1,"Medium","High")))</f>
        <v/>
      </c>
      <c r="O9" s="44"/>
      <c r="P9" s="66"/>
      <c r="Q9" s="20"/>
      <c r="R9" s="17"/>
      <c r="S9" s="44"/>
      <c r="T9" s="22"/>
      <c r="U9" s="66"/>
      <c r="V9" s="21"/>
      <c r="W9" s="94"/>
      <c r="X9" s="12"/>
      <c r="Y9" s="11"/>
    </row>
    <row r="10" spans="2:26" x14ac:dyDescent="0.25">
      <c r="B10" s="12"/>
      <c r="C10" s="129"/>
      <c r="D10" s="94"/>
      <c r="E10" s="58" t="str">
        <f>IF(Jul[[#This Row],[Name]]="","",Jul[[#This Row],[July Weight (kg)]]/(VLOOKUP(Jul[[#This Row],[Name]],Overview[],2,FALSE)/100)^2)</f>
        <v/>
      </c>
      <c r="F10" s="58" t="str">
        <f>IF(Jul[[#This Row],[Name]]="","",IF(VLOOKUP(Jul[[#This Row],[Name]],Overview[],14,FALSE)="","N/A",Jul[[#This Row],[July Weight (kg)]]-VLOOKUP(Jun[[#This Row],[Name]],Overview[],14,FALSE)))</f>
        <v/>
      </c>
      <c r="G10" s="175" t="str">
        <f>IF(Jul[[#This Row],[Name]]="","",IF(VLOOKUP(Jul[[#This Row],[Name]],Overview[],14,FALSE)="","N/A",(Jul[[#This Row],[July Weight (kg)]]-VLOOKUP(Jul[[#This Row],[Name]],Overview[],14,FALSE))/VLOOKUP(Jul[[#This Row],[Name]],Overview[],14,FALSE)))</f>
        <v/>
      </c>
      <c r="H10" s="61" t="str" cm="1">
        <f t="array" ref="H10">IF(Jul[[#This Row],[Name]]="","",IF(SUMPRODUCT((Overview[Name]=Jul[[#This Row],[Name]])*ISNUMBER(Overview[[January 
Weight (kg)]:[April 
Weight (kg)]]))=0,"N/A",MAX(IF((Overview[Name]=Jul[[#This Row],[Name]])*ISNUMBER(Overview[[January 
Weight (kg)]:[April 
Weight (kg)]]),Overview[[January 
Weight (kg)]:[April 
Weight (kg)]]))))</f>
        <v/>
      </c>
      <c r="I10" s="57" t="str">
        <f>IF(Jul[[#This Row],[Name]]="","",IF(NOT(ISNUMBER(Jul[[#This Row],[Highest Weight in the Past 3 - 6 Months]])),"N/A",IF(Jul[[#This Row],[July Weight (kg)]]=Jul[[#This Row],[Highest Weight in the Past 3 - 6 Months]],0,Jul[[#This Row],[July Weight (kg)]]-Jul[[#This Row],[Highest Weight in the Past 3 - 6 Months]])))</f>
        <v/>
      </c>
      <c r="J10"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0" s="130"/>
      <c r="L10" s="131"/>
      <c r="M10"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0" s="64" t="str">
        <f>IF(Jul[[#This Row],[Name]]="","",IF(Jul[[#This Row],[July MUST Score ]]=0,"Low",IF(Jul[[#This Row],[July MUST Score ]]=1,"Medium","High")))</f>
        <v/>
      </c>
      <c r="O10" s="10"/>
      <c r="P10" s="70"/>
      <c r="Q10" s="12"/>
      <c r="R10" s="17"/>
      <c r="S10" s="10"/>
      <c r="T10" s="17"/>
      <c r="U10" s="70"/>
      <c r="V10" s="11"/>
      <c r="W10" s="94"/>
      <c r="X10" s="12"/>
      <c r="Y10" s="11"/>
    </row>
    <row r="11" spans="2:26" x14ac:dyDescent="0.25">
      <c r="B11" s="12"/>
      <c r="C11" s="129"/>
      <c r="D11" s="94"/>
      <c r="E11" s="58" t="str">
        <f>IF(Jul[[#This Row],[Name]]="","",Jul[[#This Row],[July Weight (kg)]]/(VLOOKUP(Jul[[#This Row],[Name]],Overview[],2,FALSE)/100)^2)</f>
        <v/>
      </c>
      <c r="F11" s="58" t="str">
        <f>IF(Jul[[#This Row],[Name]]="","",IF(VLOOKUP(Jul[[#This Row],[Name]],Overview[],14,FALSE)="","N/A",Jul[[#This Row],[July Weight (kg)]]-VLOOKUP(Jun[[#This Row],[Name]],Overview[],14,FALSE)))</f>
        <v/>
      </c>
      <c r="G11" s="175" t="str">
        <f>IF(Jul[[#This Row],[Name]]="","",IF(VLOOKUP(Jul[[#This Row],[Name]],Overview[],14,FALSE)="","N/A",(Jul[[#This Row],[July Weight (kg)]]-VLOOKUP(Jul[[#This Row],[Name]],Overview[],14,FALSE))/VLOOKUP(Jul[[#This Row],[Name]],Overview[],14,FALSE)))</f>
        <v/>
      </c>
      <c r="H11" s="61" t="str" cm="1">
        <f t="array" ref="H11">IF(Jul[[#This Row],[Name]]="","",IF(SUMPRODUCT((Overview[Name]=Jul[[#This Row],[Name]])*ISNUMBER(Overview[[January 
Weight (kg)]:[April 
Weight (kg)]]))=0,"N/A",MAX(IF((Overview[Name]=Jul[[#This Row],[Name]])*ISNUMBER(Overview[[January 
Weight (kg)]:[April 
Weight (kg)]]),Overview[[January 
Weight (kg)]:[April 
Weight (kg)]]))))</f>
        <v/>
      </c>
      <c r="I11" s="57" t="str">
        <f>IF(Jul[[#This Row],[Name]]="","",IF(NOT(ISNUMBER(Jul[[#This Row],[Highest Weight in the Past 3 - 6 Months]])),"N/A",IF(Jul[[#This Row],[July Weight (kg)]]=Jul[[#This Row],[Highest Weight in the Past 3 - 6 Months]],0,Jul[[#This Row],[July Weight (kg)]]-Jul[[#This Row],[Highest Weight in the Past 3 - 6 Months]])))</f>
        <v/>
      </c>
      <c r="J11"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1" s="130"/>
      <c r="L11" s="131"/>
      <c r="M11"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1" s="64" t="str">
        <f>IF(Jul[[#This Row],[Name]]="","",IF(Jul[[#This Row],[July MUST Score ]]=0,"Low",IF(Jul[[#This Row],[July MUST Score ]]=1,"Medium","High")))</f>
        <v/>
      </c>
      <c r="O11" s="10"/>
      <c r="P11" s="70"/>
      <c r="Q11" s="12"/>
      <c r="R11" s="17"/>
      <c r="S11" s="10"/>
      <c r="T11" s="17"/>
      <c r="U11" s="70"/>
      <c r="V11" s="11"/>
      <c r="W11" s="94"/>
      <c r="X11" s="12"/>
      <c r="Y11" s="11"/>
    </row>
    <row r="12" spans="2:26" x14ac:dyDescent="0.25">
      <c r="B12" s="12"/>
      <c r="C12" s="129"/>
      <c r="D12" s="94"/>
      <c r="E12" s="58" t="str">
        <f>IF(Jul[[#This Row],[Name]]="","",Jul[[#This Row],[July Weight (kg)]]/(VLOOKUP(Jul[[#This Row],[Name]],Overview[],2,FALSE)/100)^2)</f>
        <v/>
      </c>
      <c r="F12" s="58" t="str">
        <f>IF(Jul[[#This Row],[Name]]="","",IF(VLOOKUP(Jul[[#This Row],[Name]],Overview[],14,FALSE)="","N/A",Jul[[#This Row],[July Weight (kg)]]-VLOOKUP(Jun[[#This Row],[Name]],Overview[],14,FALSE)))</f>
        <v/>
      </c>
      <c r="G12" s="175" t="str">
        <f>IF(Jul[[#This Row],[Name]]="","",IF(VLOOKUP(Jul[[#This Row],[Name]],Overview[],14,FALSE)="","N/A",(Jul[[#This Row],[July Weight (kg)]]-VLOOKUP(Jul[[#This Row],[Name]],Overview[],14,FALSE))/VLOOKUP(Jul[[#This Row],[Name]],Overview[],14,FALSE)))</f>
        <v/>
      </c>
      <c r="H12" s="61" t="str" cm="1">
        <f t="array" ref="H12">IF(Jul[[#This Row],[Name]]="","",IF(SUMPRODUCT((Overview[Name]=Jul[[#This Row],[Name]])*ISNUMBER(Overview[[January 
Weight (kg)]:[April 
Weight (kg)]]))=0,"N/A",MAX(IF((Overview[Name]=Jul[[#This Row],[Name]])*ISNUMBER(Overview[[January 
Weight (kg)]:[April 
Weight (kg)]]),Overview[[January 
Weight (kg)]:[April 
Weight (kg)]]))))</f>
        <v/>
      </c>
      <c r="I12" s="57" t="str">
        <f>IF(Jul[[#This Row],[Name]]="","",IF(NOT(ISNUMBER(Jul[[#This Row],[Highest Weight in the Past 3 - 6 Months]])),"N/A",IF(Jul[[#This Row],[July Weight (kg)]]=Jul[[#This Row],[Highest Weight in the Past 3 - 6 Months]],0,Jul[[#This Row],[July Weight (kg)]]-Jul[[#This Row],[Highest Weight in the Past 3 - 6 Months]])))</f>
        <v/>
      </c>
      <c r="J12"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2" s="130"/>
      <c r="L12" s="131"/>
      <c r="M12"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2" s="64" t="str">
        <f>IF(Jul[[#This Row],[Name]]="","",IF(Jul[[#This Row],[July MUST Score ]]=0,"Low",IF(Jul[[#This Row],[July MUST Score ]]=1,"Medium","High")))</f>
        <v/>
      </c>
      <c r="O12" s="10"/>
      <c r="P12" s="70"/>
      <c r="Q12" s="12"/>
      <c r="R12" s="17"/>
      <c r="S12" s="10"/>
      <c r="T12" s="17"/>
      <c r="U12" s="70"/>
      <c r="V12" s="11"/>
      <c r="W12" s="94"/>
      <c r="X12" s="12"/>
      <c r="Y12" s="11"/>
    </row>
    <row r="13" spans="2:26" x14ac:dyDescent="0.25">
      <c r="B13" s="12"/>
      <c r="C13" s="129"/>
      <c r="D13" s="94"/>
      <c r="E13" s="58" t="str">
        <f>IF(Jul[[#This Row],[Name]]="","",Jul[[#This Row],[July Weight (kg)]]/(VLOOKUP(Jul[[#This Row],[Name]],Overview[],2,FALSE)/100)^2)</f>
        <v/>
      </c>
      <c r="F13" s="58" t="str">
        <f>IF(Jul[[#This Row],[Name]]="","",IF(VLOOKUP(Jul[[#This Row],[Name]],Overview[],14,FALSE)="","N/A",Jul[[#This Row],[July Weight (kg)]]-VLOOKUP(Jun[[#This Row],[Name]],Overview[],14,FALSE)))</f>
        <v/>
      </c>
      <c r="G13" s="175" t="str">
        <f>IF(Jul[[#This Row],[Name]]="","",IF(VLOOKUP(Jul[[#This Row],[Name]],Overview[],14,FALSE)="","N/A",(Jul[[#This Row],[July Weight (kg)]]-VLOOKUP(Jul[[#This Row],[Name]],Overview[],14,FALSE))/VLOOKUP(Jul[[#This Row],[Name]],Overview[],14,FALSE)))</f>
        <v/>
      </c>
      <c r="H13" s="61" t="str" cm="1">
        <f t="array" ref="H13">IF(Jul[[#This Row],[Name]]="","",IF(SUMPRODUCT((Overview[Name]=Jul[[#This Row],[Name]])*ISNUMBER(Overview[[January 
Weight (kg)]:[April 
Weight (kg)]]))=0,"N/A",MAX(IF((Overview[Name]=Jul[[#This Row],[Name]])*ISNUMBER(Overview[[January 
Weight (kg)]:[April 
Weight (kg)]]),Overview[[January 
Weight (kg)]:[April 
Weight (kg)]]))))</f>
        <v/>
      </c>
      <c r="I13" s="57" t="str">
        <f>IF(Jul[[#This Row],[Name]]="","",IF(NOT(ISNUMBER(Jul[[#This Row],[Highest Weight in the Past 3 - 6 Months]])),"N/A",IF(Jul[[#This Row],[July Weight (kg)]]=Jul[[#This Row],[Highest Weight in the Past 3 - 6 Months]],0,Jul[[#This Row],[July Weight (kg)]]-Jul[[#This Row],[Highest Weight in the Past 3 - 6 Months]])))</f>
        <v/>
      </c>
      <c r="J13"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3" s="130"/>
      <c r="L13" s="131"/>
      <c r="M13"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3" s="64" t="str">
        <f>IF(Jul[[#This Row],[Name]]="","",IF(Jul[[#This Row],[July MUST Score ]]=0,"Low",IF(Jul[[#This Row],[July MUST Score ]]=1,"Medium","High")))</f>
        <v/>
      </c>
      <c r="O13" s="10"/>
      <c r="P13" s="70"/>
      <c r="Q13" s="12"/>
      <c r="R13" s="17"/>
      <c r="S13" s="10"/>
      <c r="T13" s="17"/>
      <c r="U13" s="70"/>
      <c r="V13" s="11"/>
      <c r="W13" s="94"/>
      <c r="X13" s="12"/>
      <c r="Y13" s="11"/>
    </row>
    <row r="14" spans="2:26" x14ac:dyDescent="0.25">
      <c r="B14" s="12"/>
      <c r="C14" s="129"/>
      <c r="D14" s="94"/>
      <c r="E14" s="58" t="str">
        <f>IF(Jul[[#This Row],[Name]]="","",Jul[[#This Row],[July Weight (kg)]]/(VLOOKUP(Jul[[#This Row],[Name]],Overview[],2,FALSE)/100)^2)</f>
        <v/>
      </c>
      <c r="F14" s="58" t="str">
        <f>IF(Jul[[#This Row],[Name]]="","",IF(VLOOKUP(Jul[[#This Row],[Name]],Overview[],14,FALSE)="","N/A",Jul[[#This Row],[July Weight (kg)]]-VLOOKUP(Jun[[#This Row],[Name]],Overview[],14,FALSE)))</f>
        <v/>
      </c>
      <c r="G14" s="175" t="str">
        <f>IF(Jul[[#This Row],[Name]]="","",IF(VLOOKUP(Jul[[#This Row],[Name]],Overview[],14,FALSE)="","N/A",(Jul[[#This Row],[July Weight (kg)]]-VLOOKUP(Jul[[#This Row],[Name]],Overview[],14,FALSE))/VLOOKUP(Jul[[#This Row],[Name]],Overview[],14,FALSE)))</f>
        <v/>
      </c>
      <c r="H14" s="61" t="str" cm="1">
        <f t="array" ref="H14">IF(Jul[[#This Row],[Name]]="","",IF(SUMPRODUCT((Overview[Name]=Jul[[#This Row],[Name]])*ISNUMBER(Overview[[January 
Weight (kg)]:[April 
Weight (kg)]]))=0,"N/A",MAX(IF((Overview[Name]=Jul[[#This Row],[Name]])*ISNUMBER(Overview[[January 
Weight (kg)]:[April 
Weight (kg)]]),Overview[[January 
Weight (kg)]:[April 
Weight (kg)]]))))</f>
        <v/>
      </c>
      <c r="I14" s="57" t="str">
        <f>IF(Jul[[#This Row],[Name]]="","",IF(NOT(ISNUMBER(Jul[[#This Row],[Highest Weight in the Past 3 - 6 Months]])),"N/A",IF(Jul[[#This Row],[July Weight (kg)]]=Jul[[#This Row],[Highest Weight in the Past 3 - 6 Months]],0,Jul[[#This Row],[July Weight (kg)]]-Jul[[#This Row],[Highest Weight in the Past 3 - 6 Months]])))</f>
        <v/>
      </c>
      <c r="J14"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4" s="130"/>
      <c r="L14" s="131"/>
      <c r="M14"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4" s="64" t="str">
        <f>IF(Jul[[#This Row],[Name]]="","",IF(Jul[[#This Row],[July MUST Score ]]=0,"Low",IF(Jul[[#This Row],[July MUST Score ]]=1,"Medium","High")))</f>
        <v/>
      </c>
      <c r="O14" s="10"/>
      <c r="P14" s="70"/>
      <c r="Q14" s="12"/>
      <c r="R14" s="17"/>
      <c r="S14" s="10"/>
      <c r="T14" s="17"/>
      <c r="U14" s="70"/>
      <c r="V14" s="11"/>
      <c r="W14" s="94"/>
      <c r="X14" s="12"/>
      <c r="Y14" s="11"/>
    </row>
    <row r="15" spans="2:26" x14ac:dyDescent="0.25">
      <c r="B15" s="12"/>
      <c r="C15" s="129"/>
      <c r="D15" s="94"/>
      <c r="E15" s="58" t="str">
        <f>IF(Jul[[#This Row],[Name]]="","",Jul[[#This Row],[July Weight (kg)]]/(VLOOKUP(Jul[[#This Row],[Name]],Overview[],2,FALSE)/100)^2)</f>
        <v/>
      </c>
      <c r="F15" s="58" t="str">
        <f>IF(Jul[[#This Row],[Name]]="","",IF(VLOOKUP(Jul[[#This Row],[Name]],Overview[],14,FALSE)="","N/A",Jul[[#This Row],[July Weight (kg)]]-VLOOKUP(Jun[[#This Row],[Name]],Overview[],14,FALSE)))</f>
        <v/>
      </c>
      <c r="G15" s="175" t="str">
        <f>IF(Jul[[#This Row],[Name]]="","",IF(VLOOKUP(Jul[[#This Row],[Name]],Overview[],14,FALSE)="","N/A",(Jul[[#This Row],[July Weight (kg)]]-VLOOKUP(Jul[[#This Row],[Name]],Overview[],14,FALSE))/VLOOKUP(Jul[[#This Row],[Name]],Overview[],14,FALSE)))</f>
        <v/>
      </c>
      <c r="H15" s="61" t="str" cm="1">
        <f t="array" ref="H15">IF(Jul[[#This Row],[Name]]="","",IF(SUMPRODUCT((Overview[Name]=Jul[[#This Row],[Name]])*ISNUMBER(Overview[[January 
Weight (kg)]:[April 
Weight (kg)]]))=0,"N/A",MAX(IF((Overview[Name]=Jul[[#This Row],[Name]])*ISNUMBER(Overview[[January 
Weight (kg)]:[April 
Weight (kg)]]),Overview[[January 
Weight (kg)]:[April 
Weight (kg)]]))))</f>
        <v/>
      </c>
      <c r="I15" s="57" t="str">
        <f>IF(Jul[[#This Row],[Name]]="","",IF(NOT(ISNUMBER(Jul[[#This Row],[Highest Weight in the Past 3 - 6 Months]])),"N/A",IF(Jul[[#This Row],[July Weight (kg)]]=Jul[[#This Row],[Highest Weight in the Past 3 - 6 Months]],0,Jul[[#This Row],[July Weight (kg)]]-Jul[[#This Row],[Highest Weight in the Past 3 - 6 Months]])))</f>
        <v/>
      </c>
      <c r="J15"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5" s="130"/>
      <c r="L15" s="131"/>
      <c r="M15"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5" s="64" t="str">
        <f>IF(Jul[[#This Row],[Name]]="","",IF(Jul[[#This Row],[July MUST Score ]]=0,"Low",IF(Jul[[#This Row],[July MUST Score ]]=1,"Medium","High")))</f>
        <v/>
      </c>
      <c r="O15" s="10"/>
      <c r="P15" s="70"/>
      <c r="Q15" s="12"/>
      <c r="R15" s="17"/>
      <c r="S15" s="10"/>
      <c r="T15" s="17"/>
      <c r="U15" s="70"/>
      <c r="V15" s="11"/>
      <c r="W15" s="94"/>
      <c r="X15" s="12"/>
      <c r="Y15" s="11"/>
    </row>
    <row r="16" spans="2:26" x14ac:dyDescent="0.25">
      <c r="B16" s="12"/>
      <c r="C16" s="129"/>
      <c r="D16" s="94"/>
      <c r="E16" s="58" t="str">
        <f>IF(Jul[[#This Row],[Name]]="","",Jul[[#This Row],[July Weight (kg)]]/(VLOOKUP(Jul[[#This Row],[Name]],Overview[],2,FALSE)/100)^2)</f>
        <v/>
      </c>
      <c r="F16" s="58" t="str">
        <f>IF(Jul[[#This Row],[Name]]="","",IF(VLOOKUP(Jul[[#This Row],[Name]],Overview[],14,FALSE)="","N/A",Jul[[#This Row],[July Weight (kg)]]-VLOOKUP(Jun[[#This Row],[Name]],Overview[],14,FALSE)))</f>
        <v/>
      </c>
      <c r="G16" s="175" t="str">
        <f>IF(Jul[[#This Row],[Name]]="","",IF(VLOOKUP(Jul[[#This Row],[Name]],Overview[],14,FALSE)="","N/A",(Jul[[#This Row],[July Weight (kg)]]-VLOOKUP(Jul[[#This Row],[Name]],Overview[],14,FALSE))/VLOOKUP(Jul[[#This Row],[Name]],Overview[],14,FALSE)))</f>
        <v/>
      </c>
      <c r="H16" s="61" t="str" cm="1">
        <f t="array" ref="H16">IF(Jul[[#This Row],[Name]]="","",IF(SUMPRODUCT((Overview[Name]=Jul[[#This Row],[Name]])*ISNUMBER(Overview[[January 
Weight (kg)]:[April 
Weight (kg)]]))=0,"N/A",MAX(IF((Overview[Name]=Jul[[#This Row],[Name]])*ISNUMBER(Overview[[January 
Weight (kg)]:[April 
Weight (kg)]]),Overview[[January 
Weight (kg)]:[April 
Weight (kg)]]))))</f>
        <v/>
      </c>
      <c r="I16" s="57" t="str">
        <f>IF(Jul[[#This Row],[Name]]="","",IF(NOT(ISNUMBER(Jul[[#This Row],[Highest Weight in the Past 3 - 6 Months]])),"N/A",IF(Jul[[#This Row],[July Weight (kg)]]=Jul[[#This Row],[Highest Weight in the Past 3 - 6 Months]],0,Jul[[#This Row],[July Weight (kg)]]-Jul[[#This Row],[Highest Weight in the Past 3 - 6 Months]])))</f>
        <v/>
      </c>
      <c r="J16"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6" s="130"/>
      <c r="L16" s="131"/>
      <c r="M16"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6" s="64" t="str">
        <f>IF(Jul[[#This Row],[Name]]="","",IF(Jul[[#This Row],[July MUST Score ]]=0,"Low",IF(Jul[[#This Row],[July MUST Score ]]=1,"Medium","High")))</f>
        <v/>
      </c>
      <c r="O16" s="10"/>
      <c r="P16" s="70"/>
      <c r="Q16" s="12"/>
      <c r="R16" s="17"/>
      <c r="S16" s="10"/>
      <c r="T16" s="17"/>
      <c r="U16" s="70"/>
      <c r="V16" s="11"/>
      <c r="W16" s="94"/>
      <c r="X16" s="12"/>
      <c r="Y16" s="11"/>
    </row>
    <row r="17" spans="2:25" x14ac:dyDescent="0.25">
      <c r="B17" s="12"/>
      <c r="C17" s="129"/>
      <c r="D17" s="94"/>
      <c r="E17" s="58" t="str">
        <f>IF(Jul[[#This Row],[Name]]="","",Jul[[#This Row],[July Weight (kg)]]/(VLOOKUP(Jul[[#This Row],[Name]],Overview[],2,FALSE)/100)^2)</f>
        <v/>
      </c>
      <c r="F17" s="58" t="str">
        <f>IF(Jul[[#This Row],[Name]]="","",IF(VLOOKUP(Jul[[#This Row],[Name]],Overview[],14,FALSE)="","N/A",Jul[[#This Row],[July Weight (kg)]]-VLOOKUP(Jun[[#This Row],[Name]],Overview[],14,FALSE)))</f>
        <v/>
      </c>
      <c r="G17" s="175" t="str">
        <f>IF(Jul[[#This Row],[Name]]="","",IF(VLOOKUP(Jul[[#This Row],[Name]],Overview[],14,FALSE)="","N/A",(Jul[[#This Row],[July Weight (kg)]]-VLOOKUP(Jul[[#This Row],[Name]],Overview[],14,FALSE))/VLOOKUP(Jul[[#This Row],[Name]],Overview[],14,FALSE)))</f>
        <v/>
      </c>
      <c r="H17" s="61" t="str" cm="1">
        <f t="array" ref="H17">IF(Jul[[#This Row],[Name]]="","",IF(SUMPRODUCT((Overview[Name]=Jul[[#This Row],[Name]])*ISNUMBER(Overview[[January 
Weight (kg)]:[April 
Weight (kg)]]))=0,"N/A",MAX(IF((Overview[Name]=Jul[[#This Row],[Name]])*ISNUMBER(Overview[[January 
Weight (kg)]:[April 
Weight (kg)]]),Overview[[January 
Weight (kg)]:[April 
Weight (kg)]]))))</f>
        <v/>
      </c>
      <c r="I17" s="57" t="str">
        <f>IF(Jul[[#This Row],[Name]]="","",IF(NOT(ISNUMBER(Jul[[#This Row],[Highest Weight in the Past 3 - 6 Months]])),"N/A",IF(Jul[[#This Row],[July Weight (kg)]]=Jul[[#This Row],[Highest Weight in the Past 3 - 6 Months]],0,Jul[[#This Row],[July Weight (kg)]]-Jul[[#This Row],[Highest Weight in the Past 3 - 6 Months]])))</f>
        <v/>
      </c>
      <c r="J17"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7" s="130"/>
      <c r="L17" s="131"/>
      <c r="M17"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7" s="64" t="str">
        <f>IF(Jul[[#This Row],[Name]]="","",IF(Jul[[#This Row],[July MUST Score ]]=0,"Low",IF(Jul[[#This Row],[July MUST Score ]]=1,"Medium","High")))</f>
        <v/>
      </c>
      <c r="O17" s="10"/>
      <c r="P17" s="70"/>
      <c r="Q17" s="12"/>
      <c r="R17" s="17"/>
      <c r="S17" s="10"/>
      <c r="T17" s="17"/>
      <c r="U17" s="70"/>
      <c r="V17" s="11"/>
      <c r="W17" s="94"/>
      <c r="X17" s="12"/>
      <c r="Y17" s="11"/>
    </row>
    <row r="18" spans="2:25" x14ac:dyDescent="0.25">
      <c r="B18" s="12"/>
      <c r="C18" s="129"/>
      <c r="D18" s="94"/>
      <c r="E18" s="58" t="str">
        <f>IF(Jul[[#This Row],[Name]]="","",Jul[[#This Row],[July Weight (kg)]]/(VLOOKUP(Jul[[#This Row],[Name]],Overview[],2,FALSE)/100)^2)</f>
        <v/>
      </c>
      <c r="F18" s="58" t="str">
        <f>IF(Jul[[#This Row],[Name]]="","",IF(VLOOKUP(Jul[[#This Row],[Name]],Overview[],14,FALSE)="","N/A",Jul[[#This Row],[July Weight (kg)]]-VLOOKUP(Jun[[#This Row],[Name]],Overview[],14,FALSE)))</f>
        <v/>
      </c>
      <c r="G18" s="175" t="str">
        <f>IF(Jul[[#This Row],[Name]]="","",IF(VLOOKUP(Jul[[#This Row],[Name]],Overview[],14,FALSE)="","N/A",(Jul[[#This Row],[July Weight (kg)]]-VLOOKUP(Jul[[#This Row],[Name]],Overview[],14,FALSE))/VLOOKUP(Jul[[#This Row],[Name]],Overview[],14,FALSE)))</f>
        <v/>
      </c>
      <c r="H18" s="61" t="str" cm="1">
        <f t="array" ref="H18">IF(Jul[[#This Row],[Name]]="","",IF(SUMPRODUCT((Overview[Name]=Jul[[#This Row],[Name]])*ISNUMBER(Overview[[January 
Weight (kg)]:[April 
Weight (kg)]]))=0,"N/A",MAX(IF((Overview[Name]=Jul[[#This Row],[Name]])*ISNUMBER(Overview[[January 
Weight (kg)]:[April 
Weight (kg)]]),Overview[[January 
Weight (kg)]:[April 
Weight (kg)]]))))</f>
        <v/>
      </c>
      <c r="I18" s="57" t="str">
        <f>IF(Jul[[#This Row],[Name]]="","",IF(NOT(ISNUMBER(Jul[[#This Row],[Highest Weight in the Past 3 - 6 Months]])),"N/A",IF(Jul[[#This Row],[July Weight (kg)]]=Jul[[#This Row],[Highest Weight in the Past 3 - 6 Months]],0,Jul[[#This Row],[July Weight (kg)]]-Jul[[#This Row],[Highest Weight in the Past 3 - 6 Months]])))</f>
        <v/>
      </c>
      <c r="J18"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8" s="130"/>
      <c r="L18" s="131"/>
      <c r="M18"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8" s="64" t="str">
        <f>IF(Jul[[#This Row],[Name]]="","",IF(Jul[[#This Row],[July MUST Score ]]=0,"Low",IF(Jul[[#This Row],[July MUST Score ]]=1,"Medium","High")))</f>
        <v/>
      </c>
      <c r="O18" s="10"/>
      <c r="P18" s="70"/>
      <c r="Q18" s="12"/>
      <c r="R18" s="17"/>
      <c r="S18" s="10"/>
      <c r="T18" s="17"/>
      <c r="U18" s="70"/>
      <c r="V18" s="11"/>
      <c r="W18" s="94"/>
      <c r="X18" s="12"/>
      <c r="Y18" s="11"/>
    </row>
    <row r="19" spans="2:25" x14ac:dyDescent="0.25">
      <c r="B19" s="12"/>
      <c r="C19" s="129"/>
      <c r="D19" s="94"/>
      <c r="E19" s="58" t="str">
        <f>IF(Jul[[#This Row],[Name]]="","",Jul[[#This Row],[July Weight (kg)]]/(VLOOKUP(Jul[[#This Row],[Name]],Overview[],2,FALSE)/100)^2)</f>
        <v/>
      </c>
      <c r="F19" s="58" t="str">
        <f>IF(Jul[[#This Row],[Name]]="","",IF(VLOOKUP(Jul[[#This Row],[Name]],Overview[],14,FALSE)="","N/A",Jul[[#This Row],[July Weight (kg)]]-VLOOKUP(Jun[[#This Row],[Name]],Overview[],14,FALSE)))</f>
        <v/>
      </c>
      <c r="G19" s="175" t="str">
        <f>IF(Jul[[#This Row],[Name]]="","",IF(VLOOKUP(Jul[[#This Row],[Name]],Overview[],14,FALSE)="","N/A",(Jul[[#This Row],[July Weight (kg)]]-VLOOKUP(Jul[[#This Row],[Name]],Overview[],14,FALSE))/VLOOKUP(Jul[[#This Row],[Name]],Overview[],14,FALSE)))</f>
        <v/>
      </c>
      <c r="H19" s="61" t="str" cm="1">
        <f t="array" ref="H19">IF(Jul[[#This Row],[Name]]="","",IF(SUMPRODUCT((Overview[Name]=Jul[[#This Row],[Name]])*ISNUMBER(Overview[[January 
Weight (kg)]:[April 
Weight (kg)]]))=0,"N/A",MAX(IF((Overview[Name]=Jul[[#This Row],[Name]])*ISNUMBER(Overview[[January 
Weight (kg)]:[April 
Weight (kg)]]),Overview[[January 
Weight (kg)]:[April 
Weight (kg)]]))))</f>
        <v/>
      </c>
      <c r="I19" s="57" t="str">
        <f>IF(Jul[[#This Row],[Name]]="","",IF(NOT(ISNUMBER(Jul[[#This Row],[Highest Weight in the Past 3 - 6 Months]])),"N/A",IF(Jul[[#This Row],[July Weight (kg)]]=Jul[[#This Row],[Highest Weight in the Past 3 - 6 Months]],0,Jul[[#This Row],[July Weight (kg)]]-Jul[[#This Row],[Highest Weight in the Past 3 - 6 Months]])))</f>
        <v/>
      </c>
      <c r="J19"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19" s="130"/>
      <c r="L19" s="131"/>
      <c r="M19"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19" s="64" t="str">
        <f>IF(Jul[[#This Row],[Name]]="","",IF(Jul[[#This Row],[July MUST Score ]]=0,"Low",IF(Jul[[#This Row],[July MUST Score ]]=1,"Medium","High")))</f>
        <v/>
      </c>
      <c r="O19" s="10"/>
      <c r="P19" s="70"/>
      <c r="Q19" s="12"/>
      <c r="R19" s="17"/>
      <c r="S19" s="10"/>
      <c r="T19" s="17"/>
      <c r="U19" s="70"/>
      <c r="V19" s="11"/>
      <c r="W19" s="94"/>
      <c r="X19" s="12"/>
      <c r="Y19" s="11"/>
    </row>
    <row r="20" spans="2:25" x14ac:dyDescent="0.25">
      <c r="B20" s="12"/>
      <c r="C20" s="129"/>
      <c r="D20" s="94"/>
      <c r="E20" s="58" t="str">
        <f>IF(Jul[[#This Row],[Name]]="","",Jul[[#This Row],[July Weight (kg)]]/(VLOOKUP(Jul[[#This Row],[Name]],Overview[],2,FALSE)/100)^2)</f>
        <v/>
      </c>
      <c r="F20" s="58" t="str">
        <f>IF(Jul[[#This Row],[Name]]="","",IF(VLOOKUP(Jul[[#This Row],[Name]],Overview[],14,FALSE)="","N/A",Jul[[#This Row],[July Weight (kg)]]-VLOOKUP(Jun[[#This Row],[Name]],Overview[],14,FALSE)))</f>
        <v/>
      </c>
      <c r="G20" s="175" t="str">
        <f>IF(Jul[[#This Row],[Name]]="","",IF(VLOOKUP(Jul[[#This Row],[Name]],Overview[],14,FALSE)="","N/A",(Jul[[#This Row],[July Weight (kg)]]-VLOOKUP(Jul[[#This Row],[Name]],Overview[],14,FALSE))/VLOOKUP(Jul[[#This Row],[Name]],Overview[],14,FALSE)))</f>
        <v/>
      </c>
      <c r="H20" s="61" t="str" cm="1">
        <f t="array" ref="H20">IF(Jul[[#This Row],[Name]]="","",IF(SUMPRODUCT((Overview[Name]=Jul[[#This Row],[Name]])*ISNUMBER(Overview[[January 
Weight (kg)]:[April 
Weight (kg)]]))=0,"N/A",MAX(IF((Overview[Name]=Jul[[#This Row],[Name]])*ISNUMBER(Overview[[January 
Weight (kg)]:[April 
Weight (kg)]]),Overview[[January 
Weight (kg)]:[April 
Weight (kg)]]))))</f>
        <v/>
      </c>
      <c r="I20" s="57" t="str">
        <f>IF(Jul[[#This Row],[Name]]="","",IF(NOT(ISNUMBER(Jul[[#This Row],[Highest Weight in the Past 3 - 6 Months]])),"N/A",IF(Jul[[#This Row],[July Weight (kg)]]=Jul[[#This Row],[Highest Weight in the Past 3 - 6 Months]],0,Jul[[#This Row],[July Weight (kg)]]-Jul[[#This Row],[Highest Weight in the Past 3 - 6 Months]])))</f>
        <v/>
      </c>
      <c r="J20"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0" s="130"/>
      <c r="L20" s="131"/>
      <c r="M20"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0" s="64" t="str">
        <f>IF(Jul[[#This Row],[Name]]="","",IF(Jul[[#This Row],[July MUST Score ]]=0,"Low",IF(Jul[[#This Row],[July MUST Score ]]=1,"Medium","High")))</f>
        <v/>
      </c>
      <c r="O20" s="10"/>
      <c r="P20" s="70"/>
      <c r="Q20" s="12"/>
      <c r="R20" s="17"/>
      <c r="S20" s="10"/>
      <c r="T20" s="17"/>
      <c r="U20" s="70"/>
      <c r="V20" s="11"/>
      <c r="W20" s="94"/>
      <c r="X20" s="12"/>
      <c r="Y20" s="11"/>
    </row>
    <row r="21" spans="2:25" x14ac:dyDescent="0.25">
      <c r="B21" s="12"/>
      <c r="C21" s="129"/>
      <c r="D21" s="94"/>
      <c r="E21" s="58" t="str">
        <f>IF(Jul[[#This Row],[Name]]="","",Jul[[#This Row],[July Weight (kg)]]/(VLOOKUP(Jul[[#This Row],[Name]],Overview[],2,FALSE)/100)^2)</f>
        <v/>
      </c>
      <c r="F21" s="58" t="str">
        <f>IF(Jul[[#This Row],[Name]]="","",IF(VLOOKUP(Jul[[#This Row],[Name]],Overview[],14,FALSE)="","N/A",Jul[[#This Row],[July Weight (kg)]]-VLOOKUP(Jun[[#This Row],[Name]],Overview[],14,FALSE)))</f>
        <v/>
      </c>
      <c r="G21" s="175" t="str">
        <f>IF(Jul[[#This Row],[Name]]="","",IF(VLOOKUP(Jul[[#This Row],[Name]],Overview[],14,FALSE)="","N/A",(Jul[[#This Row],[July Weight (kg)]]-VLOOKUP(Jul[[#This Row],[Name]],Overview[],14,FALSE))/VLOOKUP(Jul[[#This Row],[Name]],Overview[],14,FALSE)))</f>
        <v/>
      </c>
      <c r="H21" s="61" t="str" cm="1">
        <f t="array" ref="H21">IF(Jul[[#This Row],[Name]]="","",IF(SUMPRODUCT((Overview[Name]=Jul[[#This Row],[Name]])*ISNUMBER(Overview[[January 
Weight (kg)]:[April 
Weight (kg)]]))=0,"N/A",MAX(IF((Overview[Name]=Jul[[#This Row],[Name]])*ISNUMBER(Overview[[January 
Weight (kg)]:[April 
Weight (kg)]]),Overview[[January 
Weight (kg)]:[April 
Weight (kg)]]))))</f>
        <v/>
      </c>
      <c r="I21" s="57" t="str">
        <f>IF(Jul[[#This Row],[Name]]="","",IF(NOT(ISNUMBER(Jul[[#This Row],[Highest Weight in the Past 3 - 6 Months]])),"N/A",IF(Jul[[#This Row],[July Weight (kg)]]=Jul[[#This Row],[Highest Weight in the Past 3 - 6 Months]],0,Jul[[#This Row],[July Weight (kg)]]-Jul[[#This Row],[Highest Weight in the Past 3 - 6 Months]])))</f>
        <v/>
      </c>
      <c r="J21"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1" s="130"/>
      <c r="L21" s="131"/>
      <c r="M21"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1" s="64" t="str">
        <f>IF(Jul[[#This Row],[Name]]="","",IF(Jul[[#This Row],[July MUST Score ]]=0,"Low",IF(Jul[[#This Row],[July MUST Score ]]=1,"Medium","High")))</f>
        <v/>
      </c>
      <c r="O21" s="10"/>
      <c r="P21" s="70"/>
      <c r="Q21" s="12"/>
      <c r="R21" s="17"/>
      <c r="S21" s="10"/>
      <c r="T21" s="17"/>
      <c r="U21" s="70"/>
      <c r="V21" s="11"/>
      <c r="W21" s="94"/>
      <c r="X21" s="12"/>
      <c r="Y21" s="11"/>
    </row>
    <row r="22" spans="2:25" x14ac:dyDescent="0.25">
      <c r="B22" s="12"/>
      <c r="C22" s="129"/>
      <c r="D22" s="94"/>
      <c r="E22" s="58" t="str">
        <f>IF(Jul[[#This Row],[Name]]="","",Jul[[#This Row],[July Weight (kg)]]/(VLOOKUP(Jul[[#This Row],[Name]],Overview[],2,FALSE)/100)^2)</f>
        <v/>
      </c>
      <c r="F22" s="58" t="str">
        <f>IF(Jul[[#This Row],[Name]]="","",IF(VLOOKUP(Jul[[#This Row],[Name]],Overview[],14,FALSE)="","N/A",Jul[[#This Row],[July Weight (kg)]]-VLOOKUP(Jun[[#This Row],[Name]],Overview[],14,FALSE)))</f>
        <v/>
      </c>
      <c r="G22" s="175" t="str">
        <f>IF(Jul[[#This Row],[Name]]="","",IF(VLOOKUP(Jul[[#This Row],[Name]],Overview[],14,FALSE)="","N/A",(Jul[[#This Row],[July Weight (kg)]]-VLOOKUP(Jul[[#This Row],[Name]],Overview[],14,FALSE))/VLOOKUP(Jul[[#This Row],[Name]],Overview[],14,FALSE)))</f>
        <v/>
      </c>
      <c r="H22" s="61" t="str" cm="1">
        <f t="array" ref="H22">IF(Jul[[#This Row],[Name]]="","",IF(SUMPRODUCT((Overview[Name]=Jul[[#This Row],[Name]])*ISNUMBER(Overview[[January 
Weight (kg)]:[April 
Weight (kg)]]))=0,"N/A",MAX(IF((Overview[Name]=Jul[[#This Row],[Name]])*ISNUMBER(Overview[[January 
Weight (kg)]:[April 
Weight (kg)]]),Overview[[January 
Weight (kg)]:[April 
Weight (kg)]]))))</f>
        <v/>
      </c>
      <c r="I22" s="57" t="str">
        <f>IF(Jul[[#This Row],[Name]]="","",IF(NOT(ISNUMBER(Jul[[#This Row],[Highest Weight in the Past 3 - 6 Months]])),"N/A",IF(Jul[[#This Row],[July Weight (kg)]]=Jul[[#This Row],[Highest Weight in the Past 3 - 6 Months]],0,Jul[[#This Row],[July Weight (kg)]]-Jul[[#This Row],[Highest Weight in the Past 3 - 6 Months]])))</f>
        <v/>
      </c>
      <c r="J22"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2" s="130"/>
      <c r="L22" s="131"/>
      <c r="M22"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2" s="64" t="str">
        <f>IF(Jul[[#This Row],[Name]]="","",IF(Jul[[#This Row],[July MUST Score ]]=0,"Low",IF(Jul[[#This Row],[July MUST Score ]]=1,"Medium","High")))</f>
        <v/>
      </c>
      <c r="O22" s="10"/>
      <c r="P22" s="70"/>
      <c r="Q22" s="12"/>
      <c r="R22" s="17"/>
      <c r="S22" s="10"/>
      <c r="T22" s="17"/>
      <c r="U22" s="70"/>
      <c r="V22" s="11"/>
      <c r="W22" s="94"/>
      <c r="X22" s="12"/>
      <c r="Y22" s="11"/>
    </row>
    <row r="23" spans="2:25" x14ac:dyDescent="0.25">
      <c r="B23" s="12"/>
      <c r="C23" s="129"/>
      <c r="D23" s="94"/>
      <c r="E23" s="58" t="str">
        <f>IF(Jul[[#This Row],[Name]]="","",Jul[[#This Row],[July Weight (kg)]]/(VLOOKUP(Jul[[#This Row],[Name]],Overview[],2,FALSE)/100)^2)</f>
        <v/>
      </c>
      <c r="F23" s="58" t="str">
        <f>IF(Jul[[#This Row],[Name]]="","",IF(VLOOKUP(Jul[[#This Row],[Name]],Overview[],14,FALSE)="","N/A",Jul[[#This Row],[July Weight (kg)]]-VLOOKUP(Jun[[#This Row],[Name]],Overview[],14,FALSE)))</f>
        <v/>
      </c>
      <c r="G23" s="175" t="str">
        <f>IF(Jul[[#This Row],[Name]]="","",IF(VLOOKUP(Jul[[#This Row],[Name]],Overview[],14,FALSE)="","N/A",(Jul[[#This Row],[July Weight (kg)]]-VLOOKUP(Jul[[#This Row],[Name]],Overview[],14,FALSE))/VLOOKUP(Jul[[#This Row],[Name]],Overview[],14,FALSE)))</f>
        <v/>
      </c>
      <c r="H23" s="61" t="str" cm="1">
        <f t="array" ref="H23">IF(Jul[[#This Row],[Name]]="","",IF(SUMPRODUCT((Overview[Name]=Jul[[#This Row],[Name]])*ISNUMBER(Overview[[January 
Weight (kg)]:[April 
Weight (kg)]]))=0,"N/A",MAX(IF((Overview[Name]=Jul[[#This Row],[Name]])*ISNUMBER(Overview[[January 
Weight (kg)]:[April 
Weight (kg)]]),Overview[[January 
Weight (kg)]:[April 
Weight (kg)]]))))</f>
        <v/>
      </c>
      <c r="I23" s="57" t="str">
        <f>IF(Jul[[#This Row],[Name]]="","",IF(NOT(ISNUMBER(Jul[[#This Row],[Highest Weight in the Past 3 - 6 Months]])),"N/A",IF(Jul[[#This Row],[July Weight (kg)]]=Jul[[#This Row],[Highest Weight in the Past 3 - 6 Months]],0,Jul[[#This Row],[July Weight (kg)]]-Jul[[#This Row],[Highest Weight in the Past 3 - 6 Months]])))</f>
        <v/>
      </c>
      <c r="J23"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3" s="130"/>
      <c r="L23" s="131"/>
      <c r="M23"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3" s="64" t="str">
        <f>IF(Jul[[#This Row],[Name]]="","",IF(Jul[[#This Row],[July MUST Score ]]=0,"Low",IF(Jul[[#This Row],[July MUST Score ]]=1,"Medium","High")))</f>
        <v/>
      </c>
      <c r="O23" s="10"/>
      <c r="P23" s="70"/>
      <c r="Q23" s="12"/>
      <c r="R23" s="17"/>
      <c r="S23" s="10"/>
      <c r="T23" s="17"/>
      <c r="U23" s="70"/>
      <c r="V23" s="11"/>
      <c r="W23" s="94"/>
      <c r="X23" s="12"/>
      <c r="Y23" s="11"/>
    </row>
    <row r="24" spans="2:25" x14ac:dyDescent="0.25">
      <c r="B24" s="12"/>
      <c r="C24" s="129"/>
      <c r="D24" s="94"/>
      <c r="E24" s="58" t="str">
        <f>IF(Jul[[#This Row],[Name]]="","",Jul[[#This Row],[July Weight (kg)]]/(VLOOKUP(Jul[[#This Row],[Name]],Overview[],2,FALSE)/100)^2)</f>
        <v/>
      </c>
      <c r="F24" s="58" t="str">
        <f>IF(Jul[[#This Row],[Name]]="","",IF(VLOOKUP(Jul[[#This Row],[Name]],Overview[],14,FALSE)="","N/A",Jul[[#This Row],[July Weight (kg)]]-VLOOKUP(Jun[[#This Row],[Name]],Overview[],14,FALSE)))</f>
        <v/>
      </c>
      <c r="G24" s="175" t="str">
        <f>IF(Jul[[#This Row],[Name]]="","",IF(VLOOKUP(Jul[[#This Row],[Name]],Overview[],14,FALSE)="","N/A",(Jul[[#This Row],[July Weight (kg)]]-VLOOKUP(Jul[[#This Row],[Name]],Overview[],14,FALSE))/VLOOKUP(Jul[[#This Row],[Name]],Overview[],14,FALSE)))</f>
        <v/>
      </c>
      <c r="H24" s="61" t="str" cm="1">
        <f t="array" ref="H24">IF(Jul[[#This Row],[Name]]="","",IF(SUMPRODUCT((Overview[Name]=Jul[[#This Row],[Name]])*ISNUMBER(Overview[[January 
Weight (kg)]:[April 
Weight (kg)]]))=0,"N/A",MAX(IF((Overview[Name]=Jul[[#This Row],[Name]])*ISNUMBER(Overview[[January 
Weight (kg)]:[April 
Weight (kg)]]),Overview[[January 
Weight (kg)]:[April 
Weight (kg)]]))))</f>
        <v/>
      </c>
      <c r="I24" s="57" t="str">
        <f>IF(Jul[[#This Row],[Name]]="","",IF(NOT(ISNUMBER(Jul[[#This Row],[Highest Weight in the Past 3 - 6 Months]])),"N/A",IF(Jul[[#This Row],[July Weight (kg)]]=Jul[[#This Row],[Highest Weight in the Past 3 - 6 Months]],0,Jul[[#This Row],[July Weight (kg)]]-Jul[[#This Row],[Highest Weight in the Past 3 - 6 Months]])))</f>
        <v/>
      </c>
      <c r="J24"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4" s="130"/>
      <c r="L24" s="131"/>
      <c r="M24"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4" s="64" t="str">
        <f>IF(Jul[[#This Row],[Name]]="","",IF(Jul[[#This Row],[July MUST Score ]]=0,"Low",IF(Jul[[#This Row],[July MUST Score ]]=1,"Medium","High")))</f>
        <v/>
      </c>
      <c r="O24" s="10"/>
      <c r="P24" s="70"/>
      <c r="Q24" s="12"/>
      <c r="R24" s="17"/>
      <c r="S24" s="10"/>
      <c r="T24" s="17"/>
      <c r="U24" s="70"/>
      <c r="V24" s="11"/>
      <c r="W24" s="94"/>
      <c r="X24" s="12"/>
      <c r="Y24" s="11"/>
    </row>
    <row r="25" spans="2:25" x14ac:dyDescent="0.25">
      <c r="B25" s="12"/>
      <c r="C25" s="129"/>
      <c r="D25" s="94"/>
      <c r="E25" s="58" t="str">
        <f>IF(Jul[[#This Row],[Name]]="","",Jul[[#This Row],[July Weight (kg)]]/(VLOOKUP(Jul[[#This Row],[Name]],Overview[],2,FALSE)/100)^2)</f>
        <v/>
      </c>
      <c r="F25" s="58" t="str">
        <f>IF(Jul[[#This Row],[Name]]="","",IF(VLOOKUP(Jul[[#This Row],[Name]],Overview[],14,FALSE)="","N/A",Jul[[#This Row],[July Weight (kg)]]-VLOOKUP(Jun[[#This Row],[Name]],Overview[],14,FALSE)))</f>
        <v/>
      </c>
      <c r="G25" s="175" t="str">
        <f>IF(Jul[[#This Row],[Name]]="","",IF(VLOOKUP(Jul[[#This Row],[Name]],Overview[],14,FALSE)="","N/A",(Jul[[#This Row],[July Weight (kg)]]-VLOOKUP(Jul[[#This Row],[Name]],Overview[],14,FALSE))/VLOOKUP(Jul[[#This Row],[Name]],Overview[],14,FALSE)))</f>
        <v/>
      </c>
      <c r="H25" s="61" t="str" cm="1">
        <f t="array" ref="H25">IF(Jul[[#This Row],[Name]]="","",IF(SUMPRODUCT((Overview[Name]=Jul[[#This Row],[Name]])*ISNUMBER(Overview[[January 
Weight (kg)]:[April 
Weight (kg)]]))=0,"N/A",MAX(IF((Overview[Name]=Jul[[#This Row],[Name]])*ISNUMBER(Overview[[January 
Weight (kg)]:[April 
Weight (kg)]]),Overview[[January 
Weight (kg)]:[April 
Weight (kg)]]))))</f>
        <v/>
      </c>
      <c r="I25" s="57" t="str">
        <f>IF(Jul[[#This Row],[Name]]="","",IF(NOT(ISNUMBER(Jul[[#This Row],[Highest Weight in the Past 3 - 6 Months]])),"N/A",IF(Jul[[#This Row],[July Weight (kg)]]=Jul[[#This Row],[Highest Weight in the Past 3 - 6 Months]],0,Jul[[#This Row],[July Weight (kg)]]-Jul[[#This Row],[Highest Weight in the Past 3 - 6 Months]])))</f>
        <v/>
      </c>
      <c r="J25"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5" s="130"/>
      <c r="L25" s="131"/>
      <c r="M25"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5" s="64" t="str">
        <f>IF(Jul[[#This Row],[Name]]="","",IF(Jul[[#This Row],[July MUST Score ]]=0,"Low",IF(Jul[[#This Row],[July MUST Score ]]=1,"Medium","High")))</f>
        <v/>
      </c>
      <c r="O25" s="10"/>
      <c r="P25" s="70"/>
      <c r="Q25" s="12"/>
      <c r="R25" s="17"/>
      <c r="S25" s="10"/>
      <c r="T25" s="17"/>
      <c r="U25" s="70"/>
      <c r="V25" s="11"/>
      <c r="W25" s="94"/>
      <c r="X25" s="12"/>
      <c r="Y25" s="11"/>
    </row>
    <row r="26" spans="2:25" x14ac:dyDescent="0.25">
      <c r="B26" s="12"/>
      <c r="C26" s="129"/>
      <c r="D26" s="94"/>
      <c r="E26" s="58" t="str">
        <f>IF(Jul[[#This Row],[Name]]="","",Jul[[#This Row],[July Weight (kg)]]/(VLOOKUP(Jul[[#This Row],[Name]],Overview[],2,FALSE)/100)^2)</f>
        <v/>
      </c>
      <c r="F26" s="58" t="str">
        <f>IF(Jul[[#This Row],[Name]]="","",IF(VLOOKUP(Jul[[#This Row],[Name]],Overview[],14,FALSE)="","N/A",Jul[[#This Row],[July Weight (kg)]]-VLOOKUP(Jun[[#This Row],[Name]],Overview[],14,FALSE)))</f>
        <v/>
      </c>
      <c r="G26" s="175" t="str">
        <f>IF(Jul[[#This Row],[Name]]="","",IF(VLOOKUP(Jul[[#This Row],[Name]],Overview[],14,FALSE)="","N/A",(Jul[[#This Row],[July Weight (kg)]]-VLOOKUP(Jul[[#This Row],[Name]],Overview[],14,FALSE))/VLOOKUP(Jul[[#This Row],[Name]],Overview[],14,FALSE)))</f>
        <v/>
      </c>
      <c r="H26" s="61" t="str" cm="1">
        <f t="array" ref="H26">IF(Jul[[#This Row],[Name]]="","",IF(SUMPRODUCT((Overview[Name]=Jul[[#This Row],[Name]])*ISNUMBER(Overview[[January 
Weight (kg)]:[April 
Weight (kg)]]))=0,"N/A",MAX(IF((Overview[Name]=Jul[[#This Row],[Name]])*ISNUMBER(Overview[[January 
Weight (kg)]:[April 
Weight (kg)]]),Overview[[January 
Weight (kg)]:[April 
Weight (kg)]]))))</f>
        <v/>
      </c>
      <c r="I26" s="57" t="str">
        <f>IF(Jul[[#This Row],[Name]]="","",IF(NOT(ISNUMBER(Jul[[#This Row],[Highest Weight in the Past 3 - 6 Months]])),"N/A",IF(Jul[[#This Row],[July Weight (kg)]]=Jul[[#This Row],[Highest Weight in the Past 3 - 6 Months]],0,Jul[[#This Row],[July Weight (kg)]]-Jul[[#This Row],[Highest Weight in the Past 3 - 6 Months]])))</f>
        <v/>
      </c>
      <c r="J26"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6" s="130"/>
      <c r="L26" s="131"/>
      <c r="M26"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6" s="64" t="str">
        <f>IF(Jul[[#This Row],[Name]]="","",IF(Jul[[#This Row],[July MUST Score ]]=0,"Low",IF(Jul[[#This Row],[July MUST Score ]]=1,"Medium","High")))</f>
        <v/>
      </c>
      <c r="O26" s="10"/>
      <c r="P26" s="70"/>
      <c r="Q26" s="12"/>
      <c r="R26" s="17"/>
      <c r="S26" s="10"/>
      <c r="T26" s="17"/>
      <c r="U26" s="70"/>
      <c r="V26" s="11"/>
      <c r="W26" s="94"/>
      <c r="X26" s="12"/>
      <c r="Y26" s="11"/>
    </row>
    <row r="27" spans="2:25" x14ac:dyDescent="0.25">
      <c r="B27" s="12"/>
      <c r="C27" s="129"/>
      <c r="D27" s="94"/>
      <c r="E27" s="58" t="str">
        <f>IF(Jul[[#This Row],[Name]]="","",Jul[[#This Row],[July Weight (kg)]]/(VLOOKUP(Jul[[#This Row],[Name]],Overview[],2,FALSE)/100)^2)</f>
        <v/>
      </c>
      <c r="F27" s="58" t="str">
        <f>IF(Jul[[#This Row],[Name]]="","",IF(VLOOKUP(Jul[[#This Row],[Name]],Overview[],14,FALSE)="","N/A",Jul[[#This Row],[July Weight (kg)]]-VLOOKUP(Jun[[#This Row],[Name]],Overview[],14,FALSE)))</f>
        <v/>
      </c>
      <c r="G27" s="175" t="str">
        <f>IF(Jul[[#This Row],[Name]]="","",IF(VLOOKUP(Jul[[#This Row],[Name]],Overview[],14,FALSE)="","N/A",(Jul[[#This Row],[July Weight (kg)]]-VLOOKUP(Jul[[#This Row],[Name]],Overview[],14,FALSE))/VLOOKUP(Jul[[#This Row],[Name]],Overview[],14,FALSE)))</f>
        <v/>
      </c>
      <c r="H27" s="61" t="str" cm="1">
        <f t="array" ref="H27">IF(Jul[[#This Row],[Name]]="","",IF(SUMPRODUCT((Overview[Name]=Jul[[#This Row],[Name]])*ISNUMBER(Overview[[January 
Weight (kg)]:[April 
Weight (kg)]]))=0,"N/A",MAX(IF((Overview[Name]=Jul[[#This Row],[Name]])*ISNUMBER(Overview[[January 
Weight (kg)]:[April 
Weight (kg)]]),Overview[[January 
Weight (kg)]:[April 
Weight (kg)]]))))</f>
        <v/>
      </c>
      <c r="I27" s="57" t="str">
        <f>IF(Jul[[#This Row],[Name]]="","",IF(NOT(ISNUMBER(Jul[[#This Row],[Highest Weight in the Past 3 - 6 Months]])),"N/A",IF(Jul[[#This Row],[July Weight (kg)]]=Jul[[#This Row],[Highest Weight in the Past 3 - 6 Months]],0,Jul[[#This Row],[July Weight (kg)]]-Jul[[#This Row],[Highest Weight in the Past 3 - 6 Months]])))</f>
        <v/>
      </c>
      <c r="J27"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7" s="130"/>
      <c r="L27" s="131"/>
      <c r="M27"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7" s="64" t="str">
        <f>IF(Jul[[#This Row],[Name]]="","",IF(Jul[[#This Row],[July MUST Score ]]=0,"Low",IF(Jul[[#This Row],[July MUST Score ]]=1,"Medium","High")))</f>
        <v/>
      </c>
      <c r="O27" s="10"/>
      <c r="P27" s="70"/>
      <c r="Q27" s="12"/>
      <c r="R27" s="17"/>
      <c r="S27" s="10"/>
      <c r="T27" s="17"/>
      <c r="U27" s="70"/>
      <c r="V27" s="11"/>
      <c r="W27" s="94"/>
      <c r="X27" s="12"/>
      <c r="Y27" s="11"/>
    </row>
    <row r="28" spans="2:25" x14ac:dyDescent="0.25">
      <c r="B28" s="12"/>
      <c r="C28" s="129"/>
      <c r="D28" s="94"/>
      <c r="E28" s="58" t="str">
        <f>IF(Jul[[#This Row],[Name]]="","",Jul[[#This Row],[July Weight (kg)]]/(VLOOKUP(Jul[[#This Row],[Name]],Overview[],2,FALSE)/100)^2)</f>
        <v/>
      </c>
      <c r="F28" s="58" t="str">
        <f>IF(Jul[[#This Row],[Name]]="","",IF(VLOOKUP(Jul[[#This Row],[Name]],Overview[],14,FALSE)="","N/A",Jul[[#This Row],[July Weight (kg)]]-VLOOKUP(Jun[[#This Row],[Name]],Overview[],14,FALSE)))</f>
        <v/>
      </c>
      <c r="G28" s="175" t="str">
        <f>IF(Jul[[#This Row],[Name]]="","",IF(VLOOKUP(Jul[[#This Row],[Name]],Overview[],14,FALSE)="","N/A",(Jul[[#This Row],[July Weight (kg)]]-VLOOKUP(Jul[[#This Row],[Name]],Overview[],14,FALSE))/VLOOKUP(Jul[[#This Row],[Name]],Overview[],14,FALSE)))</f>
        <v/>
      </c>
      <c r="H28" s="61" t="str" cm="1">
        <f t="array" ref="H28">IF(Jul[[#This Row],[Name]]="","",IF(SUMPRODUCT((Overview[Name]=Jul[[#This Row],[Name]])*ISNUMBER(Overview[[January 
Weight (kg)]:[April 
Weight (kg)]]))=0,"N/A",MAX(IF((Overview[Name]=Jul[[#This Row],[Name]])*ISNUMBER(Overview[[January 
Weight (kg)]:[April 
Weight (kg)]]),Overview[[January 
Weight (kg)]:[April 
Weight (kg)]]))))</f>
        <v/>
      </c>
      <c r="I28" s="57" t="str">
        <f>IF(Jul[[#This Row],[Name]]="","",IF(NOT(ISNUMBER(Jul[[#This Row],[Highest Weight in the Past 3 - 6 Months]])),"N/A",IF(Jul[[#This Row],[July Weight (kg)]]=Jul[[#This Row],[Highest Weight in the Past 3 - 6 Months]],0,Jul[[#This Row],[July Weight (kg)]]-Jul[[#This Row],[Highest Weight in the Past 3 - 6 Months]])))</f>
        <v/>
      </c>
      <c r="J28"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8" s="130"/>
      <c r="L28" s="131"/>
      <c r="M28"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8" s="64" t="str">
        <f>IF(Jul[[#This Row],[Name]]="","",IF(Jul[[#This Row],[July MUST Score ]]=0,"Low",IF(Jul[[#This Row],[July MUST Score ]]=1,"Medium","High")))</f>
        <v/>
      </c>
      <c r="O28" s="10"/>
      <c r="P28" s="70"/>
      <c r="Q28" s="12"/>
      <c r="R28" s="17"/>
      <c r="S28" s="10"/>
      <c r="T28" s="17"/>
      <c r="U28" s="70"/>
      <c r="V28" s="11"/>
      <c r="W28" s="94"/>
      <c r="X28" s="12"/>
      <c r="Y28" s="11"/>
    </row>
    <row r="29" spans="2:25" x14ac:dyDescent="0.25">
      <c r="B29" s="12"/>
      <c r="C29" s="129"/>
      <c r="D29" s="94"/>
      <c r="E29" s="58" t="str">
        <f>IF(Jul[[#This Row],[Name]]="","",Jul[[#This Row],[July Weight (kg)]]/(VLOOKUP(Jul[[#This Row],[Name]],Overview[],2,FALSE)/100)^2)</f>
        <v/>
      </c>
      <c r="F29" s="58" t="str">
        <f>IF(Jul[[#This Row],[Name]]="","",IF(VLOOKUP(Jul[[#This Row],[Name]],Overview[],14,FALSE)="","N/A",Jul[[#This Row],[July Weight (kg)]]-VLOOKUP(Jun[[#This Row],[Name]],Overview[],14,FALSE)))</f>
        <v/>
      </c>
      <c r="G29" s="175" t="str">
        <f>IF(Jul[[#This Row],[Name]]="","",IF(VLOOKUP(Jul[[#This Row],[Name]],Overview[],14,FALSE)="","N/A",(Jul[[#This Row],[July Weight (kg)]]-VLOOKUP(Jul[[#This Row],[Name]],Overview[],14,FALSE))/VLOOKUP(Jul[[#This Row],[Name]],Overview[],14,FALSE)))</f>
        <v/>
      </c>
      <c r="H29" s="61" t="str" cm="1">
        <f t="array" ref="H29">IF(Jul[[#This Row],[Name]]="","",IF(SUMPRODUCT((Overview[Name]=Jul[[#This Row],[Name]])*ISNUMBER(Overview[[January 
Weight (kg)]:[April 
Weight (kg)]]))=0,"N/A",MAX(IF((Overview[Name]=Jul[[#This Row],[Name]])*ISNUMBER(Overview[[January 
Weight (kg)]:[April 
Weight (kg)]]),Overview[[January 
Weight (kg)]:[April 
Weight (kg)]]))))</f>
        <v/>
      </c>
      <c r="I29" s="57" t="str">
        <f>IF(Jul[[#This Row],[Name]]="","",IF(NOT(ISNUMBER(Jul[[#This Row],[Highest Weight in the Past 3 - 6 Months]])),"N/A",IF(Jul[[#This Row],[July Weight (kg)]]=Jul[[#This Row],[Highest Weight in the Past 3 - 6 Months]],0,Jul[[#This Row],[July Weight (kg)]]-Jul[[#This Row],[Highest Weight in the Past 3 - 6 Months]])))</f>
        <v/>
      </c>
      <c r="J29"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29" s="130"/>
      <c r="L29" s="131"/>
      <c r="M29"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29" s="64" t="str">
        <f>IF(Jul[[#This Row],[Name]]="","",IF(Jul[[#This Row],[July MUST Score ]]=0,"Low",IF(Jul[[#This Row],[July MUST Score ]]=1,"Medium","High")))</f>
        <v/>
      </c>
      <c r="O29" s="10"/>
      <c r="P29" s="70"/>
      <c r="Q29" s="12"/>
      <c r="R29" s="17"/>
      <c r="S29" s="10"/>
      <c r="T29" s="17"/>
      <c r="U29" s="70"/>
      <c r="V29" s="11"/>
      <c r="W29" s="94"/>
      <c r="X29" s="12"/>
      <c r="Y29" s="11"/>
    </row>
    <row r="30" spans="2:25" x14ac:dyDescent="0.25">
      <c r="B30" s="12"/>
      <c r="C30" s="129"/>
      <c r="D30" s="94"/>
      <c r="E30" s="58" t="str">
        <f>IF(Jul[[#This Row],[Name]]="","",Jul[[#This Row],[July Weight (kg)]]/(VLOOKUP(Jul[[#This Row],[Name]],Overview[],2,FALSE)/100)^2)</f>
        <v/>
      </c>
      <c r="F30" s="58" t="str">
        <f>IF(Jul[[#This Row],[Name]]="","",IF(VLOOKUP(Jul[[#This Row],[Name]],Overview[],14,FALSE)="","N/A",Jul[[#This Row],[July Weight (kg)]]-VLOOKUP(Jun[[#This Row],[Name]],Overview[],14,FALSE)))</f>
        <v/>
      </c>
      <c r="G30" s="175" t="str">
        <f>IF(Jul[[#This Row],[Name]]="","",IF(VLOOKUP(Jul[[#This Row],[Name]],Overview[],14,FALSE)="","N/A",(Jul[[#This Row],[July Weight (kg)]]-VLOOKUP(Jul[[#This Row],[Name]],Overview[],14,FALSE))/VLOOKUP(Jul[[#This Row],[Name]],Overview[],14,FALSE)))</f>
        <v/>
      </c>
      <c r="H30" s="61" t="str" cm="1">
        <f t="array" ref="H30">IF(Jul[[#This Row],[Name]]="","",IF(SUMPRODUCT((Overview[Name]=Jul[[#This Row],[Name]])*ISNUMBER(Overview[[January 
Weight (kg)]:[April 
Weight (kg)]]))=0,"N/A",MAX(IF((Overview[Name]=Jul[[#This Row],[Name]])*ISNUMBER(Overview[[January 
Weight (kg)]:[April 
Weight (kg)]]),Overview[[January 
Weight (kg)]:[April 
Weight (kg)]]))))</f>
        <v/>
      </c>
      <c r="I30" s="57" t="str">
        <f>IF(Jul[[#This Row],[Name]]="","",IF(NOT(ISNUMBER(Jul[[#This Row],[Highest Weight in the Past 3 - 6 Months]])),"N/A",IF(Jul[[#This Row],[July Weight (kg)]]=Jul[[#This Row],[Highest Weight in the Past 3 - 6 Months]],0,Jul[[#This Row],[July Weight (kg)]]-Jul[[#This Row],[Highest Weight in the Past 3 - 6 Months]])))</f>
        <v/>
      </c>
      <c r="J30"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0" s="130"/>
      <c r="L30" s="131"/>
      <c r="M30"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0" s="64" t="str">
        <f>IF(Jul[[#This Row],[Name]]="","",IF(Jul[[#This Row],[July MUST Score ]]=0,"Low",IF(Jul[[#This Row],[July MUST Score ]]=1,"Medium","High")))</f>
        <v/>
      </c>
      <c r="O30" s="10"/>
      <c r="P30" s="70"/>
      <c r="Q30" s="12"/>
      <c r="R30" s="17"/>
      <c r="S30" s="10"/>
      <c r="T30" s="17"/>
      <c r="U30" s="70"/>
      <c r="V30" s="11"/>
      <c r="W30" s="94"/>
      <c r="X30" s="12"/>
      <c r="Y30" s="11"/>
    </row>
    <row r="31" spans="2:25" x14ac:dyDescent="0.25">
      <c r="B31" s="12"/>
      <c r="C31" s="129"/>
      <c r="D31" s="94"/>
      <c r="E31" s="58" t="str">
        <f>IF(Jul[[#This Row],[Name]]="","",Jul[[#This Row],[July Weight (kg)]]/(VLOOKUP(Jul[[#This Row],[Name]],Overview[],2,FALSE)/100)^2)</f>
        <v/>
      </c>
      <c r="F31" s="58" t="str">
        <f>IF(Jul[[#This Row],[Name]]="","",IF(VLOOKUP(Jul[[#This Row],[Name]],Overview[],14,FALSE)="","N/A",Jul[[#This Row],[July Weight (kg)]]-VLOOKUP(Jun[[#This Row],[Name]],Overview[],14,FALSE)))</f>
        <v/>
      </c>
      <c r="G31" s="175" t="str">
        <f>IF(Jul[[#This Row],[Name]]="","",IF(VLOOKUP(Jul[[#This Row],[Name]],Overview[],14,FALSE)="","N/A",(Jul[[#This Row],[July Weight (kg)]]-VLOOKUP(Jul[[#This Row],[Name]],Overview[],14,FALSE))/VLOOKUP(Jul[[#This Row],[Name]],Overview[],14,FALSE)))</f>
        <v/>
      </c>
      <c r="H31" s="61" t="str" cm="1">
        <f t="array" ref="H31">IF(Jul[[#This Row],[Name]]="","",IF(SUMPRODUCT((Overview[Name]=Jul[[#This Row],[Name]])*ISNUMBER(Overview[[January 
Weight (kg)]:[April 
Weight (kg)]]))=0,"N/A",MAX(IF((Overview[Name]=Jul[[#This Row],[Name]])*ISNUMBER(Overview[[January 
Weight (kg)]:[April 
Weight (kg)]]),Overview[[January 
Weight (kg)]:[April 
Weight (kg)]]))))</f>
        <v/>
      </c>
      <c r="I31" s="57" t="str">
        <f>IF(Jul[[#This Row],[Name]]="","",IF(NOT(ISNUMBER(Jul[[#This Row],[Highest Weight in the Past 3 - 6 Months]])),"N/A",IF(Jul[[#This Row],[July Weight (kg)]]=Jul[[#This Row],[Highest Weight in the Past 3 - 6 Months]],0,Jul[[#This Row],[July Weight (kg)]]-Jul[[#This Row],[Highest Weight in the Past 3 - 6 Months]])))</f>
        <v/>
      </c>
      <c r="J31"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1" s="130"/>
      <c r="L31" s="131"/>
      <c r="M31"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1" s="64" t="str">
        <f>IF(Jul[[#This Row],[Name]]="","",IF(Jul[[#This Row],[July MUST Score ]]=0,"Low",IF(Jul[[#This Row],[July MUST Score ]]=1,"Medium","High")))</f>
        <v/>
      </c>
      <c r="O31" s="10"/>
      <c r="P31" s="70"/>
      <c r="Q31" s="12"/>
      <c r="R31" s="17"/>
      <c r="S31" s="10"/>
      <c r="T31" s="17"/>
      <c r="U31" s="70"/>
      <c r="V31" s="11"/>
      <c r="W31" s="94"/>
      <c r="X31" s="12"/>
      <c r="Y31" s="11"/>
    </row>
    <row r="32" spans="2:25" x14ac:dyDescent="0.25">
      <c r="B32" s="12"/>
      <c r="C32" s="129"/>
      <c r="D32" s="94"/>
      <c r="E32" s="58" t="str">
        <f>IF(Jul[[#This Row],[Name]]="","",Jul[[#This Row],[July Weight (kg)]]/(VLOOKUP(Jul[[#This Row],[Name]],Overview[],2,FALSE)/100)^2)</f>
        <v/>
      </c>
      <c r="F32" s="58" t="str">
        <f>IF(Jul[[#This Row],[Name]]="","",IF(VLOOKUP(Jul[[#This Row],[Name]],Overview[],14,FALSE)="","N/A",Jul[[#This Row],[July Weight (kg)]]-VLOOKUP(Jun[[#This Row],[Name]],Overview[],14,FALSE)))</f>
        <v/>
      </c>
      <c r="G32" s="175" t="str">
        <f>IF(Jul[[#This Row],[Name]]="","",IF(VLOOKUP(Jul[[#This Row],[Name]],Overview[],14,FALSE)="","N/A",(Jul[[#This Row],[July Weight (kg)]]-VLOOKUP(Jul[[#This Row],[Name]],Overview[],14,FALSE))/VLOOKUP(Jul[[#This Row],[Name]],Overview[],14,FALSE)))</f>
        <v/>
      </c>
      <c r="H32" s="61" t="str" cm="1">
        <f t="array" ref="H32">IF(Jul[[#This Row],[Name]]="","",IF(SUMPRODUCT((Overview[Name]=Jul[[#This Row],[Name]])*ISNUMBER(Overview[[January 
Weight (kg)]:[April 
Weight (kg)]]))=0,"N/A",MAX(IF((Overview[Name]=Jul[[#This Row],[Name]])*ISNUMBER(Overview[[January 
Weight (kg)]:[April 
Weight (kg)]]),Overview[[January 
Weight (kg)]:[April 
Weight (kg)]]))))</f>
        <v/>
      </c>
      <c r="I32" s="57" t="str">
        <f>IF(Jul[[#This Row],[Name]]="","",IF(NOT(ISNUMBER(Jul[[#This Row],[Highest Weight in the Past 3 - 6 Months]])),"N/A",IF(Jul[[#This Row],[July Weight (kg)]]=Jul[[#This Row],[Highest Weight in the Past 3 - 6 Months]],0,Jul[[#This Row],[July Weight (kg)]]-Jul[[#This Row],[Highest Weight in the Past 3 - 6 Months]])))</f>
        <v/>
      </c>
      <c r="J32"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2" s="130"/>
      <c r="L32" s="131"/>
      <c r="M32"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2" s="64" t="str">
        <f>IF(Jul[[#This Row],[Name]]="","",IF(Jul[[#This Row],[July MUST Score ]]=0,"Low",IF(Jul[[#This Row],[July MUST Score ]]=1,"Medium","High")))</f>
        <v/>
      </c>
      <c r="O32" s="10"/>
      <c r="P32" s="70"/>
      <c r="Q32" s="12"/>
      <c r="R32" s="17"/>
      <c r="S32" s="10"/>
      <c r="T32" s="17"/>
      <c r="U32" s="70"/>
      <c r="V32" s="11"/>
      <c r="W32" s="94"/>
      <c r="X32" s="12"/>
      <c r="Y32" s="11"/>
    </row>
    <row r="33" spans="2:25" x14ac:dyDescent="0.25">
      <c r="B33" s="12"/>
      <c r="C33" s="129"/>
      <c r="D33" s="94"/>
      <c r="E33" s="58" t="str">
        <f>IF(Jul[[#This Row],[Name]]="","",Jul[[#This Row],[July Weight (kg)]]/(VLOOKUP(Jul[[#This Row],[Name]],Overview[],2,FALSE)/100)^2)</f>
        <v/>
      </c>
      <c r="F33" s="58" t="str">
        <f>IF(Jul[[#This Row],[Name]]="","",IF(VLOOKUP(Jul[[#This Row],[Name]],Overview[],14,FALSE)="","N/A",Jul[[#This Row],[July Weight (kg)]]-VLOOKUP(Jun[[#This Row],[Name]],Overview[],14,FALSE)))</f>
        <v/>
      </c>
      <c r="G33" s="175" t="str">
        <f>IF(Jul[[#This Row],[Name]]="","",IF(VLOOKUP(Jul[[#This Row],[Name]],Overview[],14,FALSE)="","N/A",(Jul[[#This Row],[July Weight (kg)]]-VLOOKUP(Jul[[#This Row],[Name]],Overview[],14,FALSE))/VLOOKUP(Jul[[#This Row],[Name]],Overview[],14,FALSE)))</f>
        <v/>
      </c>
      <c r="H33" s="61" t="str" cm="1">
        <f t="array" ref="H33">IF(Jul[[#This Row],[Name]]="","",IF(SUMPRODUCT((Overview[Name]=Jul[[#This Row],[Name]])*ISNUMBER(Overview[[January 
Weight (kg)]:[April 
Weight (kg)]]))=0,"N/A",MAX(IF((Overview[Name]=Jul[[#This Row],[Name]])*ISNUMBER(Overview[[January 
Weight (kg)]:[April 
Weight (kg)]]),Overview[[January 
Weight (kg)]:[April 
Weight (kg)]]))))</f>
        <v/>
      </c>
      <c r="I33" s="57" t="str">
        <f>IF(Jul[[#This Row],[Name]]="","",IF(NOT(ISNUMBER(Jul[[#This Row],[Highest Weight in the Past 3 - 6 Months]])),"N/A",IF(Jul[[#This Row],[July Weight (kg)]]=Jul[[#This Row],[Highest Weight in the Past 3 - 6 Months]],0,Jul[[#This Row],[July Weight (kg)]]-Jul[[#This Row],[Highest Weight in the Past 3 - 6 Months]])))</f>
        <v/>
      </c>
      <c r="J33"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3" s="130"/>
      <c r="L33" s="131"/>
      <c r="M33"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3" s="64" t="str">
        <f>IF(Jul[[#This Row],[Name]]="","",IF(Jul[[#This Row],[July MUST Score ]]=0,"Low",IF(Jul[[#This Row],[July MUST Score ]]=1,"Medium","High")))</f>
        <v/>
      </c>
      <c r="O33" s="10"/>
      <c r="P33" s="70"/>
      <c r="Q33" s="12"/>
      <c r="R33" s="17"/>
      <c r="S33" s="10"/>
      <c r="T33" s="17"/>
      <c r="U33" s="70"/>
      <c r="V33" s="11"/>
      <c r="W33" s="94"/>
      <c r="X33" s="12"/>
      <c r="Y33" s="11"/>
    </row>
    <row r="34" spans="2:25" x14ac:dyDescent="0.25">
      <c r="B34" s="12"/>
      <c r="C34" s="129"/>
      <c r="D34" s="94"/>
      <c r="E34" s="58" t="str">
        <f>IF(Jul[[#This Row],[Name]]="","",Jul[[#This Row],[July Weight (kg)]]/(VLOOKUP(Jul[[#This Row],[Name]],Overview[],2,FALSE)/100)^2)</f>
        <v/>
      </c>
      <c r="F34" s="58" t="str">
        <f>IF(Jul[[#This Row],[Name]]="","",IF(VLOOKUP(Jul[[#This Row],[Name]],Overview[],14,FALSE)="","N/A",Jul[[#This Row],[July Weight (kg)]]-VLOOKUP(Jun[[#This Row],[Name]],Overview[],14,FALSE)))</f>
        <v/>
      </c>
      <c r="G34" s="175" t="str">
        <f>IF(Jul[[#This Row],[Name]]="","",IF(VLOOKUP(Jul[[#This Row],[Name]],Overview[],14,FALSE)="","N/A",(Jul[[#This Row],[July Weight (kg)]]-VLOOKUP(Jul[[#This Row],[Name]],Overview[],14,FALSE))/VLOOKUP(Jul[[#This Row],[Name]],Overview[],14,FALSE)))</f>
        <v/>
      </c>
      <c r="H34" s="61" t="str" cm="1">
        <f t="array" ref="H34">IF(Jul[[#This Row],[Name]]="","",IF(SUMPRODUCT((Overview[Name]=Jul[[#This Row],[Name]])*ISNUMBER(Overview[[January 
Weight (kg)]:[April 
Weight (kg)]]))=0,"N/A",MAX(IF((Overview[Name]=Jul[[#This Row],[Name]])*ISNUMBER(Overview[[January 
Weight (kg)]:[April 
Weight (kg)]]),Overview[[January 
Weight (kg)]:[April 
Weight (kg)]]))))</f>
        <v/>
      </c>
      <c r="I34" s="57" t="str">
        <f>IF(Jul[[#This Row],[Name]]="","",IF(NOT(ISNUMBER(Jul[[#This Row],[Highest Weight in the Past 3 - 6 Months]])),"N/A",IF(Jul[[#This Row],[July Weight (kg)]]=Jul[[#This Row],[Highest Weight in the Past 3 - 6 Months]],0,Jul[[#This Row],[July Weight (kg)]]-Jul[[#This Row],[Highest Weight in the Past 3 - 6 Months]])))</f>
        <v/>
      </c>
      <c r="J34"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4" s="130"/>
      <c r="L34" s="131"/>
      <c r="M34"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4" s="64" t="str">
        <f>IF(Jul[[#This Row],[Name]]="","",IF(Jul[[#This Row],[July MUST Score ]]=0,"Low",IF(Jul[[#This Row],[July MUST Score ]]=1,"Medium","High")))</f>
        <v/>
      </c>
      <c r="O34" s="10"/>
      <c r="P34" s="70"/>
      <c r="Q34" s="12"/>
      <c r="R34" s="17"/>
      <c r="S34" s="10"/>
      <c r="T34" s="17"/>
      <c r="U34" s="70"/>
      <c r="V34" s="11"/>
      <c r="W34" s="94"/>
      <c r="X34" s="12"/>
      <c r="Y34" s="11"/>
    </row>
    <row r="35" spans="2:25" x14ac:dyDescent="0.25">
      <c r="B35" s="12"/>
      <c r="C35" s="129"/>
      <c r="D35" s="94"/>
      <c r="E35" s="58" t="str">
        <f>IF(Jul[[#This Row],[Name]]="","",Jul[[#This Row],[July Weight (kg)]]/(VLOOKUP(Jul[[#This Row],[Name]],Overview[],2,FALSE)/100)^2)</f>
        <v/>
      </c>
      <c r="F35" s="58" t="str">
        <f>IF(Jul[[#This Row],[Name]]="","",IF(VLOOKUP(Jul[[#This Row],[Name]],Overview[],14,FALSE)="","N/A",Jul[[#This Row],[July Weight (kg)]]-VLOOKUP(Jun[[#This Row],[Name]],Overview[],14,FALSE)))</f>
        <v/>
      </c>
      <c r="G35" s="175" t="str">
        <f>IF(Jul[[#This Row],[Name]]="","",IF(VLOOKUP(Jul[[#This Row],[Name]],Overview[],14,FALSE)="","N/A",(Jul[[#This Row],[July Weight (kg)]]-VLOOKUP(Jul[[#This Row],[Name]],Overview[],14,FALSE))/VLOOKUP(Jul[[#This Row],[Name]],Overview[],14,FALSE)))</f>
        <v/>
      </c>
      <c r="H35" s="61" t="str" cm="1">
        <f t="array" ref="H35">IF(Jul[[#This Row],[Name]]="","",IF(SUMPRODUCT((Overview[Name]=Jul[[#This Row],[Name]])*ISNUMBER(Overview[[January 
Weight (kg)]:[April 
Weight (kg)]]))=0,"N/A",MAX(IF((Overview[Name]=Jul[[#This Row],[Name]])*ISNUMBER(Overview[[January 
Weight (kg)]:[April 
Weight (kg)]]),Overview[[January 
Weight (kg)]:[April 
Weight (kg)]]))))</f>
        <v/>
      </c>
      <c r="I35" s="57" t="str">
        <f>IF(Jul[[#This Row],[Name]]="","",IF(NOT(ISNUMBER(Jul[[#This Row],[Highest Weight in the Past 3 - 6 Months]])),"N/A",IF(Jul[[#This Row],[July Weight (kg)]]=Jul[[#This Row],[Highest Weight in the Past 3 - 6 Months]],0,Jul[[#This Row],[July Weight (kg)]]-Jul[[#This Row],[Highest Weight in the Past 3 - 6 Months]])))</f>
        <v/>
      </c>
      <c r="J35"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5" s="130"/>
      <c r="L35" s="131"/>
      <c r="M35"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5" s="64" t="str">
        <f>IF(Jul[[#This Row],[Name]]="","",IF(Jul[[#This Row],[July MUST Score ]]=0,"Low",IF(Jul[[#This Row],[July MUST Score ]]=1,"Medium","High")))</f>
        <v/>
      </c>
      <c r="O35" s="10"/>
      <c r="P35" s="70"/>
      <c r="Q35" s="12"/>
      <c r="R35" s="17"/>
      <c r="S35" s="10"/>
      <c r="T35" s="17"/>
      <c r="U35" s="70"/>
      <c r="V35" s="11"/>
      <c r="W35" s="94"/>
      <c r="X35" s="12"/>
      <c r="Y35" s="11"/>
    </row>
    <row r="36" spans="2:25" x14ac:dyDescent="0.25">
      <c r="B36" s="12"/>
      <c r="C36" s="129"/>
      <c r="D36" s="94"/>
      <c r="E36" s="58" t="str">
        <f>IF(Jul[[#This Row],[Name]]="","",Jul[[#This Row],[July Weight (kg)]]/(VLOOKUP(Jul[[#This Row],[Name]],Overview[],2,FALSE)/100)^2)</f>
        <v/>
      </c>
      <c r="F36" s="58" t="str">
        <f>IF(Jul[[#This Row],[Name]]="","",IF(VLOOKUP(Jul[[#This Row],[Name]],Overview[],14,FALSE)="","N/A",Jul[[#This Row],[July Weight (kg)]]-VLOOKUP(Jun[[#This Row],[Name]],Overview[],14,FALSE)))</f>
        <v/>
      </c>
      <c r="G36" s="175" t="str">
        <f>IF(Jul[[#This Row],[Name]]="","",IF(VLOOKUP(Jul[[#This Row],[Name]],Overview[],14,FALSE)="","N/A",(Jul[[#This Row],[July Weight (kg)]]-VLOOKUP(Jul[[#This Row],[Name]],Overview[],14,FALSE))/VLOOKUP(Jul[[#This Row],[Name]],Overview[],14,FALSE)))</f>
        <v/>
      </c>
      <c r="H36" s="61" t="str" cm="1">
        <f t="array" ref="H36">IF(Jul[[#This Row],[Name]]="","",IF(SUMPRODUCT((Overview[Name]=Jul[[#This Row],[Name]])*ISNUMBER(Overview[[January 
Weight (kg)]:[April 
Weight (kg)]]))=0,"N/A",MAX(IF((Overview[Name]=Jul[[#This Row],[Name]])*ISNUMBER(Overview[[January 
Weight (kg)]:[April 
Weight (kg)]]),Overview[[January 
Weight (kg)]:[April 
Weight (kg)]]))))</f>
        <v/>
      </c>
      <c r="I36" s="57" t="str">
        <f>IF(Jul[[#This Row],[Name]]="","",IF(NOT(ISNUMBER(Jul[[#This Row],[Highest Weight in the Past 3 - 6 Months]])),"N/A",IF(Jul[[#This Row],[July Weight (kg)]]=Jul[[#This Row],[Highest Weight in the Past 3 - 6 Months]],0,Jul[[#This Row],[July Weight (kg)]]-Jul[[#This Row],[Highest Weight in the Past 3 - 6 Months]])))</f>
        <v/>
      </c>
      <c r="J36"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6" s="130"/>
      <c r="L36" s="131"/>
      <c r="M36"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6" s="64" t="str">
        <f>IF(Jul[[#This Row],[Name]]="","",IF(Jul[[#This Row],[July MUST Score ]]=0,"Low",IF(Jul[[#This Row],[July MUST Score ]]=1,"Medium","High")))</f>
        <v/>
      </c>
      <c r="O36" s="10"/>
      <c r="P36" s="70"/>
      <c r="Q36" s="12"/>
      <c r="R36" s="17"/>
      <c r="S36" s="10"/>
      <c r="T36" s="17"/>
      <c r="U36" s="70"/>
      <c r="V36" s="11"/>
      <c r="W36" s="94"/>
      <c r="X36" s="12"/>
      <c r="Y36" s="11"/>
    </row>
    <row r="37" spans="2:25" x14ac:dyDescent="0.25">
      <c r="B37" s="12"/>
      <c r="C37" s="129"/>
      <c r="D37" s="94"/>
      <c r="E37" s="58" t="str">
        <f>IF(Jul[[#This Row],[Name]]="","",Jul[[#This Row],[July Weight (kg)]]/(VLOOKUP(Jul[[#This Row],[Name]],Overview[],2,FALSE)/100)^2)</f>
        <v/>
      </c>
      <c r="F37" s="58" t="str">
        <f>IF(Jul[[#This Row],[Name]]="","",IF(VLOOKUP(Jul[[#This Row],[Name]],Overview[],14,FALSE)="","N/A",Jul[[#This Row],[July Weight (kg)]]-VLOOKUP(Jun[[#This Row],[Name]],Overview[],14,FALSE)))</f>
        <v/>
      </c>
      <c r="G37" s="175" t="str">
        <f>IF(Jul[[#This Row],[Name]]="","",IF(VLOOKUP(Jul[[#This Row],[Name]],Overview[],14,FALSE)="","N/A",(Jul[[#This Row],[July Weight (kg)]]-VLOOKUP(Jul[[#This Row],[Name]],Overview[],14,FALSE))/VLOOKUP(Jul[[#This Row],[Name]],Overview[],14,FALSE)))</f>
        <v/>
      </c>
      <c r="H37" s="61" t="str" cm="1">
        <f t="array" ref="H37">IF(Jul[[#This Row],[Name]]="","",IF(SUMPRODUCT((Overview[Name]=Jul[[#This Row],[Name]])*ISNUMBER(Overview[[January 
Weight (kg)]:[April 
Weight (kg)]]))=0,"N/A",MAX(IF((Overview[Name]=Jul[[#This Row],[Name]])*ISNUMBER(Overview[[January 
Weight (kg)]:[April 
Weight (kg)]]),Overview[[January 
Weight (kg)]:[April 
Weight (kg)]]))))</f>
        <v/>
      </c>
      <c r="I37" s="57" t="str">
        <f>IF(Jul[[#This Row],[Name]]="","",IF(NOT(ISNUMBER(Jul[[#This Row],[Highest Weight in the Past 3 - 6 Months]])),"N/A",IF(Jul[[#This Row],[July Weight (kg)]]=Jul[[#This Row],[Highest Weight in the Past 3 - 6 Months]],0,Jul[[#This Row],[July Weight (kg)]]-Jul[[#This Row],[Highest Weight in the Past 3 - 6 Months]])))</f>
        <v/>
      </c>
      <c r="J37"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7" s="130"/>
      <c r="L37" s="131"/>
      <c r="M37"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7" s="64" t="str">
        <f>IF(Jul[[#This Row],[Name]]="","",IF(Jul[[#This Row],[July MUST Score ]]=0,"Low",IF(Jul[[#This Row],[July MUST Score ]]=1,"Medium","High")))</f>
        <v/>
      </c>
      <c r="O37" s="10"/>
      <c r="P37" s="70"/>
      <c r="Q37" s="12"/>
      <c r="R37" s="17"/>
      <c r="S37" s="10"/>
      <c r="T37" s="17"/>
      <c r="U37" s="70"/>
      <c r="V37" s="11"/>
      <c r="W37" s="94"/>
      <c r="X37" s="12"/>
      <c r="Y37" s="11"/>
    </row>
    <row r="38" spans="2:25" x14ac:dyDescent="0.25">
      <c r="B38" s="12"/>
      <c r="C38" s="129"/>
      <c r="D38" s="94"/>
      <c r="E38" s="58" t="str">
        <f>IF(Jul[[#This Row],[Name]]="","",Jul[[#This Row],[July Weight (kg)]]/(VLOOKUP(Jul[[#This Row],[Name]],Overview[],2,FALSE)/100)^2)</f>
        <v/>
      </c>
      <c r="F38" s="58" t="str">
        <f>IF(Jul[[#This Row],[Name]]="","",IF(VLOOKUP(Jul[[#This Row],[Name]],Overview[],14,FALSE)="","N/A",Jul[[#This Row],[July Weight (kg)]]-VLOOKUP(Jun[[#This Row],[Name]],Overview[],14,FALSE)))</f>
        <v/>
      </c>
      <c r="G38" s="175" t="str">
        <f>IF(Jul[[#This Row],[Name]]="","",IF(VLOOKUP(Jul[[#This Row],[Name]],Overview[],14,FALSE)="","N/A",(Jul[[#This Row],[July Weight (kg)]]-VLOOKUP(Jul[[#This Row],[Name]],Overview[],14,FALSE))/VLOOKUP(Jul[[#This Row],[Name]],Overview[],14,FALSE)))</f>
        <v/>
      </c>
      <c r="H38" s="61" t="str" cm="1">
        <f t="array" ref="H38">IF(Jul[[#This Row],[Name]]="","",IF(SUMPRODUCT((Overview[Name]=Jul[[#This Row],[Name]])*ISNUMBER(Overview[[January 
Weight (kg)]:[April 
Weight (kg)]]))=0,"N/A",MAX(IF((Overview[Name]=Jul[[#This Row],[Name]])*ISNUMBER(Overview[[January 
Weight (kg)]:[April 
Weight (kg)]]),Overview[[January 
Weight (kg)]:[April 
Weight (kg)]]))))</f>
        <v/>
      </c>
      <c r="I38" s="57" t="str">
        <f>IF(Jul[[#This Row],[Name]]="","",IF(NOT(ISNUMBER(Jul[[#This Row],[Highest Weight in the Past 3 - 6 Months]])),"N/A",IF(Jul[[#This Row],[July Weight (kg)]]=Jul[[#This Row],[Highest Weight in the Past 3 - 6 Months]],0,Jul[[#This Row],[July Weight (kg)]]-Jul[[#This Row],[Highest Weight in the Past 3 - 6 Months]])))</f>
        <v/>
      </c>
      <c r="J38"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8" s="130"/>
      <c r="L38" s="131"/>
      <c r="M38"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8" s="64" t="str">
        <f>IF(Jul[[#This Row],[Name]]="","",IF(Jul[[#This Row],[July MUST Score ]]=0,"Low",IF(Jul[[#This Row],[July MUST Score ]]=1,"Medium","High")))</f>
        <v/>
      </c>
      <c r="O38" s="10"/>
      <c r="P38" s="70"/>
      <c r="Q38" s="12"/>
      <c r="R38" s="17"/>
      <c r="S38" s="10"/>
      <c r="T38" s="17"/>
      <c r="U38" s="70"/>
      <c r="V38" s="11"/>
      <c r="W38" s="94"/>
      <c r="X38" s="12"/>
      <c r="Y38" s="11"/>
    </row>
    <row r="39" spans="2:25" x14ac:dyDescent="0.25">
      <c r="B39" s="12"/>
      <c r="C39" s="129"/>
      <c r="D39" s="94"/>
      <c r="E39" s="58" t="str">
        <f>IF(Jul[[#This Row],[Name]]="","",Jul[[#This Row],[July Weight (kg)]]/(VLOOKUP(Jul[[#This Row],[Name]],Overview[],2,FALSE)/100)^2)</f>
        <v/>
      </c>
      <c r="F39" s="58" t="str">
        <f>IF(Jul[[#This Row],[Name]]="","",IF(VLOOKUP(Jul[[#This Row],[Name]],Overview[],14,FALSE)="","N/A",Jul[[#This Row],[July Weight (kg)]]-VLOOKUP(Jun[[#This Row],[Name]],Overview[],14,FALSE)))</f>
        <v/>
      </c>
      <c r="G39" s="175" t="str">
        <f>IF(Jul[[#This Row],[Name]]="","",IF(VLOOKUP(Jul[[#This Row],[Name]],Overview[],14,FALSE)="","N/A",(Jul[[#This Row],[July Weight (kg)]]-VLOOKUP(Jul[[#This Row],[Name]],Overview[],14,FALSE))/VLOOKUP(Jul[[#This Row],[Name]],Overview[],14,FALSE)))</f>
        <v/>
      </c>
      <c r="H39" s="61" t="str" cm="1">
        <f t="array" ref="H39">IF(Jul[[#This Row],[Name]]="","",IF(SUMPRODUCT((Overview[Name]=Jul[[#This Row],[Name]])*ISNUMBER(Overview[[January 
Weight (kg)]:[April 
Weight (kg)]]))=0,"N/A",MAX(IF((Overview[Name]=Jul[[#This Row],[Name]])*ISNUMBER(Overview[[January 
Weight (kg)]:[April 
Weight (kg)]]),Overview[[January 
Weight (kg)]:[April 
Weight (kg)]]))))</f>
        <v/>
      </c>
      <c r="I39" s="57" t="str">
        <f>IF(Jul[[#This Row],[Name]]="","",IF(NOT(ISNUMBER(Jul[[#This Row],[Highest Weight in the Past 3 - 6 Months]])),"N/A",IF(Jul[[#This Row],[July Weight (kg)]]=Jul[[#This Row],[Highest Weight in the Past 3 - 6 Months]],0,Jul[[#This Row],[July Weight (kg)]]-Jul[[#This Row],[Highest Weight in the Past 3 - 6 Months]])))</f>
        <v/>
      </c>
      <c r="J39"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39" s="130"/>
      <c r="L39" s="131"/>
      <c r="M39"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39" s="64" t="str">
        <f>IF(Jul[[#This Row],[Name]]="","",IF(Jul[[#This Row],[July MUST Score ]]=0,"Low",IF(Jul[[#This Row],[July MUST Score ]]=1,"Medium","High")))</f>
        <v/>
      </c>
      <c r="O39" s="10"/>
      <c r="P39" s="70"/>
      <c r="Q39" s="12"/>
      <c r="R39" s="17"/>
      <c r="S39" s="10"/>
      <c r="T39" s="17"/>
      <c r="U39" s="70"/>
      <c r="V39" s="11"/>
      <c r="W39" s="94"/>
      <c r="X39" s="12"/>
      <c r="Y39" s="11"/>
    </row>
    <row r="40" spans="2:25" x14ac:dyDescent="0.25">
      <c r="B40" s="12"/>
      <c r="C40" s="129"/>
      <c r="D40" s="94"/>
      <c r="E40" s="58" t="str">
        <f>IF(Jul[[#This Row],[Name]]="","",Jul[[#This Row],[July Weight (kg)]]/(VLOOKUP(Jul[[#This Row],[Name]],Overview[],2,FALSE)/100)^2)</f>
        <v/>
      </c>
      <c r="F40" s="58" t="str">
        <f>IF(Jul[[#This Row],[Name]]="","",IF(VLOOKUP(Jul[[#This Row],[Name]],Overview[],14,FALSE)="","N/A",Jul[[#This Row],[July Weight (kg)]]-VLOOKUP(Jun[[#This Row],[Name]],Overview[],14,FALSE)))</f>
        <v/>
      </c>
      <c r="G40" s="175" t="str">
        <f>IF(Jul[[#This Row],[Name]]="","",IF(VLOOKUP(Jul[[#This Row],[Name]],Overview[],14,FALSE)="","N/A",(Jul[[#This Row],[July Weight (kg)]]-VLOOKUP(Jul[[#This Row],[Name]],Overview[],14,FALSE))/VLOOKUP(Jul[[#This Row],[Name]],Overview[],14,FALSE)))</f>
        <v/>
      </c>
      <c r="H40" s="61" t="str" cm="1">
        <f t="array" ref="H40">IF(Jul[[#This Row],[Name]]="","",IF(SUMPRODUCT((Overview[Name]=Jul[[#This Row],[Name]])*ISNUMBER(Overview[[January 
Weight (kg)]:[April 
Weight (kg)]]))=0,"N/A",MAX(IF((Overview[Name]=Jul[[#This Row],[Name]])*ISNUMBER(Overview[[January 
Weight (kg)]:[April 
Weight (kg)]]),Overview[[January 
Weight (kg)]:[April 
Weight (kg)]]))))</f>
        <v/>
      </c>
      <c r="I40" s="57" t="str">
        <f>IF(Jul[[#This Row],[Name]]="","",IF(NOT(ISNUMBER(Jul[[#This Row],[Highest Weight in the Past 3 - 6 Months]])),"N/A",IF(Jul[[#This Row],[July Weight (kg)]]=Jul[[#This Row],[Highest Weight in the Past 3 - 6 Months]],0,Jul[[#This Row],[July Weight (kg)]]-Jul[[#This Row],[Highest Weight in the Past 3 - 6 Months]])))</f>
        <v/>
      </c>
      <c r="J40"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40" s="130"/>
      <c r="L40" s="131"/>
      <c r="M40"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40" s="64" t="str">
        <f>IF(Jul[[#This Row],[Name]]="","",IF(Jul[[#This Row],[July MUST Score ]]=0,"Low",IF(Jul[[#This Row],[July MUST Score ]]=1,"Medium","High")))</f>
        <v/>
      </c>
      <c r="O40" s="10"/>
      <c r="P40" s="70"/>
      <c r="Q40" s="12"/>
      <c r="R40" s="17"/>
      <c r="S40" s="10"/>
      <c r="T40" s="17"/>
      <c r="U40" s="70"/>
      <c r="V40" s="11"/>
      <c r="W40" s="94"/>
      <c r="X40" s="12"/>
      <c r="Y40" s="11"/>
    </row>
    <row r="41" spans="2:25" x14ac:dyDescent="0.25">
      <c r="B41" s="12"/>
      <c r="C41" s="129"/>
      <c r="D41" s="94"/>
      <c r="E41" s="58" t="str">
        <f>IF(Jul[[#This Row],[Name]]="","",Jul[[#This Row],[July Weight (kg)]]/(VLOOKUP(Jul[[#This Row],[Name]],Overview[],2,FALSE)/100)^2)</f>
        <v/>
      </c>
      <c r="F41" s="58" t="str">
        <f>IF(Jul[[#This Row],[Name]]="","",IF(VLOOKUP(Jul[[#This Row],[Name]],Overview[],14,FALSE)="","N/A",Jul[[#This Row],[July Weight (kg)]]-VLOOKUP(Jun[[#This Row],[Name]],Overview[],14,FALSE)))</f>
        <v/>
      </c>
      <c r="G41" s="175" t="str">
        <f>IF(Jul[[#This Row],[Name]]="","",IF(VLOOKUP(Jul[[#This Row],[Name]],Overview[],14,FALSE)="","N/A",(Jul[[#This Row],[July Weight (kg)]]-VLOOKUP(Jul[[#This Row],[Name]],Overview[],14,FALSE))/VLOOKUP(Jul[[#This Row],[Name]],Overview[],14,FALSE)))</f>
        <v/>
      </c>
      <c r="H41" s="61" t="str" cm="1">
        <f t="array" ref="H41">IF(Jul[[#This Row],[Name]]="","",IF(SUMPRODUCT((Overview[Name]=Jul[[#This Row],[Name]])*ISNUMBER(Overview[[January 
Weight (kg)]:[April 
Weight (kg)]]))=0,"N/A",MAX(IF((Overview[Name]=Jul[[#This Row],[Name]])*ISNUMBER(Overview[[January 
Weight (kg)]:[April 
Weight (kg)]]),Overview[[January 
Weight (kg)]:[April 
Weight (kg)]]))))</f>
        <v/>
      </c>
      <c r="I41" s="57" t="str">
        <f>IF(Jul[[#This Row],[Name]]="","",IF(NOT(ISNUMBER(Jul[[#This Row],[Highest Weight in the Past 3 - 6 Months]])),"N/A",IF(Jul[[#This Row],[July Weight (kg)]]=Jul[[#This Row],[Highest Weight in the Past 3 - 6 Months]],0,Jul[[#This Row],[July Weight (kg)]]-Jul[[#This Row],[Highest Weight in the Past 3 - 6 Months]])))</f>
        <v/>
      </c>
      <c r="J41"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41" s="130"/>
      <c r="L41" s="131"/>
      <c r="M41" s="76"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41" s="64" t="str">
        <f>IF(Jul[[#This Row],[Name]]="","",IF(Jul[[#This Row],[July MUST Score ]]=0,"Low",IF(Jul[[#This Row],[July MUST Score ]]=1,"Medium","High")))</f>
        <v/>
      </c>
      <c r="O41" s="10"/>
      <c r="P41" s="70"/>
      <c r="Q41" s="12"/>
      <c r="R41" s="17"/>
      <c r="S41" s="10"/>
      <c r="T41" s="17"/>
      <c r="U41" s="70"/>
      <c r="V41" s="11"/>
      <c r="W41" s="94"/>
      <c r="X41" s="12"/>
      <c r="Y41" s="11"/>
    </row>
    <row r="42" spans="2:25" ht="15.75" thickBot="1" x14ac:dyDescent="0.3">
      <c r="B42" s="18"/>
      <c r="C42" s="132"/>
      <c r="D42" s="95"/>
      <c r="E42" s="60" t="str">
        <f>IF(Jul[[#This Row],[Name]]="","",Jul[[#This Row],[July Weight (kg)]]/(VLOOKUP(Jul[[#This Row],[Name]],Overview[],2,FALSE)/100)^2)</f>
        <v/>
      </c>
      <c r="F42" s="60" t="str">
        <f>IF(Jul[[#This Row],[Name]]="","",IF(VLOOKUP(Jul[[#This Row],[Name]],Overview[],14,FALSE)="","N/A",Jul[[#This Row],[July Weight (kg)]]-VLOOKUP(Jun[[#This Row],[Name]],Overview[],14,FALSE)))</f>
        <v/>
      </c>
      <c r="G42" s="176" t="str">
        <f>IF(Jul[[#This Row],[Name]]="","",IF(VLOOKUP(Jul[[#This Row],[Name]],Overview[],14,FALSE)="","N/A",(Jul[[#This Row],[July Weight (kg)]]-VLOOKUP(Jul[[#This Row],[Name]],Overview[],14,FALSE))/VLOOKUP(Jul[[#This Row],[Name]],Overview[],14,FALSE)))</f>
        <v/>
      </c>
      <c r="H42" s="61" t="str" cm="1">
        <f t="array" ref="H42">IF(Jul[[#This Row],[Name]]="","",IF(SUMPRODUCT((Overview[Name]=Jul[[#This Row],[Name]])*ISNUMBER(Overview[[January 
Weight (kg)]:[April 
Weight (kg)]]))=0,"N/A",MAX(IF((Overview[Name]=Jul[[#This Row],[Name]])*ISNUMBER(Overview[[January 
Weight (kg)]:[April 
Weight (kg)]]),Overview[[January 
Weight (kg)]:[April 
Weight (kg)]]))))</f>
        <v/>
      </c>
      <c r="I42" s="57" t="str">
        <f>IF(Jul[[#This Row],[Name]]="","",IF(NOT(ISNUMBER(Jul[[#This Row],[Highest Weight in the Past 3 - 6 Months]])),"N/A",IF(Jul[[#This Row],[July Weight (kg)]]=Jul[[#This Row],[Highest Weight in the Past 3 - 6 Months]],0,Jul[[#This Row],[July Weight (kg)]]-Jul[[#This Row],[Highest Weight in the Past 3 - 6 Months]])))</f>
        <v/>
      </c>
      <c r="J42" s="179" t="str">
        <f>IF(Jul[[#This Row],[Name]]="","",IF(OR(Jul[[#This Row],[Highest Weight in the Past 3 - 6 Months]]="",Jul[[#This Row],[Highest Weight in the Past 3 - 6 Months]]="N/A"),"N/A",IFERROR(Jul[[#This Row],[Weight (kg) Difference from Highest Weight in Past 3 - 6 Months (Current Month - Highest Month)]]/Jul[[#This Row],[Highest Weight in the Past 3 - 6 Months]],"N/A")))</f>
        <v/>
      </c>
      <c r="K42" s="133"/>
      <c r="L42" s="134"/>
      <c r="M42" s="77" t="str">
        <f>IF(Jul[[#This Row],[Name]]="","",IFERROR(IF(Jul[[#This Row],[July BMI (kg/m2)]]&gt;20,0,IF(Jul[[#This Row],[July BMI (kg/m2)]]&gt;=18.5,1,2))+IF(Jul[[#This Row],[If Weight has been lost, is this Planned? (Yes/No)]]="Yes",0,IF(Jul[[#This Row],[Weight (kg) Difference from Highest Weight in 3 - 6 months as %]]&gt;-0.05,0,IF(Jul[[#This Row],[Weight (kg) Difference from Highest Weight in 3 - 6 months as %]]&gt;=-0.1,1,2))),""))</f>
        <v/>
      </c>
      <c r="N42" s="64" t="str">
        <f>IF(Jul[[#This Row],[Name]]="","",IF(Jul[[#This Row],[July MUST Score ]]=0,"Low",IF(Jul[[#This Row],[July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48" priority="6" operator="greaterThanOrEqual">
      <formula>2</formula>
    </cfRule>
    <cfRule type="cellIs" dxfId="47" priority="7" operator="equal">
      <formula>1</formula>
    </cfRule>
    <cfRule type="cellIs" dxfId="46" priority="8" operator="equal">
      <formula>0</formula>
    </cfRule>
  </conditionalFormatting>
  <conditionalFormatting sqref="N8:N42">
    <cfRule type="containsText" dxfId="45" priority="2" operator="containsText" text="High">
      <formula>NOT(ISERROR(SEARCH("High",N8)))</formula>
    </cfRule>
    <cfRule type="containsText" dxfId="44" priority="3" operator="containsText" text="Medium">
      <formula>NOT(ISERROR(SEARCH("Medium",N8)))</formula>
    </cfRule>
    <cfRule type="containsText" dxfId="43" priority="4" operator="containsText" text="Low">
      <formula>NOT(ISERROR(SEARCH("Low",N8)))</formula>
    </cfRule>
  </conditionalFormatting>
  <conditionalFormatting sqref="W8:X42">
    <cfRule type="containsText" dxfId="42"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FBD357FA-A008-463D-B550-C37B087A35E5}">
          <x14:formula1>
            <xm:f>Validation!$A$33:$A$37</xm:f>
          </x14:formula1>
          <xm:sqref>V8:V42</xm:sqref>
        </x14:dataValidation>
        <x14:dataValidation type="list" allowBlank="1" showInputMessage="1" showErrorMessage="1" xr:uid="{200795C5-645D-41AA-9FF6-F55168A0F11D}">
          <x14:formula1>
            <xm:f>Validation!$A$27:$A$31</xm:f>
          </x14:formula1>
          <xm:sqref>U8:U42</xm:sqref>
        </x14:dataValidation>
        <x14:dataValidation type="list" allowBlank="1" showInputMessage="1" showErrorMessage="1" xr:uid="{12A0CC1B-906C-4CF9-B395-820C6115999A}">
          <x14:formula1>
            <xm:f>'Weight Overview'!$B$4:$B$38</xm:f>
          </x14:formula1>
          <xm:sqref>B8:B42</xm:sqref>
        </x14:dataValidation>
        <x14:dataValidation type="list" allowBlank="1" showInputMessage="1" showErrorMessage="1" xr:uid="{8BA16EE6-E89C-4878-889D-4EFD7FAA408A}">
          <x14:formula1>
            <xm:f>Validation!$A$2:$A$3</xm:f>
          </x14:formula1>
          <xm:sqref>O8:O42 K8:L42 W8:W42 Q8:Q42 S8:S42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BC9-970A-43B3-9931-CCCFBE06B917}">
  <sheetPr>
    <tabColor theme="8"/>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13" t="s">
        <v>1</v>
      </c>
      <c r="C4" s="90" t="s">
        <v>13</v>
      </c>
      <c r="D4" s="114" t="s">
        <v>2</v>
      </c>
      <c r="E4" s="88" t="s">
        <v>3</v>
      </c>
      <c r="Y4" s="62"/>
      <c r="Z4" s="2"/>
    </row>
    <row r="5" spans="2:26" ht="15.75" thickBot="1" x14ac:dyDescent="0.3">
      <c r="B5" s="74"/>
      <c r="C5" s="73"/>
      <c r="D5" s="73"/>
      <c r="E5" s="65"/>
      <c r="P5" s="81"/>
      <c r="W5" s="74"/>
      <c r="X5" s="62"/>
      <c r="Y5" s="62"/>
      <c r="Z5" s="2"/>
    </row>
    <row r="6" spans="2:26" ht="15.75" thickBot="1" x14ac:dyDescent="0.3">
      <c r="C6" s="313" t="s">
        <v>85</v>
      </c>
      <c r="D6" s="314"/>
      <c r="E6" s="314"/>
      <c r="F6" s="314"/>
      <c r="G6" s="315"/>
      <c r="H6" s="304" t="s">
        <v>68</v>
      </c>
      <c r="I6" s="305"/>
      <c r="J6" s="305"/>
      <c r="K6" s="306"/>
      <c r="L6" s="313" t="s">
        <v>69</v>
      </c>
      <c r="M6" s="314"/>
      <c r="N6" s="315"/>
      <c r="O6" s="304" t="s">
        <v>83</v>
      </c>
      <c r="P6" s="305"/>
      <c r="Q6" s="305"/>
      <c r="R6" s="305"/>
      <c r="S6" s="313" t="s">
        <v>84</v>
      </c>
      <c r="T6" s="314"/>
      <c r="U6" s="314"/>
      <c r="V6" s="315"/>
      <c r="Y6" s="63"/>
    </row>
    <row r="7" spans="2:26" ht="105.75" thickBot="1" x14ac:dyDescent="0.3">
      <c r="B7" s="119" t="s">
        <v>0</v>
      </c>
      <c r="C7" s="115" t="s">
        <v>100</v>
      </c>
      <c r="D7" s="116" t="s">
        <v>146</v>
      </c>
      <c r="E7" s="117" t="s">
        <v>147</v>
      </c>
      <c r="F7" s="117" t="s">
        <v>148</v>
      </c>
      <c r="G7" s="118" t="s">
        <v>149</v>
      </c>
      <c r="H7" s="71" t="s">
        <v>72</v>
      </c>
      <c r="I7" s="72" t="s">
        <v>70</v>
      </c>
      <c r="J7" s="67" t="s">
        <v>71</v>
      </c>
      <c r="K7" s="80" t="s">
        <v>64</v>
      </c>
      <c r="L7" s="119" t="s">
        <v>67</v>
      </c>
      <c r="M7" s="117" t="s">
        <v>150</v>
      </c>
      <c r="N7" s="118" t="s">
        <v>151</v>
      </c>
      <c r="O7" s="71" t="s">
        <v>65</v>
      </c>
      <c r="P7" s="68" t="s">
        <v>66</v>
      </c>
      <c r="Q7" s="92" t="s">
        <v>88</v>
      </c>
      <c r="R7" s="67" t="s">
        <v>86</v>
      </c>
      <c r="S7" s="115" t="s">
        <v>89</v>
      </c>
      <c r="T7" s="116" t="s">
        <v>87</v>
      </c>
      <c r="U7" s="116" t="s">
        <v>90</v>
      </c>
      <c r="V7" s="120" t="s">
        <v>91</v>
      </c>
      <c r="W7" s="68" t="s">
        <v>63</v>
      </c>
      <c r="X7" s="67" t="s">
        <v>59</v>
      </c>
      <c r="Y7" s="80" t="s">
        <v>18</v>
      </c>
    </row>
    <row r="8" spans="2:26" x14ac:dyDescent="0.25">
      <c r="B8" s="20"/>
      <c r="C8" s="125"/>
      <c r="D8" s="126"/>
      <c r="E8" s="57" t="str">
        <f>IF(Aug[[#This Row],[Name]]="","",Aug[[#This Row],[August Weight (kg)]]/(VLOOKUP(Aug[[#This Row],[Name]],Overview[],2,FALSE)/100)^2)</f>
        <v/>
      </c>
      <c r="F8" s="57" t="str">
        <f>IF(Aug[[#This Row],[Name]]="","",IF(VLOOKUP(Aug[[#This Row],[Name]],Overview[],15,FALSE)="","N/A",Aug[[#This Row],[August Weight (kg)]]-VLOOKUP(Aug[[#This Row],[Name]],Overview[],15,FALSE)))</f>
        <v/>
      </c>
      <c r="G8" s="174" t="str">
        <f>IF(Aug[[#This Row],[Name]]="","",IF(VLOOKUP(Aug[[#This Row],[Name]],Overview[],15,FALSE)="","N/A",(Aug[[#This Row],[August Weight (kg)]]-VLOOKUP(Aug[[#This Row],[Name]],Overview[],15,FALSE))/VLOOKUP(Aug[[#This Row],[Name]],Overview[],15,FALSE)))</f>
        <v/>
      </c>
      <c r="H8" s="61" t="str" cm="1">
        <f t="array" ref="H8">IF(Aug[[#This Row],[Name]]="","",IF(SUMPRODUCT((Overview[Name]=Aug[[#This Row],[Name]])*ISNUMBER(Overview[[February Weight (kg)]:[May 
Weight (kg)]]))=0,"N/A",MAX(IF((Overview[Name]=Aug[[#This Row],[Name]])*ISNUMBER(Overview[[February Weight (kg)]:[May 
Weight (kg)]]),Overview[[February Weight (kg)]:[May 
Weight (kg)]]))))</f>
        <v/>
      </c>
      <c r="I8" s="57" t="str">
        <f>IF(Aug[[#This Row],[Name]]="","",IF(NOT(ISNUMBER(Aug[[#This Row],[Highest Weight in the Past 3 - 6 Months]])),"N/A",IF(Aug[[#This Row],[August Weight (kg)]]=Aug[[#This Row],[Highest Weight in the Past 3 - 6 Months]],0,Aug[[#This Row],[August Weight (kg)]]-Aug[[#This Row],[Highest Weight in the Past 3 - 6 Months]])))</f>
        <v/>
      </c>
      <c r="J8"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8" s="127"/>
      <c r="L8" s="128"/>
      <c r="M8" s="75"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8" s="64" t="str">
        <f>IF(Aug[[#This Row],[Name]]="","",IF(Aug[[#This Row],[August MUST Score ]]=0,"Low",IF(Aug[[#This Row],[August MUST Score ]]=1,"Medium","High")))</f>
        <v/>
      </c>
      <c r="O8" s="7"/>
      <c r="P8" s="69"/>
      <c r="Q8" s="20"/>
      <c r="R8" s="22"/>
      <c r="S8" s="44"/>
      <c r="T8" s="16"/>
      <c r="U8" s="69"/>
      <c r="V8" s="8"/>
      <c r="W8" s="93"/>
      <c r="X8" s="9"/>
      <c r="Y8" s="8"/>
    </row>
    <row r="9" spans="2:26" x14ac:dyDescent="0.25">
      <c r="B9" s="12"/>
      <c r="C9" s="129"/>
      <c r="D9" s="94"/>
      <c r="E9" s="58" t="str">
        <f>IF(Aug[[#This Row],[Name]]="","",Aug[[#This Row],[August Weight (kg)]]/(VLOOKUP(Aug[[#This Row],[Name]],Overview[],2,FALSE)/100)^2)</f>
        <v/>
      </c>
      <c r="F9" s="58" t="str">
        <f>IF(Aug[[#This Row],[Name]]="","",IF(VLOOKUP(Aug[[#This Row],[Name]],Overview[],15,FALSE)="","N/A",Aug[[#This Row],[August Weight (kg)]]-VLOOKUP(Aug[[#This Row],[Name]],Overview[],15,FALSE)))</f>
        <v/>
      </c>
      <c r="G9" s="175" t="str">
        <f>IF(Aug[[#This Row],[Name]]="","",IF(VLOOKUP(Aug[[#This Row],[Name]],Overview[],15,FALSE)="","N/A",(Aug[[#This Row],[August Weight (kg)]]-VLOOKUP(Aug[[#This Row],[Name]],Overview[],15,FALSE))/VLOOKUP(Aug[[#This Row],[Name]],Overview[],15,FALSE)))</f>
        <v/>
      </c>
      <c r="H9" s="61" t="str" cm="1">
        <f t="array" ref="H9">IF(Aug[[#This Row],[Name]]="","",IF(SUMPRODUCT((Overview[Name]=Aug[[#This Row],[Name]])*ISNUMBER(Overview[[February Weight (kg)]:[May 
Weight (kg)]]))=0,"N/A",MAX(IF((Overview[Name]=Aug[[#This Row],[Name]])*ISNUMBER(Overview[[February Weight (kg)]:[May 
Weight (kg)]]),Overview[[February Weight (kg)]:[May 
Weight (kg)]]))))</f>
        <v/>
      </c>
      <c r="I9" s="57" t="str">
        <f>IF(Aug[[#This Row],[Name]]="","",IF(NOT(ISNUMBER(Aug[[#This Row],[Highest Weight in the Past 3 - 6 Months]])),"N/A",IF(Aug[[#This Row],[August Weight (kg)]]=Aug[[#This Row],[Highest Weight in the Past 3 - 6 Months]],0,Aug[[#This Row],[August Weight (kg)]]-Aug[[#This Row],[Highest Weight in the Past 3 - 6 Months]])))</f>
        <v/>
      </c>
      <c r="J9"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9" s="130"/>
      <c r="L9" s="131"/>
      <c r="M9"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9" s="64" t="str">
        <f>IF(Aug[[#This Row],[Name]]="","",IF(Aug[[#This Row],[August MUST Score ]]=0,"Low",IF(Aug[[#This Row],[August MUST Score ]]=1,"Medium","High")))</f>
        <v/>
      </c>
      <c r="O9" s="44"/>
      <c r="P9" s="66"/>
      <c r="Q9" s="20"/>
      <c r="R9" s="17"/>
      <c r="S9" s="44"/>
      <c r="T9" s="22"/>
      <c r="U9" s="66"/>
      <c r="V9" s="21"/>
      <c r="W9" s="94"/>
      <c r="X9" s="12"/>
      <c r="Y9" s="11"/>
    </row>
    <row r="10" spans="2:26" x14ac:dyDescent="0.25">
      <c r="B10" s="12"/>
      <c r="C10" s="129"/>
      <c r="D10" s="94"/>
      <c r="E10" s="58" t="str">
        <f>IF(Aug[[#This Row],[Name]]="","",Aug[[#This Row],[August Weight (kg)]]/(VLOOKUP(Aug[[#This Row],[Name]],Overview[],2,FALSE)/100)^2)</f>
        <v/>
      </c>
      <c r="F10" s="58" t="str">
        <f>IF(Aug[[#This Row],[Name]]="","",IF(VLOOKUP(Aug[[#This Row],[Name]],Overview[],15,FALSE)="","N/A",Aug[[#This Row],[August Weight (kg)]]-VLOOKUP(Aug[[#This Row],[Name]],Overview[],15,FALSE)))</f>
        <v/>
      </c>
      <c r="G10" s="175" t="str">
        <f>IF(Aug[[#This Row],[Name]]="","",IF(VLOOKUP(Aug[[#This Row],[Name]],Overview[],15,FALSE)="","N/A",(Aug[[#This Row],[August Weight (kg)]]-VLOOKUP(Aug[[#This Row],[Name]],Overview[],15,FALSE))/VLOOKUP(Aug[[#This Row],[Name]],Overview[],15,FALSE)))</f>
        <v/>
      </c>
      <c r="H10" s="61" t="str" cm="1">
        <f t="array" ref="H10">IF(Aug[[#This Row],[Name]]="","",IF(SUMPRODUCT((Overview[Name]=Aug[[#This Row],[Name]])*ISNUMBER(Overview[[February Weight (kg)]:[May 
Weight (kg)]]))=0,"N/A",MAX(IF((Overview[Name]=Aug[[#This Row],[Name]])*ISNUMBER(Overview[[February Weight (kg)]:[May 
Weight (kg)]]),Overview[[February Weight (kg)]:[May 
Weight (kg)]]))))</f>
        <v/>
      </c>
      <c r="I10" s="57" t="str">
        <f>IF(Aug[[#This Row],[Name]]="","",IF(NOT(ISNUMBER(Aug[[#This Row],[Highest Weight in the Past 3 - 6 Months]])),"N/A",IF(Aug[[#This Row],[August Weight (kg)]]=Aug[[#This Row],[Highest Weight in the Past 3 - 6 Months]],0,Aug[[#This Row],[August Weight (kg)]]-Aug[[#This Row],[Highest Weight in the Past 3 - 6 Months]])))</f>
        <v/>
      </c>
      <c r="J10"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0" s="130"/>
      <c r="L10" s="131"/>
      <c r="M10"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0" s="64" t="str">
        <f>IF(Aug[[#This Row],[Name]]="","",IF(Aug[[#This Row],[August MUST Score ]]=0,"Low",IF(Aug[[#This Row],[August MUST Score ]]=1,"Medium","High")))</f>
        <v/>
      </c>
      <c r="O10" s="10"/>
      <c r="P10" s="70"/>
      <c r="Q10" s="12"/>
      <c r="R10" s="17"/>
      <c r="S10" s="10"/>
      <c r="T10" s="17"/>
      <c r="U10" s="70"/>
      <c r="V10" s="11"/>
      <c r="W10" s="94"/>
      <c r="X10" s="12"/>
      <c r="Y10" s="11"/>
    </row>
    <row r="11" spans="2:26" x14ac:dyDescent="0.25">
      <c r="B11" s="12"/>
      <c r="C11" s="129"/>
      <c r="D11" s="94"/>
      <c r="E11" s="58" t="str">
        <f>IF(Aug[[#This Row],[Name]]="","",Aug[[#This Row],[August Weight (kg)]]/(VLOOKUP(Aug[[#This Row],[Name]],Overview[],2,FALSE)/100)^2)</f>
        <v/>
      </c>
      <c r="F11" s="58" t="str">
        <f>IF(Aug[[#This Row],[Name]]="","",IF(VLOOKUP(Aug[[#This Row],[Name]],Overview[],15,FALSE)="","N/A",Aug[[#This Row],[August Weight (kg)]]-VLOOKUP(Aug[[#This Row],[Name]],Overview[],15,FALSE)))</f>
        <v/>
      </c>
      <c r="G11" s="175" t="str">
        <f>IF(Aug[[#This Row],[Name]]="","",IF(VLOOKUP(Aug[[#This Row],[Name]],Overview[],15,FALSE)="","N/A",(Aug[[#This Row],[August Weight (kg)]]-VLOOKUP(Aug[[#This Row],[Name]],Overview[],15,FALSE))/VLOOKUP(Aug[[#This Row],[Name]],Overview[],15,FALSE)))</f>
        <v/>
      </c>
      <c r="H11" s="61" t="str" cm="1">
        <f t="array" ref="H11">IF(Aug[[#This Row],[Name]]="","",IF(SUMPRODUCT((Overview[Name]=Aug[[#This Row],[Name]])*ISNUMBER(Overview[[February Weight (kg)]:[May 
Weight (kg)]]))=0,"N/A",MAX(IF((Overview[Name]=Aug[[#This Row],[Name]])*ISNUMBER(Overview[[February Weight (kg)]:[May 
Weight (kg)]]),Overview[[February Weight (kg)]:[May 
Weight (kg)]]))))</f>
        <v/>
      </c>
      <c r="I11" s="57" t="str">
        <f>IF(Aug[[#This Row],[Name]]="","",IF(NOT(ISNUMBER(Aug[[#This Row],[Highest Weight in the Past 3 - 6 Months]])),"N/A",IF(Aug[[#This Row],[August Weight (kg)]]=Aug[[#This Row],[Highest Weight in the Past 3 - 6 Months]],0,Aug[[#This Row],[August Weight (kg)]]-Aug[[#This Row],[Highest Weight in the Past 3 - 6 Months]])))</f>
        <v/>
      </c>
      <c r="J11"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1" s="130"/>
      <c r="L11" s="131"/>
      <c r="M11"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1" s="64" t="str">
        <f>IF(Aug[[#This Row],[Name]]="","",IF(Aug[[#This Row],[August MUST Score ]]=0,"Low",IF(Aug[[#This Row],[August MUST Score ]]=1,"Medium","High")))</f>
        <v/>
      </c>
      <c r="O11" s="10"/>
      <c r="P11" s="70"/>
      <c r="Q11" s="12"/>
      <c r="R11" s="17"/>
      <c r="S11" s="10"/>
      <c r="T11" s="17"/>
      <c r="U11" s="70"/>
      <c r="V11" s="11"/>
      <c r="W11" s="94"/>
      <c r="X11" s="12"/>
      <c r="Y11" s="11"/>
    </row>
    <row r="12" spans="2:26" x14ac:dyDescent="0.25">
      <c r="B12" s="12"/>
      <c r="C12" s="129"/>
      <c r="D12" s="94"/>
      <c r="E12" s="58" t="str">
        <f>IF(Aug[[#This Row],[Name]]="","",Aug[[#This Row],[August Weight (kg)]]/(VLOOKUP(Aug[[#This Row],[Name]],Overview[],2,FALSE)/100)^2)</f>
        <v/>
      </c>
      <c r="F12" s="58" t="str">
        <f>IF(Aug[[#This Row],[Name]]="","",IF(VLOOKUP(Aug[[#This Row],[Name]],Overview[],15,FALSE)="","N/A",Aug[[#This Row],[August Weight (kg)]]-VLOOKUP(Aug[[#This Row],[Name]],Overview[],15,FALSE)))</f>
        <v/>
      </c>
      <c r="G12" s="175" t="str">
        <f>IF(Aug[[#This Row],[Name]]="","",IF(VLOOKUP(Aug[[#This Row],[Name]],Overview[],15,FALSE)="","N/A",(Aug[[#This Row],[August Weight (kg)]]-VLOOKUP(Aug[[#This Row],[Name]],Overview[],15,FALSE))/VLOOKUP(Aug[[#This Row],[Name]],Overview[],15,FALSE)))</f>
        <v/>
      </c>
      <c r="H12" s="61" t="str" cm="1">
        <f t="array" ref="H12">IF(Aug[[#This Row],[Name]]="","",IF(SUMPRODUCT((Overview[Name]=Aug[[#This Row],[Name]])*ISNUMBER(Overview[[February Weight (kg)]:[May 
Weight (kg)]]))=0,"N/A",MAX(IF((Overview[Name]=Aug[[#This Row],[Name]])*ISNUMBER(Overview[[February Weight (kg)]:[May 
Weight (kg)]]),Overview[[February Weight (kg)]:[May 
Weight (kg)]]))))</f>
        <v/>
      </c>
      <c r="I12" s="57" t="str">
        <f>IF(Aug[[#This Row],[Name]]="","",IF(NOT(ISNUMBER(Aug[[#This Row],[Highest Weight in the Past 3 - 6 Months]])),"N/A",IF(Aug[[#This Row],[August Weight (kg)]]=Aug[[#This Row],[Highest Weight in the Past 3 - 6 Months]],0,Aug[[#This Row],[August Weight (kg)]]-Aug[[#This Row],[Highest Weight in the Past 3 - 6 Months]])))</f>
        <v/>
      </c>
      <c r="J12"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2" s="130"/>
      <c r="L12" s="131"/>
      <c r="M12"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2" s="64" t="str">
        <f>IF(Aug[[#This Row],[Name]]="","",IF(Aug[[#This Row],[August MUST Score ]]=0,"Low",IF(Aug[[#This Row],[August MUST Score ]]=1,"Medium","High")))</f>
        <v/>
      </c>
      <c r="O12" s="10"/>
      <c r="P12" s="70"/>
      <c r="Q12" s="12"/>
      <c r="R12" s="17"/>
      <c r="S12" s="10"/>
      <c r="T12" s="17"/>
      <c r="U12" s="70"/>
      <c r="V12" s="11"/>
      <c r="W12" s="94"/>
      <c r="X12" s="12"/>
      <c r="Y12" s="11"/>
    </row>
    <row r="13" spans="2:26" x14ac:dyDescent="0.25">
      <c r="B13" s="12"/>
      <c r="C13" s="129"/>
      <c r="D13" s="94"/>
      <c r="E13" s="58" t="str">
        <f>IF(Aug[[#This Row],[Name]]="","",Aug[[#This Row],[August Weight (kg)]]/(VLOOKUP(Aug[[#This Row],[Name]],Overview[],2,FALSE)/100)^2)</f>
        <v/>
      </c>
      <c r="F13" s="58" t="str">
        <f>IF(Aug[[#This Row],[Name]]="","",IF(VLOOKUP(Aug[[#This Row],[Name]],Overview[],15,FALSE)="","N/A",Aug[[#This Row],[August Weight (kg)]]-VLOOKUP(Aug[[#This Row],[Name]],Overview[],15,FALSE)))</f>
        <v/>
      </c>
      <c r="G13" s="175" t="str">
        <f>IF(Aug[[#This Row],[Name]]="","",IF(VLOOKUP(Aug[[#This Row],[Name]],Overview[],15,FALSE)="","N/A",(Aug[[#This Row],[August Weight (kg)]]-VLOOKUP(Aug[[#This Row],[Name]],Overview[],15,FALSE))/VLOOKUP(Aug[[#This Row],[Name]],Overview[],15,FALSE)))</f>
        <v/>
      </c>
      <c r="H13" s="61" t="str" cm="1">
        <f t="array" ref="H13">IF(Aug[[#This Row],[Name]]="","",IF(SUMPRODUCT((Overview[Name]=Aug[[#This Row],[Name]])*ISNUMBER(Overview[[February Weight (kg)]:[May 
Weight (kg)]]))=0,"N/A",MAX(IF((Overview[Name]=Aug[[#This Row],[Name]])*ISNUMBER(Overview[[February Weight (kg)]:[May 
Weight (kg)]]),Overview[[February Weight (kg)]:[May 
Weight (kg)]]))))</f>
        <v/>
      </c>
      <c r="I13" s="57" t="str">
        <f>IF(Aug[[#This Row],[Name]]="","",IF(NOT(ISNUMBER(Aug[[#This Row],[Highest Weight in the Past 3 - 6 Months]])),"N/A",IF(Aug[[#This Row],[August Weight (kg)]]=Aug[[#This Row],[Highest Weight in the Past 3 - 6 Months]],0,Aug[[#This Row],[August Weight (kg)]]-Aug[[#This Row],[Highest Weight in the Past 3 - 6 Months]])))</f>
        <v/>
      </c>
      <c r="J13"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3" s="130"/>
      <c r="L13" s="131"/>
      <c r="M13"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3" s="64" t="str">
        <f>IF(Aug[[#This Row],[Name]]="","",IF(Aug[[#This Row],[August MUST Score ]]=0,"Low",IF(Aug[[#This Row],[August MUST Score ]]=1,"Medium","High")))</f>
        <v/>
      </c>
      <c r="O13" s="10"/>
      <c r="P13" s="70"/>
      <c r="Q13" s="12"/>
      <c r="R13" s="17"/>
      <c r="S13" s="10"/>
      <c r="T13" s="17"/>
      <c r="U13" s="70"/>
      <c r="V13" s="11"/>
      <c r="W13" s="94"/>
      <c r="X13" s="12"/>
      <c r="Y13" s="11"/>
    </row>
    <row r="14" spans="2:26" x14ac:dyDescent="0.25">
      <c r="B14" s="12"/>
      <c r="C14" s="129"/>
      <c r="D14" s="94"/>
      <c r="E14" s="58" t="str">
        <f>IF(Aug[[#This Row],[Name]]="","",Aug[[#This Row],[August Weight (kg)]]/(VLOOKUP(Aug[[#This Row],[Name]],Overview[],2,FALSE)/100)^2)</f>
        <v/>
      </c>
      <c r="F14" s="58" t="str">
        <f>IF(Aug[[#This Row],[Name]]="","",IF(VLOOKUP(Aug[[#This Row],[Name]],Overview[],15,FALSE)="","N/A",Aug[[#This Row],[August Weight (kg)]]-VLOOKUP(Aug[[#This Row],[Name]],Overview[],15,FALSE)))</f>
        <v/>
      </c>
      <c r="G14" s="175" t="str">
        <f>IF(Aug[[#This Row],[Name]]="","",IF(VLOOKUP(Aug[[#This Row],[Name]],Overview[],15,FALSE)="","N/A",(Aug[[#This Row],[August Weight (kg)]]-VLOOKUP(Aug[[#This Row],[Name]],Overview[],15,FALSE))/VLOOKUP(Aug[[#This Row],[Name]],Overview[],15,FALSE)))</f>
        <v/>
      </c>
      <c r="H14" s="61" t="str" cm="1">
        <f t="array" ref="H14">IF(Aug[[#This Row],[Name]]="","",IF(SUMPRODUCT((Overview[Name]=Aug[[#This Row],[Name]])*ISNUMBER(Overview[[February Weight (kg)]:[May 
Weight (kg)]]))=0,"N/A",MAX(IF((Overview[Name]=Aug[[#This Row],[Name]])*ISNUMBER(Overview[[February Weight (kg)]:[May 
Weight (kg)]]),Overview[[February Weight (kg)]:[May 
Weight (kg)]]))))</f>
        <v/>
      </c>
      <c r="I14" s="57" t="str">
        <f>IF(Aug[[#This Row],[Name]]="","",IF(NOT(ISNUMBER(Aug[[#This Row],[Highest Weight in the Past 3 - 6 Months]])),"N/A",IF(Aug[[#This Row],[August Weight (kg)]]=Aug[[#This Row],[Highest Weight in the Past 3 - 6 Months]],0,Aug[[#This Row],[August Weight (kg)]]-Aug[[#This Row],[Highest Weight in the Past 3 - 6 Months]])))</f>
        <v/>
      </c>
      <c r="J14"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4" s="130"/>
      <c r="L14" s="131"/>
      <c r="M14"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4" s="64" t="str">
        <f>IF(Aug[[#This Row],[Name]]="","",IF(Aug[[#This Row],[August MUST Score ]]=0,"Low",IF(Aug[[#This Row],[August MUST Score ]]=1,"Medium","High")))</f>
        <v/>
      </c>
      <c r="O14" s="10"/>
      <c r="P14" s="70"/>
      <c r="Q14" s="12"/>
      <c r="R14" s="17"/>
      <c r="S14" s="10"/>
      <c r="T14" s="17"/>
      <c r="U14" s="70"/>
      <c r="V14" s="11"/>
      <c r="W14" s="94"/>
      <c r="X14" s="12"/>
      <c r="Y14" s="11"/>
    </row>
    <row r="15" spans="2:26" x14ac:dyDescent="0.25">
      <c r="B15" s="12"/>
      <c r="C15" s="129"/>
      <c r="D15" s="94"/>
      <c r="E15" s="58" t="str">
        <f>IF(Aug[[#This Row],[Name]]="","",Aug[[#This Row],[August Weight (kg)]]/(VLOOKUP(Aug[[#This Row],[Name]],Overview[],2,FALSE)/100)^2)</f>
        <v/>
      </c>
      <c r="F15" s="58" t="str">
        <f>IF(Aug[[#This Row],[Name]]="","",IF(VLOOKUP(Aug[[#This Row],[Name]],Overview[],15,FALSE)="","N/A",Aug[[#This Row],[August Weight (kg)]]-VLOOKUP(Aug[[#This Row],[Name]],Overview[],15,FALSE)))</f>
        <v/>
      </c>
      <c r="G15" s="175" t="str">
        <f>IF(Aug[[#This Row],[Name]]="","",IF(VLOOKUP(Aug[[#This Row],[Name]],Overview[],15,FALSE)="","N/A",(Aug[[#This Row],[August Weight (kg)]]-VLOOKUP(Aug[[#This Row],[Name]],Overview[],15,FALSE))/VLOOKUP(Aug[[#This Row],[Name]],Overview[],15,FALSE)))</f>
        <v/>
      </c>
      <c r="H15" s="61" t="str" cm="1">
        <f t="array" ref="H15">IF(Aug[[#This Row],[Name]]="","",IF(SUMPRODUCT((Overview[Name]=Aug[[#This Row],[Name]])*ISNUMBER(Overview[[February Weight (kg)]:[May 
Weight (kg)]]))=0,"N/A",MAX(IF((Overview[Name]=Aug[[#This Row],[Name]])*ISNUMBER(Overview[[February Weight (kg)]:[May 
Weight (kg)]]),Overview[[February Weight (kg)]:[May 
Weight (kg)]]))))</f>
        <v/>
      </c>
      <c r="I15" s="57" t="str">
        <f>IF(Aug[[#This Row],[Name]]="","",IF(NOT(ISNUMBER(Aug[[#This Row],[Highest Weight in the Past 3 - 6 Months]])),"N/A",IF(Aug[[#This Row],[August Weight (kg)]]=Aug[[#This Row],[Highest Weight in the Past 3 - 6 Months]],0,Aug[[#This Row],[August Weight (kg)]]-Aug[[#This Row],[Highest Weight in the Past 3 - 6 Months]])))</f>
        <v/>
      </c>
      <c r="J15"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5" s="130"/>
      <c r="L15" s="131"/>
      <c r="M15"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5" s="64" t="str">
        <f>IF(Aug[[#This Row],[Name]]="","",IF(Aug[[#This Row],[August MUST Score ]]=0,"Low",IF(Aug[[#This Row],[August MUST Score ]]=1,"Medium","High")))</f>
        <v/>
      </c>
      <c r="O15" s="10"/>
      <c r="P15" s="70"/>
      <c r="Q15" s="12"/>
      <c r="R15" s="17"/>
      <c r="S15" s="10"/>
      <c r="T15" s="17"/>
      <c r="U15" s="70"/>
      <c r="V15" s="11"/>
      <c r="W15" s="94"/>
      <c r="X15" s="12"/>
      <c r="Y15" s="11"/>
    </row>
    <row r="16" spans="2:26" x14ac:dyDescent="0.25">
      <c r="B16" s="12"/>
      <c r="C16" s="129"/>
      <c r="D16" s="94"/>
      <c r="E16" s="58" t="str">
        <f>IF(Aug[[#This Row],[Name]]="","",Aug[[#This Row],[August Weight (kg)]]/(VLOOKUP(Aug[[#This Row],[Name]],Overview[],2,FALSE)/100)^2)</f>
        <v/>
      </c>
      <c r="F16" s="58" t="str">
        <f>IF(Aug[[#This Row],[Name]]="","",IF(VLOOKUP(Aug[[#This Row],[Name]],Overview[],15,FALSE)="","N/A",Aug[[#This Row],[August Weight (kg)]]-VLOOKUP(Aug[[#This Row],[Name]],Overview[],15,FALSE)))</f>
        <v/>
      </c>
      <c r="G16" s="175" t="str">
        <f>IF(Aug[[#This Row],[Name]]="","",IF(VLOOKUP(Aug[[#This Row],[Name]],Overview[],15,FALSE)="","N/A",(Aug[[#This Row],[August Weight (kg)]]-VLOOKUP(Aug[[#This Row],[Name]],Overview[],15,FALSE))/VLOOKUP(Aug[[#This Row],[Name]],Overview[],15,FALSE)))</f>
        <v/>
      </c>
      <c r="H16" s="61" t="str" cm="1">
        <f t="array" ref="H16">IF(Aug[[#This Row],[Name]]="","",IF(SUMPRODUCT((Overview[Name]=Aug[[#This Row],[Name]])*ISNUMBER(Overview[[February Weight (kg)]:[May 
Weight (kg)]]))=0,"N/A",MAX(IF((Overview[Name]=Aug[[#This Row],[Name]])*ISNUMBER(Overview[[February Weight (kg)]:[May 
Weight (kg)]]),Overview[[February Weight (kg)]:[May 
Weight (kg)]]))))</f>
        <v/>
      </c>
      <c r="I16" s="57" t="str">
        <f>IF(Aug[[#This Row],[Name]]="","",IF(NOT(ISNUMBER(Aug[[#This Row],[Highest Weight in the Past 3 - 6 Months]])),"N/A",IF(Aug[[#This Row],[August Weight (kg)]]=Aug[[#This Row],[Highest Weight in the Past 3 - 6 Months]],0,Aug[[#This Row],[August Weight (kg)]]-Aug[[#This Row],[Highest Weight in the Past 3 - 6 Months]])))</f>
        <v/>
      </c>
      <c r="J16"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6" s="130"/>
      <c r="L16" s="131"/>
      <c r="M16"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6" s="64" t="str">
        <f>IF(Aug[[#This Row],[Name]]="","",IF(Aug[[#This Row],[August MUST Score ]]=0,"Low",IF(Aug[[#This Row],[August MUST Score ]]=1,"Medium","High")))</f>
        <v/>
      </c>
      <c r="O16" s="10"/>
      <c r="P16" s="70"/>
      <c r="Q16" s="12"/>
      <c r="R16" s="17"/>
      <c r="S16" s="10"/>
      <c r="T16" s="17"/>
      <c r="U16" s="70"/>
      <c r="V16" s="11"/>
      <c r="W16" s="94"/>
      <c r="X16" s="12"/>
      <c r="Y16" s="11"/>
    </row>
    <row r="17" spans="2:25" x14ac:dyDescent="0.25">
      <c r="B17" s="12"/>
      <c r="C17" s="129"/>
      <c r="D17" s="94"/>
      <c r="E17" s="58" t="str">
        <f>IF(Aug[[#This Row],[Name]]="","",Aug[[#This Row],[August Weight (kg)]]/(VLOOKUP(Aug[[#This Row],[Name]],Overview[],2,FALSE)/100)^2)</f>
        <v/>
      </c>
      <c r="F17" s="58" t="str">
        <f>IF(Aug[[#This Row],[Name]]="","",IF(VLOOKUP(Aug[[#This Row],[Name]],Overview[],15,FALSE)="","N/A",Aug[[#This Row],[August Weight (kg)]]-VLOOKUP(Aug[[#This Row],[Name]],Overview[],15,FALSE)))</f>
        <v/>
      </c>
      <c r="G17" s="175" t="str">
        <f>IF(Aug[[#This Row],[Name]]="","",IF(VLOOKUP(Aug[[#This Row],[Name]],Overview[],15,FALSE)="","N/A",(Aug[[#This Row],[August Weight (kg)]]-VLOOKUP(Aug[[#This Row],[Name]],Overview[],15,FALSE))/VLOOKUP(Aug[[#This Row],[Name]],Overview[],15,FALSE)))</f>
        <v/>
      </c>
      <c r="H17" s="61" t="str" cm="1">
        <f t="array" ref="H17">IF(Aug[[#This Row],[Name]]="","",IF(SUMPRODUCT((Overview[Name]=Aug[[#This Row],[Name]])*ISNUMBER(Overview[[February Weight (kg)]:[May 
Weight (kg)]]))=0,"N/A",MAX(IF((Overview[Name]=Aug[[#This Row],[Name]])*ISNUMBER(Overview[[February Weight (kg)]:[May 
Weight (kg)]]),Overview[[February Weight (kg)]:[May 
Weight (kg)]]))))</f>
        <v/>
      </c>
      <c r="I17" s="57" t="str">
        <f>IF(Aug[[#This Row],[Name]]="","",IF(NOT(ISNUMBER(Aug[[#This Row],[Highest Weight in the Past 3 - 6 Months]])),"N/A",IF(Aug[[#This Row],[August Weight (kg)]]=Aug[[#This Row],[Highest Weight in the Past 3 - 6 Months]],0,Aug[[#This Row],[August Weight (kg)]]-Aug[[#This Row],[Highest Weight in the Past 3 - 6 Months]])))</f>
        <v/>
      </c>
      <c r="J17"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7" s="130"/>
      <c r="L17" s="131"/>
      <c r="M17"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7" s="64" t="str">
        <f>IF(Aug[[#This Row],[Name]]="","",IF(Aug[[#This Row],[August MUST Score ]]=0,"Low",IF(Aug[[#This Row],[August MUST Score ]]=1,"Medium","High")))</f>
        <v/>
      </c>
      <c r="O17" s="10"/>
      <c r="P17" s="70"/>
      <c r="Q17" s="12"/>
      <c r="R17" s="17"/>
      <c r="S17" s="10"/>
      <c r="T17" s="17"/>
      <c r="U17" s="70"/>
      <c r="V17" s="11"/>
      <c r="W17" s="94"/>
      <c r="X17" s="12"/>
      <c r="Y17" s="11"/>
    </row>
    <row r="18" spans="2:25" x14ac:dyDescent="0.25">
      <c r="B18" s="12"/>
      <c r="C18" s="129"/>
      <c r="D18" s="94"/>
      <c r="E18" s="58" t="str">
        <f>IF(Aug[[#This Row],[Name]]="","",Aug[[#This Row],[August Weight (kg)]]/(VLOOKUP(Aug[[#This Row],[Name]],Overview[],2,FALSE)/100)^2)</f>
        <v/>
      </c>
      <c r="F18" s="58" t="str">
        <f>IF(Aug[[#This Row],[Name]]="","",IF(VLOOKUP(Aug[[#This Row],[Name]],Overview[],15,FALSE)="","N/A",Aug[[#This Row],[August Weight (kg)]]-VLOOKUP(Aug[[#This Row],[Name]],Overview[],15,FALSE)))</f>
        <v/>
      </c>
      <c r="G18" s="175" t="str">
        <f>IF(Aug[[#This Row],[Name]]="","",IF(VLOOKUP(Aug[[#This Row],[Name]],Overview[],15,FALSE)="","N/A",(Aug[[#This Row],[August Weight (kg)]]-VLOOKUP(Aug[[#This Row],[Name]],Overview[],15,FALSE))/VLOOKUP(Aug[[#This Row],[Name]],Overview[],15,FALSE)))</f>
        <v/>
      </c>
      <c r="H18" s="61" t="str" cm="1">
        <f t="array" ref="H18">IF(Aug[[#This Row],[Name]]="","",IF(SUMPRODUCT((Overview[Name]=Aug[[#This Row],[Name]])*ISNUMBER(Overview[[February Weight (kg)]:[May 
Weight (kg)]]))=0,"N/A",MAX(IF((Overview[Name]=Aug[[#This Row],[Name]])*ISNUMBER(Overview[[February Weight (kg)]:[May 
Weight (kg)]]),Overview[[February Weight (kg)]:[May 
Weight (kg)]]))))</f>
        <v/>
      </c>
      <c r="I18" s="57" t="str">
        <f>IF(Aug[[#This Row],[Name]]="","",IF(NOT(ISNUMBER(Aug[[#This Row],[Highest Weight in the Past 3 - 6 Months]])),"N/A",IF(Aug[[#This Row],[August Weight (kg)]]=Aug[[#This Row],[Highest Weight in the Past 3 - 6 Months]],0,Aug[[#This Row],[August Weight (kg)]]-Aug[[#This Row],[Highest Weight in the Past 3 - 6 Months]])))</f>
        <v/>
      </c>
      <c r="J18"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8" s="130"/>
      <c r="L18" s="131"/>
      <c r="M18"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8" s="64" t="str">
        <f>IF(Aug[[#This Row],[Name]]="","",IF(Aug[[#This Row],[August MUST Score ]]=0,"Low",IF(Aug[[#This Row],[August MUST Score ]]=1,"Medium","High")))</f>
        <v/>
      </c>
      <c r="O18" s="10"/>
      <c r="P18" s="70"/>
      <c r="Q18" s="12"/>
      <c r="R18" s="17"/>
      <c r="S18" s="10"/>
      <c r="T18" s="17"/>
      <c r="U18" s="70"/>
      <c r="V18" s="11"/>
      <c r="W18" s="94"/>
      <c r="X18" s="12"/>
      <c r="Y18" s="11"/>
    </row>
    <row r="19" spans="2:25" x14ac:dyDescent="0.25">
      <c r="B19" s="12"/>
      <c r="C19" s="129"/>
      <c r="D19" s="94"/>
      <c r="E19" s="58" t="str">
        <f>IF(Aug[[#This Row],[Name]]="","",Aug[[#This Row],[August Weight (kg)]]/(VLOOKUP(Aug[[#This Row],[Name]],Overview[],2,FALSE)/100)^2)</f>
        <v/>
      </c>
      <c r="F19" s="58" t="str">
        <f>IF(Aug[[#This Row],[Name]]="","",IF(VLOOKUP(Aug[[#This Row],[Name]],Overview[],15,FALSE)="","N/A",Aug[[#This Row],[August Weight (kg)]]-VLOOKUP(Aug[[#This Row],[Name]],Overview[],15,FALSE)))</f>
        <v/>
      </c>
      <c r="G19" s="175" t="str">
        <f>IF(Aug[[#This Row],[Name]]="","",IF(VLOOKUP(Aug[[#This Row],[Name]],Overview[],15,FALSE)="","N/A",(Aug[[#This Row],[August Weight (kg)]]-VLOOKUP(Aug[[#This Row],[Name]],Overview[],15,FALSE))/VLOOKUP(Aug[[#This Row],[Name]],Overview[],15,FALSE)))</f>
        <v/>
      </c>
      <c r="H19" s="61" t="str" cm="1">
        <f t="array" ref="H19">IF(Aug[[#This Row],[Name]]="","",IF(SUMPRODUCT((Overview[Name]=Aug[[#This Row],[Name]])*ISNUMBER(Overview[[February Weight (kg)]:[May 
Weight (kg)]]))=0,"N/A",MAX(IF((Overview[Name]=Aug[[#This Row],[Name]])*ISNUMBER(Overview[[February Weight (kg)]:[May 
Weight (kg)]]),Overview[[February Weight (kg)]:[May 
Weight (kg)]]))))</f>
        <v/>
      </c>
      <c r="I19" s="57" t="str">
        <f>IF(Aug[[#This Row],[Name]]="","",IF(NOT(ISNUMBER(Aug[[#This Row],[Highest Weight in the Past 3 - 6 Months]])),"N/A",IF(Aug[[#This Row],[August Weight (kg)]]=Aug[[#This Row],[Highest Weight in the Past 3 - 6 Months]],0,Aug[[#This Row],[August Weight (kg)]]-Aug[[#This Row],[Highest Weight in the Past 3 - 6 Months]])))</f>
        <v/>
      </c>
      <c r="J19"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19" s="130"/>
      <c r="L19" s="131"/>
      <c r="M19"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19" s="64" t="str">
        <f>IF(Aug[[#This Row],[Name]]="","",IF(Aug[[#This Row],[August MUST Score ]]=0,"Low",IF(Aug[[#This Row],[August MUST Score ]]=1,"Medium","High")))</f>
        <v/>
      </c>
      <c r="O19" s="10"/>
      <c r="P19" s="70"/>
      <c r="Q19" s="12"/>
      <c r="R19" s="17"/>
      <c r="S19" s="10"/>
      <c r="T19" s="17"/>
      <c r="U19" s="70"/>
      <c r="V19" s="11"/>
      <c r="W19" s="94"/>
      <c r="X19" s="12"/>
      <c r="Y19" s="11"/>
    </row>
    <row r="20" spans="2:25" x14ac:dyDescent="0.25">
      <c r="B20" s="12"/>
      <c r="C20" s="129"/>
      <c r="D20" s="94"/>
      <c r="E20" s="58" t="str">
        <f>IF(Aug[[#This Row],[Name]]="","",Aug[[#This Row],[August Weight (kg)]]/(VLOOKUP(Aug[[#This Row],[Name]],Overview[],2,FALSE)/100)^2)</f>
        <v/>
      </c>
      <c r="F20" s="58" t="str">
        <f>IF(Aug[[#This Row],[Name]]="","",IF(VLOOKUP(Aug[[#This Row],[Name]],Overview[],15,FALSE)="","N/A",Aug[[#This Row],[August Weight (kg)]]-VLOOKUP(Aug[[#This Row],[Name]],Overview[],15,FALSE)))</f>
        <v/>
      </c>
      <c r="G20" s="175" t="str">
        <f>IF(Aug[[#This Row],[Name]]="","",IF(VLOOKUP(Aug[[#This Row],[Name]],Overview[],15,FALSE)="","N/A",(Aug[[#This Row],[August Weight (kg)]]-VLOOKUP(Aug[[#This Row],[Name]],Overview[],15,FALSE))/VLOOKUP(Aug[[#This Row],[Name]],Overview[],15,FALSE)))</f>
        <v/>
      </c>
      <c r="H20" s="61" t="str" cm="1">
        <f t="array" ref="H20">IF(Aug[[#This Row],[Name]]="","",IF(SUMPRODUCT((Overview[Name]=Aug[[#This Row],[Name]])*ISNUMBER(Overview[[February Weight (kg)]:[May 
Weight (kg)]]))=0,"N/A",MAX(IF((Overview[Name]=Aug[[#This Row],[Name]])*ISNUMBER(Overview[[February Weight (kg)]:[May 
Weight (kg)]]),Overview[[February Weight (kg)]:[May 
Weight (kg)]]))))</f>
        <v/>
      </c>
      <c r="I20" s="57" t="str">
        <f>IF(Aug[[#This Row],[Name]]="","",IF(NOT(ISNUMBER(Aug[[#This Row],[Highest Weight in the Past 3 - 6 Months]])),"N/A",IF(Aug[[#This Row],[August Weight (kg)]]=Aug[[#This Row],[Highest Weight in the Past 3 - 6 Months]],0,Aug[[#This Row],[August Weight (kg)]]-Aug[[#This Row],[Highest Weight in the Past 3 - 6 Months]])))</f>
        <v/>
      </c>
      <c r="J20"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0" s="130"/>
      <c r="L20" s="131"/>
      <c r="M20"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0" s="64" t="str">
        <f>IF(Aug[[#This Row],[Name]]="","",IF(Aug[[#This Row],[August MUST Score ]]=0,"Low",IF(Aug[[#This Row],[August MUST Score ]]=1,"Medium","High")))</f>
        <v/>
      </c>
      <c r="O20" s="10"/>
      <c r="P20" s="70"/>
      <c r="Q20" s="12"/>
      <c r="R20" s="17"/>
      <c r="S20" s="10"/>
      <c r="T20" s="17"/>
      <c r="U20" s="70"/>
      <c r="V20" s="11"/>
      <c r="W20" s="94"/>
      <c r="X20" s="12"/>
      <c r="Y20" s="11"/>
    </row>
    <row r="21" spans="2:25" x14ac:dyDescent="0.25">
      <c r="B21" s="12"/>
      <c r="C21" s="129"/>
      <c r="D21" s="94"/>
      <c r="E21" s="58" t="str">
        <f>IF(Aug[[#This Row],[Name]]="","",Aug[[#This Row],[August Weight (kg)]]/(VLOOKUP(Aug[[#This Row],[Name]],Overview[],2,FALSE)/100)^2)</f>
        <v/>
      </c>
      <c r="F21" s="58" t="str">
        <f>IF(Aug[[#This Row],[Name]]="","",IF(VLOOKUP(Aug[[#This Row],[Name]],Overview[],15,FALSE)="","N/A",Aug[[#This Row],[August Weight (kg)]]-VLOOKUP(Aug[[#This Row],[Name]],Overview[],15,FALSE)))</f>
        <v/>
      </c>
      <c r="G21" s="175" t="str">
        <f>IF(Aug[[#This Row],[Name]]="","",IF(VLOOKUP(Aug[[#This Row],[Name]],Overview[],15,FALSE)="","N/A",(Aug[[#This Row],[August Weight (kg)]]-VLOOKUP(Aug[[#This Row],[Name]],Overview[],15,FALSE))/VLOOKUP(Aug[[#This Row],[Name]],Overview[],15,FALSE)))</f>
        <v/>
      </c>
      <c r="H21" s="61" t="str" cm="1">
        <f t="array" ref="H21">IF(Aug[[#This Row],[Name]]="","",IF(SUMPRODUCT((Overview[Name]=Aug[[#This Row],[Name]])*ISNUMBER(Overview[[February Weight (kg)]:[May 
Weight (kg)]]))=0,"N/A",MAX(IF((Overview[Name]=Aug[[#This Row],[Name]])*ISNUMBER(Overview[[February Weight (kg)]:[May 
Weight (kg)]]),Overview[[February Weight (kg)]:[May 
Weight (kg)]]))))</f>
        <v/>
      </c>
      <c r="I21" s="57" t="str">
        <f>IF(Aug[[#This Row],[Name]]="","",IF(NOT(ISNUMBER(Aug[[#This Row],[Highest Weight in the Past 3 - 6 Months]])),"N/A",IF(Aug[[#This Row],[August Weight (kg)]]=Aug[[#This Row],[Highest Weight in the Past 3 - 6 Months]],0,Aug[[#This Row],[August Weight (kg)]]-Aug[[#This Row],[Highest Weight in the Past 3 - 6 Months]])))</f>
        <v/>
      </c>
      <c r="J21"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1" s="130"/>
      <c r="L21" s="131"/>
      <c r="M21"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1" s="64" t="str">
        <f>IF(Aug[[#This Row],[Name]]="","",IF(Aug[[#This Row],[August MUST Score ]]=0,"Low",IF(Aug[[#This Row],[August MUST Score ]]=1,"Medium","High")))</f>
        <v/>
      </c>
      <c r="O21" s="10"/>
      <c r="P21" s="70"/>
      <c r="Q21" s="12"/>
      <c r="R21" s="17"/>
      <c r="S21" s="10"/>
      <c r="T21" s="17"/>
      <c r="U21" s="70"/>
      <c r="V21" s="11"/>
      <c r="W21" s="94"/>
      <c r="X21" s="12"/>
      <c r="Y21" s="11"/>
    </row>
    <row r="22" spans="2:25" x14ac:dyDescent="0.25">
      <c r="B22" s="12"/>
      <c r="C22" s="129"/>
      <c r="D22" s="94"/>
      <c r="E22" s="58" t="str">
        <f>IF(Aug[[#This Row],[Name]]="","",Aug[[#This Row],[August Weight (kg)]]/(VLOOKUP(Aug[[#This Row],[Name]],Overview[],2,FALSE)/100)^2)</f>
        <v/>
      </c>
      <c r="F22" s="58" t="str">
        <f>IF(Aug[[#This Row],[Name]]="","",IF(VLOOKUP(Aug[[#This Row],[Name]],Overview[],15,FALSE)="","N/A",Aug[[#This Row],[August Weight (kg)]]-VLOOKUP(Aug[[#This Row],[Name]],Overview[],15,FALSE)))</f>
        <v/>
      </c>
      <c r="G22" s="175" t="str">
        <f>IF(Aug[[#This Row],[Name]]="","",IF(VLOOKUP(Aug[[#This Row],[Name]],Overview[],15,FALSE)="","N/A",(Aug[[#This Row],[August Weight (kg)]]-VLOOKUP(Aug[[#This Row],[Name]],Overview[],15,FALSE))/VLOOKUP(Aug[[#This Row],[Name]],Overview[],15,FALSE)))</f>
        <v/>
      </c>
      <c r="H22" s="61" t="str" cm="1">
        <f t="array" ref="H22">IF(Aug[[#This Row],[Name]]="","",IF(SUMPRODUCT((Overview[Name]=Aug[[#This Row],[Name]])*ISNUMBER(Overview[[February Weight (kg)]:[May 
Weight (kg)]]))=0,"N/A",MAX(IF((Overview[Name]=Aug[[#This Row],[Name]])*ISNUMBER(Overview[[February Weight (kg)]:[May 
Weight (kg)]]),Overview[[February Weight (kg)]:[May 
Weight (kg)]]))))</f>
        <v/>
      </c>
      <c r="I22" s="57" t="str">
        <f>IF(Aug[[#This Row],[Name]]="","",IF(NOT(ISNUMBER(Aug[[#This Row],[Highest Weight in the Past 3 - 6 Months]])),"N/A",IF(Aug[[#This Row],[August Weight (kg)]]=Aug[[#This Row],[Highest Weight in the Past 3 - 6 Months]],0,Aug[[#This Row],[August Weight (kg)]]-Aug[[#This Row],[Highest Weight in the Past 3 - 6 Months]])))</f>
        <v/>
      </c>
      <c r="J22"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2" s="130"/>
      <c r="L22" s="131"/>
      <c r="M22"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2" s="64" t="str">
        <f>IF(Aug[[#This Row],[Name]]="","",IF(Aug[[#This Row],[August MUST Score ]]=0,"Low",IF(Aug[[#This Row],[August MUST Score ]]=1,"Medium","High")))</f>
        <v/>
      </c>
      <c r="O22" s="10"/>
      <c r="P22" s="70"/>
      <c r="Q22" s="12"/>
      <c r="R22" s="17"/>
      <c r="S22" s="10"/>
      <c r="T22" s="17"/>
      <c r="U22" s="70"/>
      <c r="V22" s="11"/>
      <c r="W22" s="94"/>
      <c r="X22" s="12"/>
      <c r="Y22" s="11"/>
    </row>
    <row r="23" spans="2:25" x14ac:dyDescent="0.25">
      <c r="B23" s="12"/>
      <c r="C23" s="129"/>
      <c r="D23" s="94"/>
      <c r="E23" s="58" t="str">
        <f>IF(Aug[[#This Row],[Name]]="","",Aug[[#This Row],[August Weight (kg)]]/(VLOOKUP(Aug[[#This Row],[Name]],Overview[],2,FALSE)/100)^2)</f>
        <v/>
      </c>
      <c r="F23" s="58" t="str">
        <f>IF(Aug[[#This Row],[Name]]="","",IF(VLOOKUP(Aug[[#This Row],[Name]],Overview[],15,FALSE)="","N/A",Aug[[#This Row],[August Weight (kg)]]-VLOOKUP(Aug[[#This Row],[Name]],Overview[],15,FALSE)))</f>
        <v/>
      </c>
      <c r="G23" s="175" t="str">
        <f>IF(Aug[[#This Row],[Name]]="","",IF(VLOOKUP(Aug[[#This Row],[Name]],Overview[],15,FALSE)="","N/A",(Aug[[#This Row],[August Weight (kg)]]-VLOOKUP(Aug[[#This Row],[Name]],Overview[],15,FALSE))/VLOOKUP(Aug[[#This Row],[Name]],Overview[],15,FALSE)))</f>
        <v/>
      </c>
      <c r="H23" s="61" t="str" cm="1">
        <f t="array" ref="H23">IF(Aug[[#This Row],[Name]]="","",IF(SUMPRODUCT((Overview[Name]=Aug[[#This Row],[Name]])*ISNUMBER(Overview[[February Weight (kg)]:[May 
Weight (kg)]]))=0,"N/A",MAX(IF((Overview[Name]=Aug[[#This Row],[Name]])*ISNUMBER(Overview[[February Weight (kg)]:[May 
Weight (kg)]]),Overview[[February Weight (kg)]:[May 
Weight (kg)]]))))</f>
        <v/>
      </c>
      <c r="I23" s="57" t="str">
        <f>IF(Aug[[#This Row],[Name]]="","",IF(NOT(ISNUMBER(Aug[[#This Row],[Highest Weight in the Past 3 - 6 Months]])),"N/A",IF(Aug[[#This Row],[August Weight (kg)]]=Aug[[#This Row],[Highest Weight in the Past 3 - 6 Months]],0,Aug[[#This Row],[August Weight (kg)]]-Aug[[#This Row],[Highest Weight in the Past 3 - 6 Months]])))</f>
        <v/>
      </c>
      <c r="J23"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3" s="130"/>
      <c r="L23" s="131"/>
      <c r="M23"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3" s="64" t="str">
        <f>IF(Aug[[#This Row],[Name]]="","",IF(Aug[[#This Row],[August MUST Score ]]=0,"Low",IF(Aug[[#This Row],[August MUST Score ]]=1,"Medium","High")))</f>
        <v/>
      </c>
      <c r="O23" s="10"/>
      <c r="P23" s="70"/>
      <c r="Q23" s="12"/>
      <c r="R23" s="17"/>
      <c r="S23" s="10"/>
      <c r="T23" s="17"/>
      <c r="U23" s="70"/>
      <c r="V23" s="11"/>
      <c r="W23" s="94"/>
      <c r="X23" s="12"/>
      <c r="Y23" s="11"/>
    </row>
    <row r="24" spans="2:25" x14ac:dyDescent="0.25">
      <c r="B24" s="12"/>
      <c r="C24" s="129"/>
      <c r="D24" s="94"/>
      <c r="E24" s="58" t="str">
        <f>IF(Aug[[#This Row],[Name]]="","",Aug[[#This Row],[August Weight (kg)]]/(VLOOKUP(Aug[[#This Row],[Name]],Overview[],2,FALSE)/100)^2)</f>
        <v/>
      </c>
      <c r="F24" s="58" t="str">
        <f>IF(Aug[[#This Row],[Name]]="","",IF(VLOOKUP(Aug[[#This Row],[Name]],Overview[],15,FALSE)="","N/A",Aug[[#This Row],[August Weight (kg)]]-VLOOKUP(Aug[[#This Row],[Name]],Overview[],15,FALSE)))</f>
        <v/>
      </c>
      <c r="G24" s="175" t="str">
        <f>IF(Aug[[#This Row],[Name]]="","",IF(VLOOKUP(Aug[[#This Row],[Name]],Overview[],15,FALSE)="","N/A",(Aug[[#This Row],[August Weight (kg)]]-VLOOKUP(Aug[[#This Row],[Name]],Overview[],15,FALSE))/VLOOKUP(Aug[[#This Row],[Name]],Overview[],15,FALSE)))</f>
        <v/>
      </c>
      <c r="H24" s="61" t="str" cm="1">
        <f t="array" ref="H24">IF(Aug[[#This Row],[Name]]="","",IF(SUMPRODUCT((Overview[Name]=Aug[[#This Row],[Name]])*ISNUMBER(Overview[[February Weight (kg)]:[May 
Weight (kg)]]))=0,"N/A",MAX(IF((Overview[Name]=Aug[[#This Row],[Name]])*ISNUMBER(Overview[[February Weight (kg)]:[May 
Weight (kg)]]),Overview[[February Weight (kg)]:[May 
Weight (kg)]]))))</f>
        <v/>
      </c>
      <c r="I24" s="57" t="str">
        <f>IF(Aug[[#This Row],[Name]]="","",IF(NOT(ISNUMBER(Aug[[#This Row],[Highest Weight in the Past 3 - 6 Months]])),"N/A",IF(Aug[[#This Row],[August Weight (kg)]]=Aug[[#This Row],[Highest Weight in the Past 3 - 6 Months]],0,Aug[[#This Row],[August Weight (kg)]]-Aug[[#This Row],[Highest Weight in the Past 3 - 6 Months]])))</f>
        <v/>
      </c>
      <c r="J24"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4" s="130"/>
      <c r="L24" s="131"/>
      <c r="M24"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4" s="64" t="str">
        <f>IF(Aug[[#This Row],[Name]]="","",IF(Aug[[#This Row],[August MUST Score ]]=0,"Low",IF(Aug[[#This Row],[August MUST Score ]]=1,"Medium","High")))</f>
        <v/>
      </c>
      <c r="O24" s="10"/>
      <c r="P24" s="70"/>
      <c r="Q24" s="12"/>
      <c r="R24" s="17"/>
      <c r="S24" s="10"/>
      <c r="T24" s="17"/>
      <c r="U24" s="70"/>
      <c r="V24" s="11"/>
      <c r="W24" s="94"/>
      <c r="X24" s="12"/>
      <c r="Y24" s="11"/>
    </row>
    <row r="25" spans="2:25" x14ac:dyDescent="0.25">
      <c r="B25" s="12"/>
      <c r="C25" s="129"/>
      <c r="D25" s="94"/>
      <c r="E25" s="58" t="str">
        <f>IF(Aug[[#This Row],[Name]]="","",Aug[[#This Row],[August Weight (kg)]]/(VLOOKUP(Aug[[#This Row],[Name]],Overview[],2,FALSE)/100)^2)</f>
        <v/>
      </c>
      <c r="F25" s="58" t="str">
        <f>IF(Aug[[#This Row],[Name]]="","",IF(VLOOKUP(Aug[[#This Row],[Name]],Overview[],15,FALSE)="","N/A",Aug[[#This Row],[August Weight (kg)]]-VLOOKUP(Aug[[#This Row],[Name]],Overview[],15,FALSE)))</f>
        <v/>
      </c>
      <c r="G25" s="175" t="str">
        <f>IF(Aug[[#This Row],[Name]]="","",IF(VLOOKUP(Aug[[#This Row],[Name]],Overview[],15,FALSE)="","N/A",(Aug[[#This Row],[August Weight (kg)]]-VLOOKUP(Aug[[#This Row],[Name]],Overview[],15,FALSE))/VLOOKUP(Aug[[#This Row],[Name]],Overview[],15,FALSE)))</f>
        <v/>
      </c>
      <c r="H25" s="61" t="str" cm="1">
        <f t="array" ref="H25">IF(Aug[[#This Row],[Name]]="","",IF(SUMPRODUCT((Overview[Name]=Aug[[#This Row],[Name]])*ISNUMBER(Overview[[February Weight (kg)]:[May 
Weight (kg)]]))=0,"N/A",MAX(IF((Overview[Name]=Aug[[#This Row],[Name]])*ISNUMBER(Overview[[February Weight (kg)]:[May 
Weight (kg)]]),Overview[[February Weight (kg)]:[May 
Weight (kg)]]))))</f>
        <v/>
      </c>
      <c r="I25" s="57" t="str">
        <f>IF(Aug[[#This Row],[Name]]="","",IF(NOT(ISNUMBER(Aug[[#This Row],[Highest Weight in the Past 3 - 6 Months]])),"N/A",IF(Aug[[#This Row],[August Weight (kg)]]=Aug[[#This Row],[Highest Weight in the Past 3 - 6 Months]],0,Aug[[#This Row],[August Weight (kg)]]-Aug[[#This Row],[Highest Weight in the Past 3 - 6 Months]])))</f>
        <v/>
      </c>
      <c r="J25"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5" s="130"/>
      <c r="L25" s="131"/>
      <c r="M25"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5" s="64" t="str">
        <f>IF(Aug[[#This Row],[Name]]="","",IF(Aug[[#This Row],[August MUST Score ]]=0,"Low",IF(Aug[[#This Row],[August MUST Score ]]=1,"Medium","High")))</f>
        <v/>
      </c>
      <c r="O25" s="10"/>
      <c r="P25" s="70"/>
      <c r="Q25" s="12"/>
      <c r="R25" s="17"/>
      <c r="S25" s="10"/>
      <c r="T25" s="17"/>
      <c r="U25" s="70"/>
      <c r="V25" s="11"/>
      <c r="W25" s="94"/>
      <c r="X25" s="12"/>
      <c r="Y25" s="11"/>
    </row>
    <row r="26" spans="2:25" x14ac:dyDescent="0.25">
      <c r="B26" s="12"/>
      <c r="C26" s="129"/>
      <c r="D26" s="94"/>
      <c r="E26" s="58" t="str">
        <f>IF(Aug[[#This Row],[Name]]="","",Aug[[#This Row],[August Weight (kg)]]/(VLOOKUP(Aug[[#This Row],[Name]],Overview[],2,FALSE)/100)^2)</f>
        <v/>
      </c>
      <c r="F26" s="58" t="str">
        <f>IF(Aug[[#This Row],[Name]]="","",IF(VLOOKUP(Aug[[#This Row],[Name]],Overview[],15,FALSE)="","N/A",Aug[[#This Row],[August Weight (kg)]]-VLOOKUP(Aug[[#This Row],[Name]],Overview[],15,FALSE)))</f>
        <v/>
      </c>
      <c r="G26" s="175" t="str">
        <f>IF(Aug[[#This Row],[Name]]="","",IF(VLOOKUP(Aug[[#This Row],[Name]],Overview[],15,FALSE)="","N/A",(Aug[[#This Row],[August Weight (kg)]]-VLOOKUP(Aug[[#This Row],[Name]],Overview[],15,FALSE))/VLOOKUP(Aug[[#This Row],[Name]],Overview[],15,FALSE)))</f>
        <v/>
      </c>
      <c r="H26" s="61" t="str" cm="1">
        <f t="array" ref="H26">IF(Aug[[#This Row],[Name]]="","",IF(SUMPRODUCT((Overview[Name]=Aug[[#This Row],[Name]])*ISNUMBER(Overview[[February Weight (kg)]:[May 
Weight (kg)]]))=0,"N/A",MAX(IF((Overview[Name]=Aug[[#This Row],[Name]])*ISNUMBER(Overview[[February Weight (kg)]:[May 
Weight (kg)]]),Overview[[February Weight (kg)]:[May 
Weight (kg)]]))))</f>
        <v/>
      </c>
      <c r="I26" s="57" t="str">
        <f>IF(Aug[[#This Row],[Name]]="","",IF(NOT(ISNUMBER(Aug[[#This Row],[Highest Weight in the Past 3 - 6 Months]])),"N/A",IF(Aug[[#This Row],[August Weight (kg)]]=Aug[[#This Row],[Highest Weight in the Past 3 - 6 Months]],0,Aug[[#This Row],[August Weight (kg)]]-Aug[[#This Row],[Highest Weight in the Past 3 - 6 Months]])))</f>
        <v/>
      </c>
      <c r="J26"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6" s="130"/>
      <c r="L26" s="131"/>
      <c r="M26"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6" s="64" t="str">
        <f>IF(Aug[[#This Row],[Name]]="","",IF(Aug[[#This Row],[August MUST Score ]]=0,"Low",IF(Aug[[#This Row],[August MUST Score ]]=1,"Medium","High")))</f>
        <v/>
      </c>
      <c r="O26" s="10"/>
      <c r="P26" s="70"/>
      <c r="Q26" s="12"/>
      <c r="R26" s="17"/>
      <c r="S26" s="10"/>
      <c r="T26" s="17"/>
      <c r="U26" s="70"/>
      <c r="V26" s="11"/>
      <c r="W26" s="94"/>
      <c r="X26" s="12"/>
      <c r="Y26" s="11"/>
    </row>
    <row r="27" spans="2:25" x14ac:dyDescent="0.25">
      <c r="B27" s="12"/>
      <c r="C27" s="129"/>
      <c r="D27" s="94"/>
      <c r="E27" s="58" t="str">
        <f>IF(Aug[[#This Row],[Name]]="","",Aug[[#This Row],[August Weight (kg)]]/(VLOOKUP(Aug[[#This Row],[Name]],Overview[],2,FALSE)/100)^2)</f>
        <v/>
      </c>
      <c r="F27" s="58" t="str">
        <f>IF(Aug[[#This Row],[Name]]="","",IF(VLOOKUP(Aug[[#This Row],[Name]],Overview[],15,FALSE)="","N/A",Aug[[#This Row],[August Weight (kg)]]-VLOOKUP(Aug[[#This Row],[Name]],Overview[],15,FALSE)))</f>
        <v/>
      </c>
      <c r="G27" s="175" t="str">
        <f>IF(Aug[[#This Row],[Name]]="","",IF(VLOOKUP(Aug[[#This Row],[Name]],Overview[],15,FALSE)="","N/A",(Aug[[#This Row],[August Weight (kg)]]-VLOOKUP(Aug[[#This Row],[Name]],Overview[],15,FALSE))/VLOOKUP(Aug[[#This Row],[Name]],Overview[],15,FALSE)))</f>
        <v/>
      </c>
      <c r="H27" s="61" t="str" cm="1">
        <f t="array" ref="H27">IF(Aug[[#This Row],[Name]]="","",IF(SUMPRODUCT((Overview[Name]=Aug[[#This Row],[Name]])*ISNUMBER(Overview[[February Weight (kg)]:[May 
Weight (kg)]]))=0,"N/A",MAX(IF((Overview[Name]=Aug[[#This Row],[Name]])*ISNUMBER(Overview[[February Weight (kg)]:[May 
Weight (kg)]]),Overview[[February Weight (kg)]:[May 
Weight (kg)]]))))</f>
        <v/>
      </c>
      <c r="I27" s="57" t="str">
        <f>IF(Aug[[#This Row],[Name]]="","",IF(NOT(ISNUMBER(Aug[[#This Row],[Highest Weight in the Past 3 - 6 Months]])),"N/A",IF(Aug[[#This Row],[August Weight (kg)]]=Aug[[#This Row],[Highest Weight in the Past 3 - 6 Months]],0,Aug[[#This Row],[August Weight (kg)]]-Aug[[#This Row],[Highest Weight in the Past 3 - 6 Months]])))</f>
        <v/>
      </c>
      <c r="J27"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7" s="130"/>
      <c r="L27" s="131"/>
      <c r="M27"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7" s="64" t="str">
        <f>IF(Aug[[#This Row],[Name]]="","",IF(Aug[[#This Row],[August MUST Score ]]=0,"Low",IF(Aug[[#This Row],[August MUST Score ]]=1,"Medium","High")))</f>
        <v/>
      </c>
      <c r="O27" s="10"/>
      <c r="P27" s="70"/>
      <c r="Q27" s="12"/>
      <c r="R27" s="17"/>
      <c r="S27" s="10"/>
      <c r="T27" s="17"/>
      <c r="U27" s="70"/>
      <c r="V27" s="11"/>
      <c r="W27" s="94"/>
      <c r="X27" s="12"/>
      <c r="Y27" s="11"/>
    </row>
    <row r="28" spans="2:25" x14ac:dyDescent="0.25">
      <c r="B28" s="12"/>
      <c r="C28" s="129"/>
      <c r="D28" s="94"/>
      <c r="E28" s="58" t="str">
        <f>IF(Aug[[#This Row],[Name]]="","",Aug[[#This Row],[August Weight (kg)]]/(VLOOKUP(Aug[[#This Row],[Name]],Overview[],2,FALSE)/100)^2)</f>
        <v/>
      </c>
      <c r="F28" s="58" t="str">
        <f>IF(Aug[[#This Row],[Name]]="","",IF(VLOOKUP(Aug[[#This Row],[Name]],Overview[],15,FALSE)="","N/A",Aug[[#This Row],[August Weight (kg)]]-VLOOKUP(Aug[[#This Row],[Name]],Overview[],15,FALSE)))</f>
        <v/>
      </c>
      <c r="G28" s="175" t="str">
        <f>IF(Aug[[#This Row],[Name]]="","",IF(VLOOKUP(Aug[[#This Row],[Name]],Overview[],15,FALSE)="","N/A",(Aug[[#This Row],[August Weight (kg)]]-VLOOKUP(Aug[[#This Row],[Name]],Overview[],15,FALSE))/VLOOKUP(Aug[[#This Row],[Name]],Overview[],15,FALSE)))</f>
        <v/>
      </c>
      <c r="H28" s="61" t="str" cm="1">
        <f t="array" ref="H28">IF(Aug[[#This Row],[Name]]="","",IF(SUMPRODUCT((Overview[Name]=Aug[[#This Row],[Name]])*ISNUMBER(Overview[[February Weight (kg)]:[May 
Weight (kg)]]))=0,"N/A",MAX(IF((Overview[Name]=Aug[[#This Row],[Name]])*ISNUMBER(Overview[[February Weight (kg)]:[May 
Weight (kg)]]),Overview[[February Weight (kg)]:[May 
Weight (kg)]]))))</f>
        <v/>
      </c>
      <c r="I28" s="57" t="str">
        <f>IF(Aug[[#This Row],[Name]]="","",IF(NOT(ISNUMBER(Aug[[#This Row],[Highest Weight in the Past 3 - 6 Months]])),"N/A",IF(Aug[[#This Row],[August Weight (kg)]]=Aug[[#This Row],[Highest Weight in the Past 3 - 6 Months]],0,Aug[[#This Row],[August Weight (kg)]]-Aug[[#This Row],[Highest Weight in the Past 3 - 6 Months]])))</f>
        <v/>
      </c>
      <c r="J28"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8" s="130"/>
      <c r="L28" s="131"/>
      <c r="M28"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8" s="64" t="str">
        <f>IF(Aug[[#This Row],[Name]]="","",IF(Aug[[#This Row],[August MUST Score ]]=0,"Low",IF(Aug[[#This Row],[August MUST Score ]]=1,"Medium","High")))</f>
        <v/>
      </c>
      <c r="O28" s="10"/>
      <c r="P28" s="70"/>
      <c r="Q28" s="12"/>
      <c r="R28" s="17"/>
      <c r="S28" s="10"/>
      <c r="T28" s="17"/>
      <c r="U28" s="70"/>
      <c r="V28" s="11"/>
      <c r="W28" s="94"/>
      <c r="X28" s="12"/>
      <c r="Y28" s="11"/>
    </row>
    <row r="29" spans="2:25" x14ac:dyDescent="0.25">
      <c r="B29" s="12"/>
      <c r="C29" s="129"/>
      <c r="D29" s="94"/>
      <c r="E29" s="58" t="str">
        <f>IF(Aug[[#This Row],[Name]]="","",Aug[[#This Row],[August Weight (kg)]]/(VLOOKUP(Aug[[#This Row],[Name]],Overview[],2,FALSE)/100)^2)</f>
        <v/>
      </c>
      <c r="F29" s="58" t="str">
        <f>IF(Aug[[#This Row],[Name]]="","",IF(VLOOKUP(Aug[[#This Row],[Name]],Overview[],15,FALSE)="","N/A",Aug[[#This Row],[August Weight (kg)]]-VLOOKUP(Aug[[#This Row],[Name]],Overview[],15,FALSE)))</f>
        <v/>
      </c>
      <c r="G29" s="175" t="str">
        <f>IF(Aug[[#This Row],[Name]]="","",IF(VLOOKUP(Aug[[#This Row],[Name]],Overview[],15,FALSE)="","N/A",(Aug[[#This Row],[August Weight (kg)]]-VLOOKUP(Aug[[#This Row],[Name]],Overview[],15,FALSE))/VLOOKUP(Aug[[#This Row],[Name]],Overview[],15,FALSE)))</f>
        <v/>
      </c>
      <c r="H29" s="61" t="str" cm="1">
        <f t="array" ref="H29">IF(Aug[[#This Row],[Name]]="","",IF(SUMPRODUCT((Overview[Name]=Aug[[#This Row],[Name]])*ISNUMBER(Overview[[February Weight (kg)]:[May 
Weight (kg)]]))=0,"N/A",MAX(IF((Overview[Name]=Aug[[#This Row],[Name]])*ISNUMBER(Overview[[February Weight (kg)]:[May 
Weight (kg)]]),Overview[[February Weight (kg)]:[May 
Weight (kg)]]))))</f>
        <v/>
      </c>
      <c r="I29" s="57" t="str">
        <f>IF(Aug[[#This Row],[Name]]="","",IF(NOT(ISNUMBER(Aug[[#This Row],[Highest Weight in the Past 3 - 6 Months]])),"N/A",IF(Aug[[#This Row],[August Weight (kg)]]=Aug[[#This Row],[Highest Weight in the Past 3 - 6 Months]],0,Aug[[#This Row],[August Weight (kg)]]-Aug[[#This Row],[Highest Weight in the Past 3 - 6 Months]])))</f>
        <v/>
      </c>
      <c r="J29"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29" s="130"/>
      <c r="L29" s="131"/>
      <c r="M29"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29" s="64" t="str">
        <f>IF(Aug[[#This Row],[Name]]="","",IF(Aug[[#This Row],[August MUST Score ]]=0,"Low",IF(Aug[[#This Row],[August MUST Score ]]=1,"Medium","High")))</f>
        <v/>
      </c>
      <c r="O29" s="10"/>
      <c r="P29" s="70"/>
      <c r="Q29" s="12"/>
      <c r="R29" s="17"/>
      <c r="S29" s="10"/>
      <c r="T29" s="17"/>
      <c r="U29" s="70"/>
      <c r="V29" s="11"/>
      <c r="W29" s="94"/>
      <c r="X29" s="12"/>
      <c r="Y29" s="11"/>
    </row>
    <row r="30" spans="2:25" x14ac:dyDescent="0.25">
      <c r="B30" s="12"/>
      <c r="C30" s="129"/>
      <c r="D30" s="94"/>
      <c r="E30" s="58" t="str">
        <f>IF(Aug[[#This Row],[Name]]="","",Aug[[#This Row],[August Weight (kg)]]/(VLOOKUP(Aug[[#This Row],[Name]],Overview[],2,FALSE)/100)^2)</f>
        <v/>
      </c>
      <c r="F30" s="58" t="str">
        <f>IF(Aug[[#This Row],[Name]]="","",IF(VLOOKUP(Aug[[#This Row],[Name]],Overview[],15,FALSE)="","N/A",Aug[[#This Row],[August Weight (kg)]]-VLOOKUP(Aug[[#This Row],[Name]],Overview[],15,FALSE)))</f>
        <v/>
      </c>
      <c r="G30" s="175" t="str">
        <f>IF(Aug[[#This Row],[Name]]="","",IF(VLOOKUP(Aug[[#This Row],[Name]],Overview[],15,FALSE)="","N/A",(Aug[[#This Row],[August Weight (kg)]]-VLOOKUP(Aug[[#This Row],[Name]],Overview[],15,FALSE))/VLOOKUP(Aug[[#This Row],[Name]],Overview[],15,FALSE)))</f>
        <v/>
      </c>
      <c r="H30" s="61" t="str" cm="1">
        <f t="array" ref="H30">IF(Aug[[#This Row],[Name]]="","",IF(SUMPRODUCT((Overview[Name]=Aug[[#This Row],[Name]])*ISNUMBER(Overview[[February Weight (kg)]:[May 
Weight (kg)]]))=0,"N/A",MAX(IF((Overview[Name]=Aug[[#This Row],[Name]])*ISNUMBER(Overview[[February Weight (kg)]:[May 
Weight (kg)]]),Overview[[February Weight (kg)]:[May 
Weight (kg)]]))))</f>
        <v/>
      </c>
      <c r="I30" s="57" t="str">
        <f>IF(Aug[[#This Row],[Name]]="","",IF(NOT(ISNUMBER(Aug[[#This Row],[Highest Weight in the Past 3 - 6 Months]])),"N/A",IF(Aug[[#This Row],[August Weight (kg)]]=Aug[[#This Row],[Highest Weight in the Past 3 - 6 Months]],0,Aug[[#This Row],[August Weight (kg)]]-Aug[[#This Row],[Highest Weight in the Past 3 - 6 Months]])))</f>
        <v/>
      </c>
      <c r="J30"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0" s="130"/>
      <c r="L30" s="131"/>
      <c r="M30"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0" s="64" t="str">
        <f>IF(Aug[[#This Row],[Name]]="","",IF(Aug[[#This Row],[August MUST Score ]]=0,"Low",IF(Aug[[#This Row],[August MUST Score ]]=1,"Medium","High")))</f>
        <v/>
      </c>
      <c r="O30" s="10"/>
      <c r="P30" s="70"/>
      <c r="Q30" s="12"/>
      <c r="R30" s="17"/>
      <c r="S30" s="10"/>
      <c r="T30" s="17"/>
      <c r="U30" s="70"/>
      <c r="V30" s="11"/>
      <c r="W30" s="94"/>
      <c r="X30" s="12"/>
      <c r="Y30" s="11"/>
    </row>
    <row r="31" spans="2:25" x14ac:dyDescent="0.25">
      <c r="B31" s="12"/>
      <c r="C31" s="129"/>
      <c r="D31" s="94"/>
      <c r="E31" s="58" t="str">
        <f>IF(Aug[[#This Row],[Name]]="","",Aug[[#This Row],[August Weight (kg)]]/(VLOOKUP(Aug[[#This Row],[Name]],Overview[],2,FALSE)/100)^2)</f>
        <v/>
      </c>
      <c r="F31" s="58" t="str">
        <f>IF(Aug[[#This Row],[Name]]="","",IF(VLOOKUP(Aug[[#This Row],[Name]],Overview[],15,FALSE)="","N/A",Aug[[#This Row],[August Weight (kg)]]-VLOOKUP(Aug[[#This Row],[Name]],Overview[],15,FALSE)))</f>
        <v/>
      </c>
      <c r="G31" s="175" t="str">
        <f>IF(Aug[[#This Row],[Name]]="","",IF(VLOOKUP(Aug[[#This Row],[Name]],Overview[],15,FALSE)="","N/A",(Aug[[#This Row],[August Weight (kg)]]-VLOOKUP(Aug[[#This Row],[Name]],Overview[],15,FALSE))/VLOOKUP(Aug[[#This Row],[Name]],Overview[],15,FALSE)))</f>
        <v/>
      </c>
      <c r="H31" s="61" t="str" cm="1">
        <f t="array" ref="H31">IF(Aug[[#This Row],[Name]]="","",IF(SUMPRODUCT((Overview[Name]=Aug[[#This Row],[Name]])*ISNUMBER(Overview[[February Weight (kg)]:[May 
Weight (kg)]]))=0,"N/A",MAX(IF((Overview[Name]=Aug[[#This Row],[Name]])*ISNUMBER(Overview[[February Weight (kg)]:[May 
Weight (kg)]]),Overview[[February Weight (kg)]:[May 
Weight (kg)]]))))</f>
        <v/>
      </c>
      <c r="I31" s="57" t="str">
        <f>IF(Aug[[#This Row],[Name]]="","",IF(NOT(ISNUMBER(Aug[[#This Row],[Highest Weight in the Past 3 - 6 Months]])),"N/A",IF(Aug[[#This Row],[August Weight (kg)]]=Aug[[#This Row],[Highest Weight in the Past 3 - 6 Months]],0,Aug[[#This Row],[August Weight (kg)]]-Aug[[#This Row],[Highest Weight in the Past 3 - 6 Months]])))</f>
        <v/>
      </c>
      <c r="J31"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1" s="130"/>
      <c r="L31" s="131"/>
      <c r="M31"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1" s="64" t="str">
        <f>IF(Aug[[#This Row],[Name]]="","",IF(Aug[[#This Row],[August MUST Score ]]=0,"Low",IF(Aug[[#This Row],[August MUST Score ]]=1,"Medium","High")))</f>
        <v/>
      </c>
      <c r="O31" s="10"/>
      <c r="P31" s="70"/>
      <c r="Q31" s="12"/>
      <c r="R31" s="17"/>
      <c r="S31" s="10"/>
      <c r="T31" s="17"/>
      <c r="U31" s="70"/>
      <c r="V31" s="11"/>
      <c r="W31" s="94"/>
      <c r="X31" s="12"/>
      <c r="Y31" s="11"/>
    </row>
    <row r="32" spans="2:25" x14ac:dyDescent="0.25">
      <c r="B32" s="12"/>
      <c r="C32" s="129"/>
      <c r="D32" s="94"/>
      <c r="E32" s="58" t="str">
        <f>IF(Aug[[#This Row],[Name]]="","",Aug[[#This Row],[August Weight (kg)]]/(VLOOKUP(Aug[[#This Row],[Name]],Overview[],2,FALSE)/100)^2)</f>
        <v/>
      </c>
      <c r="F32" s="58" t="str">
        <f>IF(Aug[[#This Row],[Name]]="","",IF(VLOOKUP(Aug[[#This Row],[Name]],Overview[],15,FALSE)="","N/A",Aug[[#This Row],[August Weight (kg)]]-VLOOKUP(Aug[[#This Row],[Name]],Overview[],15,FALSE)))</f>
        <v/>
      </c>
      <c r="G32" s="175" t="str">
        <f>IF(Aug[[#This Row],[Name]]="","",IF(VLOOKUP(Aug[[#This Row],[Name]],Overview[],15,FALSE)="","N/A",(Aug[[#This Row],[August Weight (kg)]]-VLOOKUP(Aug[[#This Row],[Name]],Overview[],15,FALSE))/VLOOKUP(Aug[[#This Row],[Name]],Overview[],15,FALSE)))</f>
        <v/>
      </c>
      <c r="H32" s="61" t="str" cm="1">
        <f t="array" ref="H32">IF(Aug[[#This Row],[Name]]="","",IF(SUMPRODUCT((Overview[Name]=Aug[[#This Row],[Name]])*ISNUMBER(Overview[[February Weight (kg)]:[May 
Weight (kg)]]))=0,"N/A",MAX(IF((Overview[Name]=Aug[[#This Row],[Name]])*ISNUMBER(Overview[[February Weight (kg)]:[May 
Weight (kg)]]),Overview[[February Weight (kg)]:[May 
Weight (kg)]]))))</f>
        <v/>
      </c>
      <c r="I32" s="57" t="str">
        <f>IF(Aug[[#This Row],[Name]]="","",IF(NOT(ISNUMBER(Aug[[#This Row],[Highest Weight in the Past 3 - 6 Months]])),"N/A",IF(Aug[[#This Row],[August Weight (kg)]]=Aug[[#This Row],[Highest Weight in the Past 3 - 6 Months]],0,Aug[[#This Row],[August Weight (kg)]]-Aug[[#This Row],[Highest Weight in the Past 3 - 6 Months]])))</f>
        <v/>
      </c>
      <c r="J32"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2" s="130"/>
      <c r="L32" s="131"/>
      <c r="M32"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2" s="64" t="str">
        <f>IF(Aug[[#This Row],[Name]]="","",IF(Aug[[#This Row],[August MUST Score ]]=0,"Low",IF(Aug[[#This Row],[August MUST Score ]]=1,"Medium","High")))</f>
        <v/>
      </c>
      <c r="O32" s="10"/>
      <c r="P32" s="70"/>
      <c r="Q32" s="12"/>
      <c r="R32" s="17"/>
      <c r="S32" s="10"/>
      <c r="T32" s="17"/>
      <c r="U32" s="70"/>
      <c r="V32" s="11"/>
      <c r="W32" s="94"/>
      <c r="X32" s="12"/>
      <c r="Y32" s="11"/>
    </row>
    <row r="33" spans="2:25" x14ac:dyDescent="0.25">
      <c r="B33" s="12"/>
      <c r="C33" s="129"/>
      <c r="D33" s="94"/>
      <c r="E33" s="58" t="str">
        <f>IF(Aug[[#This Row],[Name]]="","",Aug[[#This Row],[August Weight (kg)]]/(VLOOKUP(Aug[[#This Row],[Name]],Overview[],2,FALSE)/100)^2)</f>
        <v/>
      </c>
      <c r="F33" s="58" t="str">
        <f>IF(Aug[[#This Row],[Name]]="","",IF(VLOOKUP(Aug[[#This Row],[Name]],Overview[],15,FALSE)="","N/A",Aug[[#This Row],[August Weight (kg)]]-VLOOKUP(Aug[[#This Row],[Name]],Overview[],15,FALSE)))</f>
        <v/>
      </c>
      <c r="G33" s="175" t="str">
        <f>IF(Aug[[#This Row],[Name]]="","",IF(VLOOKUP(Aug[[#This Row],[Name]],Overview[],15,FALSE)="","N/A",(Aug[[#This Row],[August Weight (kg)]]-VLOOKUP(Aug[[#This Row],[Name]],Overview[],15,FALSE))/VLOOKUP(Aug[[#This Row],[Name]],Overview[],15,FALSE)))</f>
        <v/>
      </c>
      <c r="H33" s="61" t="str" cm="1">
        <f t="array" ref="H33">IF(Aug[[#This Row],[Name]]="","",IF(SUMPRODUCT((Overview[Name]=Aug[[#This Row],[Name]])*ISNUMBER(Overview[[February Weight (kg)]:[May 
Weight (kg)]]))=0,"N/A",MAX(IF((Overview[Name]=Aug[[#This Row],[Name]])*ISNUMBER(Overview[[February Weight (kg)]:[May 
Weight (kg)]]),Overview[[February Weight (kg)]:[May 
Weight (kg)]]))))</f>
        <v/>
      </c>
      <c r="I33" s="57" t="str">
        <f>IF(Aug[[#This Row],[Name]]="","",IF(NOT(ISNUMBER(Aug[[#This Row],[Highest Weight in the Past 3 - 6 Months]])),"N/A",IF(Aug[[#This Row],[August Weight (kg)]]=Aug[[#This Row],[Highest Weight in the Past 3 - 6 Months]],0,Aug[[#This Row],[August Weight (kg)]]-Aug[[#This Row],[Highest Weight in the Past 3 - 6 Months]])))</f>
        <v/>
      </c>
      <c r="J33"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3" s="130"/>
      <c r="L33" s="131"/>
      <c r="M33"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3" s="64" t="str">
        <f>IF(Aug[[#This Row],[Name]]="","",IF(Aug[[#This Row],[August MUST Score ]]=0,"Low",IF(Aug[[#This Row],[August MUST Score ]]=1,"Medium","High")))</f>
        <v/>
      </c>
      <c r="O33" s="10"/>
      <c r="P33" s="70"/>
      <c r="Q33" s="12"/>
      <c r="R33" s="17"/>
      <c r="S33" s="10"/>
      <c r="T33" s="17"/>
      <c r="U33" s="70"/>
      <c r="V33" s="11"/>
      <c r="W33" s="94"/>
      <c r="X33" s="12"/>
      <c r="Y33" s="11"/>
    </row>
    <row r="34" spans="2:25" x14ac:dyDescent="0.25">
      <c r="B34" s="12"/>
      <c r="C34" s="129"/>
      <c r="D34" s="94"/>
      <c r="E34" s="58" t="str">
        <f>IF(Aug[[#This Row],[Name]]="","",Aug[[#This Row],[August Weight (kg)]]/(VLOOKUP(Aug[[#This Row],[Name]],Overview[],2,FALSE)/100)^2)</f>
        <v/>
      </c>
      <c r="F34" s="58" t="str">
        <f>IF(Aug[[#This Row],[Name]]="","",IF(VLOOKUP(Aug[[#This Row],[Name]],Overview[],15,FALSE)="","N/A",Aug[[#This Row],[August Weight (kg)]]-VLOOKUP(Aug[[#This Row],[Name]],Overview[],15,FALSE)))</f>
        <v/>
      </c>
      <c r="G34" s="175" t="str">
        <f>IF(Aug[[#This Row],[Name]]="","",IF(VLOOKUP(Aug[[#This Row],[Name]],Overview[],15,FALSE)="","N/A",(Aug[[#This Row],[August Weight (kg)]]-VLOOKUP(Aug[[#This Row],[Name]],Overview[],15,FALSE))/VLOOKUP(Aug[[#This Row],[Name]],Overview[],15,FALSE)))</f>
        <v/>
      </c>
      <c r="H34" s="61" t="str" cm="1">
        <f t="array" ref="H34">IF(Aug[[#This Row],[Name]]="","",IF(SUMPRODUCT((Overview[Name]=Aug[[#This Row],[Name]])*ISNUMBER(Overview[[February Weight (kg)]:[May 
Weight (kg)]]))=0,"N/A",MAX(IF((Overview[Name]=Aug[[#This Row],[Name]])*ISNUMBER(Overview[[February Weight (kg)]:[May 
Weight (kg)]]),Overview[[February Weight (kg)]:[May 
Weight (kg)]]))))</f>
        <v/>
      </c>
      <c r="I34" s="57" t="str">
        <f>IF(Aug[[#This Row],[Name]]="","",IF(NOT(ISNUMBER(Aug[[#This Row],[Highest Weight in the Past 3 - 6 Months]])),"N/A",IF(Aug[[#This Row],[August Weight (kg)]]=Aug[[#This Row],[Highest Weight in the Past 3 - 6 Months]],0,Aug[[#This Row],[August Weight (kg)]]-Aug[[#This Row],[Highest Weight in the Past 3 - 6 Months]])))</f>
        <v/>
      </c>
      <c r="J34"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4" s="130"/>
      <c r="L34" s="131"/>
      <c r="M34"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4" s="64" t="str">
        <f>IF(Aug[[#This Row],[Name]]="","",IF(Aug[[#This Row],[August MUST Score ]]=0,"Low",IF(Aug[[#This Row],[August MUST Score ]]=1,"Medium","High")))</f>
        <v/>
      </c>
      <c r="O34" s="10"/>
      <c r="P34" s="70"/>
      <c r="Q34" s="12"/>
      <c r="R34" s="17"/>
      <c r="S34" s="10"/>
      <c r="T34" s="17"/>
      <c r="U34" s="70"/>
      <c r="V34" s="11"/>
      <c r="W34" s="94"/>
      <c r="X34" s="12"/>
      <c r="Y34" s="11"/>
    </row>
    <row r="35" spans="2:25" x14ac:dyDescent="0.25">
      <c r="B35" s="12"/>
      <c r="C35" s="129"/>
      <c r="D35" s="94"/>
      <c r="E35" s="58" t="str">
        <f>IF(Aug[[#This Row],[Name]]="","",Aug[[#This Row],[August Weight (kg)]]/(VLOOKUP(Aug[[#This Row],[Name]],Overview[],2,FALSE)/100)^2)</f>
        <v/>
      </c>
      <c r="F35" s="58" t="str">
        <f>IF(Aug[[#This Row],[Name]]="","",IF(VLOOKUP(Aug[[#This Row],[Name]],Overview[],15,FALSE)="","N/A",Aug[[#This Row],[August Weight (kg)]]-VLOOKUP(Aug[[#This Row],[Name]],Overview[],15,FALSE)))</f>
        <v/>
      </c>
      <c r="G35" s="175" t="str">
        <f>IF(Aug[[#This Row],[Name]]="","",IF(VLOOKUP(Aug[[#This Row],[Name]],Overview[],15,FALSE)="","N/A",(Aug[[#This Row],[August Weight (kg)]]-VLOOKUP(Aug[[#This Row],[Name]],Overview[],15,FALSE))/VLOOKUP(Aug[[#This Row],[Name]],Overview[],15,FALSE)))</f>
        <v/>
      </c>
      <c r="H35" s="61" t="str" cm="1">
        <f t="array" ref="H35">IF(Aug[[#This Row],[Name]]="","",IF(SUMPRODUCT((Overview[Name]=Aug[[#This Row],[Name]])*ISNUMBER(Overview[[February Weight (kg)]:[May 
Weight (kg)]]))=0,"N/A",MAX(IF((Overview[Name]=Aug[[#This Row],[Name]])*ISNUMBER(Overview[[February Weight (kg)]:[May 
Weight (kg)]]),Overview[[February Weight (kg)]:[May 
Weight (kg)]]))))</f>
        <v/>
      </c>
      <c r="I35" s="57" t="str">
        <f>IF(Aug[[#This Row],[Name]]="","",IF(NOT(ISNUMBER(Aug[[#This Row],[Highest Weight in the Past 3 - 6 Months]])),"N/A",IF(Aug[[#This Row],[August Weight (kg)]]=Aug[[#This Row],[Highest Weight in the Past 3 - 6 Months]],0,Aug[[#This Row],[August Weight (kg)]]-Aug[[#This Row],[Highest Weight in the Past 3 - 6 Months]])))</f>
        <v/>
      </c>
      <c r="J35"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5" s="130"/>
      <c r="L35" s="131"/>
      <c r="M35"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5" s="64" t="str">
        <f>IF(Aug[[#This Row],[Name]]="","",IF(Aug[[#This Row],[August MUST Score ]]=0,"Low",IF(Aug[[#This Row],[August MUST Score ]]=1,"Medium","High")))</f>
        <v/>
      </c>
      <c r="O35" s="10"/>
      <c r="P35" s="70"/>
      <c r="Q35" s="12"/>
      <c r="R35" s="17"/>
      <c r="S35" s="10"/>
      <c r="T35" s="17"/>
      <c r="U35" s="70"/>
      <c r="V35" s="11"/>
      <c r="W35" s="94"/>
      <c r="X35" s="12"/>
      <c r="Y35" s="11"/>
    </row>
    <row r="36" spans="2:25" x14ac:dyDescent="0.25">
      <c r="B36" s="12"/>
      <c r="C36" s="129"/>
      <c r="D36" s="94"/>
      <c r="E36" s="58" t="str">
        <f>IF(Aug[[#This Row],[Name]]="","",Aug[[#This Row],[August Weight (kg)]]/(VLOOKUP(Aug[[#This Row],[Name]],Overview[],2,FALSE)/100)^2)</f>
        <v/>
      </c>
      <c r="F36" s="58" t="str">
        <f>IF(Aug[[#This Row],[Name]]="","",IF(VLOOKUP(Aug[[#This Row],[Name]],Overview[],15,FALSE)="","N/A",Aug[[#This Row],[August Weight (kg)]]-VLOOKUP(Aug[[#This Row],[Name]],Overview[],15,FALSE)))</f>
        <v/>
      </c>
      <c r="G36" s="175" t="str">
        <f>IF(Aug[[#This Row],[Name]]="","",IF(VLOOKUP(Aug[[#This Row],[Name]],Overview[],15,FALSE)="","N/A",(Aug[[#This Row],[August Weight (kg)]]-VLOOKUP(Aug[[#This Row],[Name]],Overview[],15,FALSE))/VLOOKUP(Aug[[#This Row],[Name]],Overview[],15,FALSE)))</f>
        <v/>
      </c>
      <c r="H36" s="61" t="str" cm="1">
        <f t="array" ref="H36">IF(Aug[[#This Row],[Name]]="","",IF(SUMPRODUCT((Overview[Name]=Aug[[#This Row],[Name]])*ISNUMBER(Overview[[February Weight (kg)]:[May 
Weight (kg)]]))=0,"N/A",MAX(IF((Overview[Name]=Aug[[#This Row],[Name]])*ISNUMBER(Overview[[February Weight (kg)]:[May 
Weight (kg)]]),Overview[[February Weight (kg)]:[May 
Weight (kg)]]))))</f>
        <v/>
      </c>
      <c r="I36" s="57" t="str">
        <f>IF(Aug[[#This Row],[Name]]="","",IF(NOT(ISNUMBER(Aug[[#This Row],[Highest Weight in the Past 3 - 6 Months]])),"N/A",IF(Aug[[#This Row],[August Weight (kg)]]=Aug[[#This Row],[Highest Weight in the Past 3 - 6 Months]],0,Aug[[#This Row],[August Weight (kg)]]-Aug[[#This Row],[Highest Weight in the Past 3 - 6 Months]])))</f>
        <v/>
      </c>
      <c r="J36"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6" s="130"/>
      <c r="L36" s="131"/>
      <c r="M36"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6" s="64" t="str">
        <f>IF(Aug[[#This Row],[Name]]="","",IF(Aug[[#This Row],[August MUST Score ]]=0,"Low",IF(Aug[[#This Row],[August MUST Score ]]=1,"Medium","High")))</f>
        <v/>
      </c>
      <c r="O36" s="10"/>
      <c r="P36" s="70"/>
      <c r="Q36" s="12"/>
      <c r="R36" s="17"/>
      <c r="S36" s="10"/>
      <c r="T36" s="17"/>
      <c r="U36" s="70"/>
      <c r="V36" s="11"/>
      <c r="W36" s="94"/>
      <c r="X36" s="12"/>
      <c r="Y36" s="11"/>
    </row>
    <row r="37" spans="2:25" x14ac:dyDescent="0.25">
      <c r="B37" s="12"/>
      <c r="C37" s="129"/>
      <c r="D37" s="94"/>
      <c r="E37" s="58" t="str">
        <f>IF(Aug[[#This Row],[Name]]="","",Aug[[#This Row],[August Weight (kg)]]/(VLOOKUP(Aug[[#This Row],[Name]],Overview[],2,FALSE)/100)^2)</f>
        <v/>
      </c>
      <c r="F37" s="58" t="str">
        <f>IF(Aug[[#This Row],[Name]]="","",IF(VLOOKUP(Aug[[#This Row],[Name]],Overview[],15,FALSE)="","N/A",Aug[[#This Row],[August Weight (kg)]]-VLOOKUP(Aug[[#This Row],[Name]],Overview[],15,FALSE)))</f>
        <v/>
      </c>
      <c r="G37" s="175" t="str">
        <f>IF(Aug[[#This Row],[Name]]="","",IF(VLOOKUP(Aug[[#This Row],[Name]],Overview[],15,FALSE)="","N/A",(Aug[[#This Row],[August Weight (kg)]]-VLOOKUP(Aug[[#This Row],[Name]],Overview[],15,FALSE))/VLOOKUP(Aug[[#This Row],[Name]],Overview[],15,FALSE)))</f>
        <v/>
      </c>
      <c r="H37" s="61" t="str" cm="1">
        <f t="array" ref="H37">IF(Aug[[#This Row],[Name]]="","",IF(SUMPRODUCT((Overview[Name]=Aug[[#This Row],[Name]])*ISNUMBER(Overview[[February Weight (kg)]:[May 
Weight (kg)]]))=0,"N/A",MAX(IF((Overview[Name]=Aug[[#This Row],[Name]])*ISNUMBER(Overview[[February Weight (kg)]:[May 
Weight (kg)]]),Overview[[February Weight (kg)]:[May 
Weight (kg)]]))))</f>
        <v/>
      </c>
      <c r="I37" s="57" t="str">
        <f>IF(Aug[[#This Row],[Name]]="","",IF(NOT(ISNUMBER(Aug[[#This Row],[Highest Weight in the Past 3 - 6 Months]])),"N/A",IF(Aug[[#This Row],[August Weight (kg)]]=Aug[[#This Row],[Highest Weight in the Past 3 - 6 Months]],0,Aug[[#This Row],[August Weight (kg)]]-Aug[[#This Row],[Highest Weight in the Past 3 - 6 Months]])))</f>
        <v/>
      </c>
      <c r="J37"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7" s="130"/>
      <c r="L37" s="131"/>
      <c r="M37"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7" s="64" t="str">
        <f>IF(Aug[[#This Row],[Name]]="","",IF(Aug[[#This Row],[August MUST Score ]]=0,"Low",IF(Aug[[#This Row],[August MUST Score ]]=1,"Medium","High")))</f>
        <v/>
      </c>
      <c r="O37" s="10"/>
      <c r="P37" s="70"/>
      <c r="Q37" s="12"/>
      <c r="R37" s="17"/>
      <c r="S37" s="10"/>
      <c r="T37" s="17"/>
      <c r="U37" s="70"/>
      <c r="V37" s="11"/>
      <c r="W37" s="94"/>
      <c r="X37" s="12"/>
      <c r="Y37" s="11"/>
    </row>
    <row r="38" spans="2:25" x14ac:dyDescent="0.25">
      <c r="B38" s="12"/>
      <c r="C38" s="129"/>
      <c r="D38" s="94"/>
      <c r="E38" s="58" t="str">
        <f>IF(Aug[[#This Row],[Name]]="","",Aug[[#This Row],[August Weight (kg)]]/(VLOOKUP(Aug[[#This Row],[Name]],Overview[],2,FALSE)/100)^2)</f>
        <v/>
      </c>
      <c r="F38" s="58" t="str">
        <f>IF(Aug[[#This Row],[Name]]="","",IF(VLOOKUP(Aug[[#This Row],[Name]],Overview[],15,FALSE)="","N/A",Aug[[#This Row],[August Weight (kg)]]-VLOOKUP(Aug[[#This Row],[Name]],Overview[],15,FALSE)))</f>
        <v/>
      </c>
      <c r="G38" s="175" t="str">
        <f>IF(Aug[[#This Row],[Name]]="","",IF(VLOOKUP(Aug[[#This Row],[Name]],Overview[],15,FALSE)="","N/A",(Aug[[#This Row],[August Weight (kg)]]-VLOOKUP(Aug[[#This Row],[Name]],Overview[],15,FALSE))/VLOOKUP(Aug[[#This Row],[Name]],Overview[],15,FALSE)))</f>
        <v/>
      </c>
      <c r="H38" s="61" t="str" cm="1">
        <f t="array" ref="H38">IF(Aug[[#This Row],[Name]]="","",IF(SUMPRODUCT((Overview[Name]=Aug[[#This Row],[Name]])*ISNUMBER(Overview[[February Weight (kg)]:[May 
Weight (kg)]]))=0,"N/A",MAX(IF((Overview[Name]=Aug[[#This Row],[Name]])*ISNUMBER(Overview[[February Weight (kg)]:[May 
Weight (kg)]]),Overview[[February Weight (kg)]:[May 
Weight (kg)]]))))</f>
        <v/>
      </c>
      <c r="I38" s="57" t="str">
        <f>IF(Aug[[#This Row],[Name]]="","",IF(NOT(ISNUMBER(Aug[[#This Row],[Highest Weight in the Past 3 - 6 Months]])),"N/A",IF(Aug[[#This Row],[August Weight (kg)]]=Aug[[#This Row],[Highest Weight in the Past 3 - 6 Months]],0,Aug[[#This Row],[August Weight (kg)]]-Aug[[#This Row],[Highest Weight in the Past 3 - 6 Months]])))</f>
        <v/>
      </c>
      <c r="J38"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8" s="130"/>
      <c r="L38" s="131"/>
      <c r="M38"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8" s="64" t="str">
        <f>IF(Aug[[#This Row],[Name]]="","",IF(Aug[[#This Row],[August MUST Score ]]=0,"Low",IF(Aug[[#This Row],[August MUST Score ]]=1,"Medium","High")))</f>
        <v/>
      </c>
      <c r="O38" s="10"/>
      <c r="P38" s="70"/>
      <c r="Q38" s="12"/>
      <c r="R38" s="17"/>
      <c r="S38" s="10"/>
      <c r="T38" s="17"/>
      <c r="U38" s="70"/>
      <c r="V38" s="11"/>
      <c r="W38" s="94"/>
      <c r="X38" s="12"/>
      <c r="Y38" s="11"/>
    </row>
    <row r="39" spans="2:25" x14ac:dyDescent="0.25">
      <c r="B39" s="12"/>
      <c r="C39" s="129"/>
      <c r="D39" s="94"/>
      <c r="E39" s="58" t="str">
        <f>IF(Aug[[#This Row],[Name]]="","",Aug[[#This Row],[August Weight (kg)]]/(VLOOKUP(Aug[[#This Row],[Name]],Overview[],2,FALSE)/100)^2)</f>
        <v/>
      </c>
      <c r="F39" s="58" t="str">
        <f>IF(Aug[[#This Row],[Name]]="","",IF(VLOOKUP(Aug[[#This Row],[Name]],Overview[],15,FALSE)="","N/A",Aug[[#This Row],[August Weight (kg)]]-VLOOKUP(Aug[[#This Row],[Name]],Overview[],15,FALSE)))</f>
        <v/>
      </c>
      <c r="G39" s="175" t="str">
        <f>IF(Aug[[#This Row],[Name]]="","",IF(VLOOKUP(Aug[[#This Row],[Name]],Overview[],15,FALSE)="","N/A",(Aug[[#This Row],[August Weight (kg)]]-VLOOKUP(Aug[[#This Row],[Name]],Overview[],15,FALSE))/VLOOKUP(Aug[[#This Row],[Name]],Overview[],15,FALSE)))</f>
        <v/>
      </c>
      <c r="H39" s="61" t="str" cm="1">
        <f t="array" ref="H39">IF(Aug[[#This Row],[Name]]="","",IF(SUMPRODUCT((Overview[Name]=Aug[[#This Row],[Name]])*ISNUMBER(Overview[[February Weight (kg)]:[May 
Weight (kg)]]))=0,"N/A",MAX(IF((Overview[Name]=Aug[[#This Row],[Name]])*ISNUMBER(Overview[[February Weight (kg)]:[May 
Weight (kg)]]),Overview[[February Weight (kg)]:[May 
Weight (kg)]]))))</f>
        <v/>
      </c>
      <c r="I39" s="57" t="str">
        <f>IF(Aug[[#This Row],[Name]]="","",IF(NOT(ISNUMBER(Aug[[#This Row],[Highest Weight in the Past 3 - 6 Months]])),"N/A",IF(Aug[[#This Row],[August Weight (kg)]]=Aug[[#This Row],[Highest Weight in the Past 3 - 6 Months]],0,Aug[[#This Row],[August Weight (kg)]]-Aug[[#This Row],[Highest Weight in the Past 3 - 6 Months]])))</f>
        <v/>
      </c>
      <c r="J39"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39" s="130"/>
      <c r="L39" s="131"/>
      <c r="M39"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39" s="64" t="str">
        <f>IF(Aug[[#This Row],[Name]]="","",IF(Aug[[#This Row],[August MUST Score ]]=0,"Low",IF(Aug[[#This Row],[August MUST Score ]]=1,"Medium","High")))</f>
        <v/>
      </c>
      <c r="O39" s="10"/>
      <c r="P39" s="70"/>
      <c r="Q39" s="12"/>
      <c r="R39" s="17"/>
      <c r="S39" s="10"/>
      <c r="T39" s="17"/>
      <c r="U39" s="70"/>
      <c r="V39" s="11"/>
      <c r="W39" s="94"/>
      <c r="X39" s="12"/>
      <c r="Y39" s="11"/>
    </row>
    <row r="40" spans="2:25" x14ac:dyDescent="0.25">
      <c r="B40" s="12"/>
      <c r="C40" s="129"/>
      <c r="D40" s="94"/>
      <c r="E40" s="58" t="str">
        <f>IF(Aug[[#This Row],[Name]]="","",Aug[[#This Row],[August Weight (kg)]]/(VLOOKUP(Aug[[#This Row],[Name]],Overview[],2,FALSE)/100)^2)</f>
        <v/>
      </c>
      <c r="F40" s="58" t="str">
        <f>IF(Aug[[#This Row],[Name]]="","",IF(VLOOKUP(Aug[[#This Row],[Name]],Overview[],15,FALSE)="","N/A",Aug[[#This Row],[August Weight (kg)]]-VLOOKUP(Aug[[#This Row],[Name]],Overview[],15,FALSE)))</f>
        <v/>
      </c>
      <c r="G40" s="175" t="str">
        <f>IF(Aug[[#This Row],[Name]]="","",IF(VLOOKUP(Aug[[#This Row],[Name]],Overview[],15,FALSE)="","N/A",(Aug[[#This Row],[August Weight (kg)]]-VLOOKUP(Aug[[#This Row],[Name]],Overview[],15,FALSE))/VLOOKUP(Aug[[#This Row],[Name]],Overview[],15,FALSE)))</f>
        <v/>
      </c>
      <c r="H40" s="61" t="str" cm="1">
        <f t="array" ref="H40">IF(Aug[[#This Row],[Name]]="","",IF(SUMPRODUCT((Overview[Name]=Aug[[#This Row],[Name]])*ISNUMBER(Overview[[February Weight (kg)]:[May 
Weight (kg)]]))=0,"N/A",MAX(IF((Overview[Name]=Aug[[#This Row],[Name]])*ISNUMBER(Overview[[February Weight (kg)]:[May 
Weight (kg)]]),Overview[[February Weight (kg)]:[May 
Weight (kg)]]))))</f>
        <v/>
      </c>
      <c r="I40" s="57" t="str">
        <f>IF(Aug[[#This Row],[Name]]="","",IF(NOT(ISNUMBER(Aug[[#This Row],[Highest Weight in the Past 3 - 6 Months]])),"N/A",IF(Aug[[#This Row],[August Weight (kg)]]=Aug[[#This Row],[Highest Weight in the Past 3 - 6 Months]],0,Aug[[#This Row],[August Weight (kg)]]-Aug[[#This Row],[Highest Weight in the Past 3 - 6 Months]])))</f>
        <v/>
      </c>
      <c r="J40"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40" s="130"/>
      <c r="L40" s="131"/>
      <c r="M40"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40" s="64" t="str">
        <f>IF(Aug[[#This Row],[Name]]="","",IF(Aug[[#This Row],[August MUST Score ]]=0,"Low",IF(Aug[[#This Row],[August MUST Score ]]=1,"Medium","High")))</f>
        <v/>
      </c>
      <c r="O40" s="10"/>
      <c r="P40" s="70"/>
      <c r="Q40" s="12"/>
      <c r="R40" s="17"/>
      <c r="S40" s="10"/>
      <c r="T40" s="17"/>
      <c r="U40" s="70"/>
      <c r="V40" s="11"/>
      <c r="W40" s="94"/>
      <c r="X40" s="12"/>
      <c r="Y40" s="11"/>
    </row>
    <row r="41" spans="2:25" x14ac:dyDescent="0.25">
      <c r="B41" s="12"/>
      <c r="C41" s="129"/>
      <c r="D41" s="94"/>
      <c r="E41" s="58" t="str">
        <f>IF(Aug[[#This Row],[Name]]="","",Aug[[#This Row],[August Weight (kg)]]/(VLOOKUP(Aug[[#This Row],[Name]],Overview[],2,FALSE)/100)^2)</f>
        <v/>
      </c>
      <c r="F41" s="58" t="str">
        <f>IF(Aug[[#This Row],[Name]]="","",IF(VLOOKUP(Aug[[#This Row],[Name]],Overview[],15,FALSE)="","N/A",Aug[[#This Row],[August Weight (kg)]]-VLOOKUP(Aug[[#This Row],[Name]],Overview[],15,FALSE)))</f>
        <v/>
      </c>
      <c r="G41" s="175" t="str">
        <f>IF(Aug[[#This Row],[Name]]="","",IF(VLOOKUP(Aug[[#This Row],[Name]],Overview[],15,FALSE)="","N/A",(Aug[[#This Row],[August Weight (kg)]]-VLOOKUP(Aug[[#This Row],[Name]],Overview[],15,FALSE))/VLOOKUP(Aug[[#This Row],[Name]],Overview[],15,FALSE)))</f>
        <v/>
      </c>
      <c r="H41" s="61" t="str" cm="1">
        <f t="array" ref="H41">IF(Aug[[#This Row],[Name]]="","",IF(SUMPRODUCT((Overview[Name]=Aug[[#This Row],[Name]])*ISNUMBER(Overview[[February Weight (kg)]:[May 
Weight (kg)]]))=0,"N/A",MAX(IF((Overview[Name]=Aug[[#This Row],[Name]])*ISNUMBER(Overview[[February Weight (kg)]:[May 
Weight (kg)]]),Overview[[February Weight (kg)]:[May 
Weight (kg)]]))))</f>
        <v/>
      </c>
      <c r="I41" s="57" t="str">
        <f>IF(Aug[[#This Row],[Name]]="","",IF(NOT(ISNUMBER(Aug[[#This Row],[Highest Weight in the Past 3 - 6 Months]])),"N/A",IF(Aug[[#This Row],[August Weight (kg)]]=Aug[[#This Row],[Highest Weight in the Past 3 - 6 Months]],0,Aug[[#This Row],[August Weight (kg)]]-Aug[[#This Row],[Highest Weight in the Past 3 - 6 Months]])))</f>
        <v/>
      </c>
      <c r="J41"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41" s="130"/>
      <c r="L41" s="131"/>
      <c r="M41" s="76"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41" s="64" t="str">
        <f>IF(Aug[[#This Row],[Name]]="","",IF(Aug[[#This Row],[August MUST Score ]]=0,"Low",IF(Aug[[#This Row],[August MUST Score ]]=1,"Medium","High")))</f>
        <v/>
      </c>
      <c r="O41" s="10"/>
      <c r="P41" s="70"/>
      <c r="Q41" s="12"/>
      <c r="R41" s="17"/>
      <c r="S41" s="10"/>
      <c r="T41" s="17"/>
      <c r="U41" s="70"/>
      <c r="V41" s="11"/>
      <c r="W41" s="94"/>
      <c r="X41" s="12"/>
      <c r="Y41" s="11"/>
    </row>
    <row r="42" spans="2:25" ht="15.75" thickBot="1" x14ac:dyDescent="0.3">
      <c r="B42" s="18"/>
      <c r="C42" s="132"/>
      <c r="D42" s="95"/>
      <c r="E42" s="60" t="str">
        <f>IF(Aug[[#This Row],[Name]]="","",Aug[[#This Row],[August Weight (kg)]]/(VLOOKUP(Aug[[#This Row],[Name]],Overview[],2,FALSE)/100)^2)</f>
        <v/>
      </c>
      <c r="F42" s="60" t="str">
        <f>IF(Aug[[#This Row],[Name]]="","",IF(VLOOKUP(Aug[[#This Row],[Name]],Overview[],15,FALSE)="","N/A",Aug[[#This Row],[August Weight (kg)]]-VLOOKUP(Aug[[#This Row],[Name]],Overview[],15,FALSE)))</f>
        <v/>
      </c>
      <c r="G42" s="176" t="str">
        <f>IF(Aug[[#This Row],[Name]]="","",IF(VLOOKUP(Aug[[#This Row],[Name]],Overview[],15,FALSE)="","N/A",(Aug[[#This Row],[August Weight (kg)]]-VLOOKUP(Aug[[#This Row],[Name]],Overview[],15,FALSE))/VLOOKUP(Aug[[#This Row],[Name]],Overview[],15,FALSE)))</f>
        <v/>
      </c>
      <c r="H42" s="61" t="str" cm="1">
        <f t="array" ref="H42">IF(Aug[[#This Row],[Name]]="","",IF(SUMPRODUCT((Overview[Name]=Aug[[#This Row],[Name]])*ISNUMBER(Overview[[February Weight (kg)]:[May 
Weight (kg)]]))=0,"N/A",MAX(IF((Overview[Name]=Aug[[#This Row],[Name]])*ISNUMBER(Overview[[February Weight (kg)]:[May 
Weight (kg)]]),Overview[[February Weight (kg)]:[May 
Weight (kg)]]))))</f>
        <v/>
      </c>
      <c r="I42" s="57" t="str">
        <f>IF(Aug[[#This Row],[Name]]="","",IF(NOT(ISNUMBER(Aug[[#This Row],[Highest Weight in the Past 3 - 6 Months]])),"N/A",IF(Aug[[#This Row],[August Weight (kg)]]=Aug[[#This Row],[Highest Weight in the Past 3 - 6 Months]],0,Aug[[#This Row],[August Weight (kg)]]-Aug[[#This Row],[Highest Weight in the Past 3 - 6 Months]])))</f>
        <v/>
      </c>
      <c r="J42" s="179" t="str">
        <f>IF(Aug[[#This Row],[Name]]="","",IF(OR(Aug[[#This Row],[Highest Weight in the Past 3 - 6 Months]]="",Aug[[#This Row],[Highest Weight in the Past 3 - 6 Months]]="N/A"),"N/A",IFERROR(Aug[[#This Row],[Weight (kg) Difference from Highest Weight in Past 3 - 6 Months (Current Month - Highest Month)]]/Aug[[#This Row],[Highest Weight in the Past 3 - 6 Months]],"N/A")))</f>
        <v/>
      </c>
      <c r="K42" s="133"/>
      <c r="L42" s="134"/>
      <c r="M42" s="77" t="str">
        <f>IF(Aug[[#This Row],[Name]]="","",IFERROR(IF(Aug[[#This Row],[August BMI (kg/m2)]]&gt;20,0,IF(Aug[[#This Row],[August BMI (kg/m2)]]&gt;=18.5,1,2))+IF(Aug[[#This Row],[If Weight has been lost, is this Planned? (Yes/No)]]="Yes",0,IF(Aug[[#This Row],[Weight (kg) Difference from Highest Weight in 3 - 6 months as %]]&gt;-0.05,0,IF(Aug[[#This Row],[Weight (kg) Difference from Highest Weight in 3 - 6 months as %]]&gt;=-0.1,1,2))),""))</f>
        <v/>
      </c>
      <c r="N42" s="64" t="str">
        <f>IF(Aug[[#This Row],[Name]]="","",IF(Aug[[#This Row],[August MUST Score ]]=0,"Low",IF(Aug[[#This Row],[August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41" priority="6" operator="greaterThanOrEqual">
      <formula>2</formula>
    </cfRule>
    <cfRule type="cellIs" dxfId="40" priority="7" operator="equal">
      <formula>1</formula>
    </cfRule>
    <cfRule type="cellIs" dxfId="39" priority="8" operator="equal">
      <formula>0</formula>
    </cfRule>
  </conditionalFormatting>
  <conditionalFormatting sqref="N8:N42">
    <cfRule type="containsText" dxfId="38" priority="2" operator="containsText" text="High">
      <formula>NOT(ISERROR(SEARCH("High",N8)))</formula>
    </cfRule>
    <cfRule type="containsText" dxfId="37" priority="3" operator="containsText" text="Medium">
      <formula>NOT(ISERROR(SEARCH("Medium",N8)))</formula>
    </cfRule>
    <cfRule type="containsText" dxfId="36" priority="4" operator="containsText" text="Low">
      <formula>NOT(ISERROR(SEARCH("Low",N8)))</formula>
    </cfRule>
  </conditionalFormatting>
  <conditionalFormatting sqref="W8:X42">
    <cfRule type="containsText" dxfId="35"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C87BE528-AAB1-4E41-94AB-06E13F9B52DE}">
          <x14:formula1>
            <xm:f>Validation!$A$2:$A$3</xm:f>
          </x14:formula1>
          <xm:sqref>O8:O42 K8:L42 W8:W42 Q8:Q42 S8:S42</xm:sqref>
        </x14:dataValidation>
        <x14:dataValidation type="list" allowBlank="1" showInputMessage="1" showErrorMessage="1" xr:uid="{DFA5A0A2-5FB4-4B74-8E4E-8634B5FCC6E2}">
          <x14:formula1>
            <xm:f>'Weight Overview'!$B$4:$B$38</xm:f>
          </x14:formula1>
          <xm:sqref>B8:B42</xm:sqref>
        </x14:dataValidation>
        <x14:dataValidation type="list" allowBlank="1" showInputMessage="1" showErrorMessage="1" xr:uid="{9139DB32-C0FD-4A2F-8A19-863F4B937B60}">
          <x14:formula1>
            <xm:f>Validation!$A$27:$A$31</xm:f>
          </x14:formula1>
          <xm:sqref>U8:U42</xm:sqref>
        </x14:dataValidation>
        <x14:dataValidation type="list" allowBlank="1" showInputMessage="1" showErrorMessage="1" xr:uid="{FA68228A-444D-4B80-AFBE-41478C98605C}">
          <x14:formula1>
            <xm:f>Validation!$A$33:$A$37</xm:f>
          </x14:formula1>
          <xm:sqref>V8:V42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95C3-E2F8-45E4-AA50-83EE71DB8182}">
  <sheetPr>
    <tabColor rgb="FF7030A0"/>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09" t="s">
        <v>1</v>
      </c>
      <c r="C4" s="90" t="s">
        <v>14</v>
      </c>
      <c r="D4" s="110" t="s">
        <v>2</v>
      </c>
      <c r="E4" s="88" t="s">
        <v>3</v>
      </c>
      <c r="Y4" s="62"/>
      <c r="Z4" s="2"/>
    </row>
    <row r="5" spans="2:26" ht="15.75" thickBot="1" x14ac:dyDescent="0.3">
      <c r="B5" s="74"/>
      <c r="C5" s="73"/>
      <c r="D5" s="73"/>
      <c r="E5" s="65"/>
      <c r="P5" s="81"/>
      <c r="W5" s="74"/>
      <c r="X5" s="62"/>
      <c r="Y5" s="62"/>
      <c r="Z5" s="2"/>
    </row>
    <row r="6" spans="2:26" ht="15.75" thickBot="1" x14ac:dyDescent="0.3">
      <c r="C6" s="301" t="s">
        <v>85</v>
      </c>
      <c r="D6" s="302"/>
      <c r="E6" s="302"/>
      <c r="F6" s="302"/>
      <c r="G6" s="303"/>
      <c r="H6" s="304" t="s">
        <v>68</v>
      </c>
      <c r="I6" s="305"/>
      <c r="J6" s="305"/>
      <c r="K6" s="306"/>
      <c r="L6" s="301" t="s">
        <v>69</v>
      </c>
      <c r="M6" s="302"/>
      <c r="N6" s="303"/>
      <c r="O6" s="304" t="s">
        <v>83</v>
      </c>
      <c r="P6" s="305"/>
      <c r="Q6" s="305"/>
      <c r="R6" s="305"/>
      <c r="S6" s="301" t="s">
        <v>84</v>
      </c>
      <c r="T6" s="302"/>
      <c r="U6" s="302"/>
      <c r="V6" s="303"/>
      <c r="Y6" s="63"/>
    </row>
    <row r="7" spans="2:26" ht="105.75" thickBot="1" x14ac:dyDescent="0.3">
      <c r="B7" s="111" t="s">
        <v>0</v>
      </c>
      <c r="C7" s="45" t="s">
        <v>101</v>
      </c>
      <c r="D7" s="48" t="s">
        <v>152</v>
      </c>
      <c r="E7" s="46" t="s">
        <v>153</v>
      </c>
      <c r="F7" s="46" t="s">
        <v>156</v>
      </c>
      <c r="G7" s="47" t="s">
        <v>157</v>
      </c>
      <c r="H7" s="71" t="s">
        <v>72</v>
      </c>
      <c r="I7" s="72" t="s">
        <v>70</v>
      </c>
      <c r="J7" s="67" t="s">
        <v>71</v>
      </c>
      <c r="K7" s="80" t="s">
        <v>64</v>
      </c>
      <c r="L7" s="111" t="s">
        <v>67</v>
      </c>
      <c r="M7" s="46" t="s">
        <v>154</v>
      </c>
      <c r="N7" s="47" t="s">
        <v>155</v>
      </c>
      <c r="O7" s="71" t="s">
        <v>65</v>
      </c>
      <c r="P7" s="68" t="s">
        <v>66</v>
      </c>
      <c r="Q7" s="92" t="s">
        <v>88</v>
      </c>
      <c r="R7" s="67" t="s">
        <v>86</v>
      </c>
      <c r="S7" s="45" t="s">
        <v>89</v>
      </c>
      <c r="T7" s="48" t="s">
        <v>87</v>
      </c>
      <c r="U7" s="48" t="s">
        <v>90</v>
      </c>
      <c r="V7" s="112" t="s">
        <v>91</v>
      </c>
      <c r="W7" s="68" t="s">
        <v>63</v>
      </c>
      <c r="X7" s="67" t="s">
        <v>59</v>
      </c>
      <c r="Y7" s="80" t="s">
        <v>18</v>
      </c>
    </row>
    <row r="8" spans="2:26" x14ac:dyDescent="0.25">
      <c r="B8" s="20"/>
      <c r="C8" s="125"/>
      <c r="D8" s="126"/>
      <c r="E8" s="57" t="str">
        <f>IF(Sep[[#This Row],[Name]]="","",Sep[[#This Row],[September Weight (kg)]]/(VLOOKUP(Sep[[#This Row],[Name]],Overview[],2,FALSE)/100)^2)</f>
        <v/>
      </c>
      <c r="F8" s="57" t="str">
        <f>IF(Sep[[#This Row],[Name]]="","",IF(VLOOKUP(Sep[[#This Row],[Name]],Overview[],16,FALSE)="","N/A",Sep[[#This Row],[September Weight (kg)]]-VLOOKUP(Sep[[#This Row],[Name]],Overview[],16,FALSE)))</f>
        <v/>
      </c>
      <c r="G8" s="174" t="str">
        <f>IF(Sep[[#This Row],[Name]]="","",IF(VLOOKUP(Sep[[#This Row],[Name]],Overview[],16,FALSE)="","N/A",(Sep[[#This Row],[September Weight (kg)]]-VLOOKUP(Sep[[#This Row],[Name]],Overview[],16,FALSE))/VLOOKUP(Sep[[#This Row],[Name]],Overview[],16,FALSE)))</f>
        <v/>
      </c>
      <c r="H8" s="61" t="str" cm="1">
        <f t="array" ref="H8">IF(Sep[[#This Row],[Name]]="","",IF(SUMPRODUCT((Overview[Name]=Sep[[#This Row],[Name]])*ISNUMBER(Overview[[March 
Weight (kg)]:[June 
Weight (kg)]]))=0,"N/A",MAX(IF((Overview[Name]=Sep[[#This Row],[Name]])*ISNUMBER(Overview[[March 
Weight (kg)]:[June 
Weight (kg)]]),Overview[[March 
Weight (kg)]:[June 
Weight (kg)]]))))</f>
        <v/>
      </c>
      <c r="I8" s="57" t="str">
        <f>IF(Sep[[#This Row],[Name]]="","",IF(NOT(ISNUMBER(Sep[[#This Row],[Highest Weight in the Past 3 - 6 Months]])),"N/A",IF(Sep[[#This Row],[September Weight (kg)]]=Sep[[#This Row],[Highest Weight in the Past 3 - 6 Months]],0,Sep[[#This Row],[September Weight (kg)]]-Sep[[#This Row],[Highest Weight in the Past 3 - 6 Months]])))</f>
        <v/>
      </c>
      <c r="J8"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8" s="127"/>
      <c r="L8" s="128"/>
      <c r="M8" s="75"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8" s="64" t="str">
        <f>IF(Sep[[#This Row],[Name]]="","",IF(Sep[[#This Row],[September MUST Score ]]=0,"Low",IF(Sep[[#This Row],[September MUST Score ]]=1,"Medium","High")))</f>
        <v/>
      </c>
      <c r="O8" s="7"/>
      <c r="P8" s="69"/>
      <c r="Q8" s="20"/>
      <c r="R8" s="22"/>
      <c r="S8" s="44"/>
      <c r="T8" s="16"/>
      <c r="U8" s="69"/>
      <c r="V8" s="8"/>
      <c r="W8" s="93"/>
      <c r="X8" s="9"/>
      <c r="Y8" s="8"/>
    </row>
    <row r="9" spans="2:26" x14ac:dyDescent="0.25">
      <c r="B9" s="12"/>
      <c r="C9" s="129"/>
      <c r="D9" s="94"/>
      <c r="E9" s="58" t="str">
        <f>IF(Sep[[#This Row],[Name]]="","",Sep[[#This Row],[September Weight (kg)]]/(VLOOKUP(Sep[[#This Row],[Name]],Overview[],2,FALSE)/100)^2)</f>
        <v/>
      </c>
      <c r="F9" s="58" t="str">
        <f>IF(Sep[[#This Row],[Name]]="","",IF(VLOOKUP(Sep[[#This Row],[Name]],Overview[],16,FALSE)="","N/A",Sep[[#This Row],[September Weight (kg)]]-VLOOKUP(Sep[[#This Row],[Name]],Overview[],16,FALSE)))</f>
        <v/>
      </c>
      <c r="G9" s="175" t="str">
        <f>IF(Sep[[#This Row],[Name]]="","",IF(VLOOKUP(Sep[[#This Row],[Name]],Overview[],16,FALSE)="","N/A",(Sep[[#This Row],[September Weight (kg)]]-VLOOKUP(Sep[[#This Row],[Name]],Overview[],16,FALSE))/VLOOKUP(Sep[[#This Row],[Name]],Overview[],16,FALSE)))</f>
        <v/>
      </c>
      <c r="H9" s="61" t="str" cm="1">
        <f t="array" ref="H9">IF(Sep[[#This Row],[Name]]="","",IF(SUMPRODUCT((Overview[Name]=Sep[[#This Row],[Name]])*ISNUMBER(Overview[[March 
Weight (kg)]:[June 
Weight (kg)]]))=0,"N/A",MAX(IF((Overview[Name]=Sep[[#This Row],[Name]])*ISNUMBER(Overview[[March 
Weight (kg)]:[June 
Weight (kg)]]),Overview[[March 
Weight (kg)]:[June 
Weight (kg)]]))))</f>
        <v/>
      </c>
      <c r="I9" s="57" t="str">
        <f>IF(Sep[[#This Row],[Name]]="","",IF(NOT(ISNUMBER(Sep[[#This Row],[Highest Weight in the Past 3 - 6 Months]])),"N/A",IF(Sep[[#This Row],[September Weight (kg)]]=Sep[[#This Row],[Highest Weight in the Past 3 - 6 Months]],0,Sep[[#This Row],[September Weight (kg)]]-Sep[[#This Row],[Highest Weight in the Past 3 - 6 Months]])))</f>
        <v/>
      </c>
      <c r="J9"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9" s="130"/>
      <c r="L9" s="131"/>
      <c r="M9"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9" s="64" t="str">
        <f>IF(Sep[[#This Row],[Name]]="","",IF(Sep[[#This Row],[September MUST Score ]]=0,"Low",IF(Sep[[#This Row],[September MUST Score ]]=1,"Medium","High")))</f>
        <v/>
      </c>
      <c r="O9" s="44"/>
      <c r="P9" s="66"/>
      <c r="Q9" s="20"/>
      <c r="R9" s="17"/>
      <c r="S9" s="44"/>
      <c r="T9" s="22"/>
      <c r="U9" s="66"/>
      <c r="V9" s="21"/>
      <c r="W9" s="94"/>
      <c r="X9" s="12"/>
      <c r="Y9" s="11"/>
    </row>
    <row r="10" spans="2:26" x14ac:dyDescent="0.25">
      <c r="B10" s="12"/>
      <c r="C10" s="129"/>
      <c r="D10" s="94"/>
      <c r="E10" s="58" t="str">
        <f>IF(Sep[[#This Row],[Name]]="","",Sep[[#This Row],[September Weight (kg)]]/(VLOOKUP(Sep[[#This Row],[Name]],Overview[],2,FALSE)/100)^2)</f>
        <v/>
      </c>
      <c r="F10" s="58" t="str">
        <f>IF(Sep[[#This Row],[Name]]="","",IF(VLOOKUP(Sep[[#This Row],[Name]],Overview[],16,FALSE)="","N/A",Sep[[#This Row],[September Weight (kg)]]-VLOOKUP(Sep[[#This Row],[Name]],Overview[],16,FALSE)))</f>
        <v/>
      </c>
      <c r="G10" s="175" t="str">
        <f>IF(Sep[[#This Row],[Name]]="","",IF(VLOOKUP(Sep[[#This Row],[Name]],Overview[],16,FALSE)="","N/A",(Sep[[#This Row],[September Weight (kg)]]-VLOOKUP(Sep[[#This Row],[Name]],Overview[],16,FALSE))/VLOOKUP(Sep[[#This Row],[Name]],Overview[],16,FALSE)))</f>
        <v/>
      </c>
      <c r="H10" s="61" t="str" cm="1">
        <f t="array" ref="H10">IF(Sep[[#This Row],[Name]]="","",IF(SUMPRODUCT((Overview[Name]=Sep[[#This Row],[Name]])*ISNUMBER(Overview[[March 
Weight (kg)]:[June 
Weight (kg)]]))=0,"N/A",MAX(IF((Overview[Name]=Sep[[#This Row],[Name]])*ISNUMBER(Overview[[March 
Weight (kg)]:[June 
Weight (kg)]]),Overview[[March 
Weight (kg)]:[June 
Weight (kg)]]))))</f>
        <v/>
      </c>
      <c r="I10" s="57" t="str">
        <f>IF(Sep[[#This Row],[Name]]="","",IF(NOT(ISNUMBER(Sep[[#This Row],[Highest Weight in the Past 3 - 6 Months]])),"N/A",IF(Sep[[#This Row],[September Weight (kg)]]=Sep[[#This Row],[Highest Weight in the Past 3 - 6 Months]],0,Sep[[#This Row],[September Weight (kg)]]-Sep[[#This Row],[Highest Weight in the Past 3 - 6 Months]])))</f>
        <v/>
      </c>
      <c r="J10"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0" s="130"/>
      <c r="L10" s="131"/>
      <c r="M10"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0" s="64" t="str">
        <f>IF(Sep[[#This Row],[Name]]="","",IF(Sep[[#This Row],[September MUST Score ]]=0,"Low",IF(Sep[[#This Row],[September MUST Score ]]=1,"Medium","High")))</f>
        <v/>
      </c>
      <c r="O10" s="10"/>
      <c r="P10" s="70"/>
      <c r="Q10" s="12"/>
      <c r="R10" s="17"/>
      <c r="S10" s="10"/>
      <c r="T10" s="17"/>
      <c r="U10" s="70"/>
      <c r="V10" s="11"/>
      <c r="W10" s="94"/>
      <c r="X10" s="12"/>
      <c r="Y10" s="11"/>
    </row>
    <row r="11" spans="2:26" x14ac:dyDescent="0.25">
      <c r="B11" s="12"/>
      <c r="C11" s="129"/>
      <c r="D11" s="94"/>
      <c r="E11" s="58" t="str">
        <f>IF(Sep[[#This Row],[Name]]="","",Sep[[#This Row],[September Weight (kg)]]/(VLOOKUP(Sep[[#This Row],[Name]],Overview[],2,FALSE)/100)^2)</f>
        <v/>
      </c>
      <c r="F11" s="58" t="str">
        <f>IF(Sep[[#This Row],[Name]]="","",IF(VLOOKUP(Sep[[#This Row],[Name]],Overview[],16,FALSE)="","N/A",Sep[[#This Row],[September Weight (kg)]]-VLOOKUP(Sep[[#This Row],[Name]],Overview[],16,FALSE)))</f>
        <v/>
      </c>
      <c r="G11" s="175" t="str">
        <f>IF(Sep[[#This Row],[Name]]="","",IF(VLOOKUP(Sep[[#This Row],[Name]],Overview[],16,FALSE)="","N/A",(Sep[[#This Row],[September Weight (kg)]]-VLOOKUP(Sep[[#This Row],[Name]],Overview[],16,FALSE))/VLOOKUP(Sep[[#This Row],[Name]],Overview[],16,FALSE)))</f>
        <v/>
      </c>
      <c r="H11" s="61" t="str" cm="1">
        <f t="array" ref="H11">IF(Sep[[#This Row],[Name]]="","",IF(SUMPRODUCT((Overview[Name]=Sep[[#This Row],[Name]])*ISNUMBER(Overview[[March 
Weight (kg)]:[June 
Weight (kg)]]))=0,"N/A",MAX(IF((Overview[Name]=Sep[[#This Row],[Name]])*ISNUMBER(Overview[[March 
Weight (kg)]:[June 
Weight (kg)]]),Overview[[March 
Weight (kg)]:[June 
Weight (kg)]]))))</f>
        <v/>
      </c>
      <c r="I11" s="57" t="str">
        <f>IF(Sep[[#This Row],[Name]]="","",IF(NOT(ISNUMBER(Sep[[#This Row],[Highest Weight in the Past 3 - 6 Months]])),"N/A",IF(Sep[[#This Row],[September Weight (kg)]]=Sep[[#This Row],[Highest Weight in the Past 3 - 6 Months]],0,Sep[[#This Row],[September Weight (kg)]]-Sep[[#This Row],[Highest Weight in the Past 3 - 6 Months]])))</f>
        <v/>
      </c>
      <c r="J11"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1" s="130"/>
      <c r="L11" s="131"/>
      <c r="M11"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1" s="64" t="str">
        <f>IF(Sep[[#This Row],[Name]]="","",IF(Sep[[#This Row],[September MUST Score ]]=0,"Low",IF(Sep[[#This Row],[September MUST Score ]]=1,"Medium","High")))</f>
        <v/>
      </c>
      <c r="O11" s="10"/>
      <c r="P11" s="70"/>
      <c r="Q11" s="12"/>
      <c r="R11" s="17"/>
      <c r="S11" s="10"/>
      <c r="T11" s="17"/>
      <c r="U11" s="70"/>
      <c r="V11" s="11"/>
      <c r="W11" s="94"/>
      <c r="X11" s="12"/>
      <c r="Y11" s="11"/>
    </row>
    <row r="12" spans="2:26" x14ac:dyDescent="0.25">
      <c r="B12" s="12"/>
      <c r="C12" s="129"/>
      <c r="D12" s="94"/>
      <c r="E12" s="58" t="str">
        <f>IF(Sep[[#This Row],[Name]]="","",Sep[[#This Row],[September Weight (kg)]]/(VLOOKUP(Sep[[#This Row],[Name]],Overview[],2,FALSE)/100)^2)</f>
        <v/>
      </c>
      <c r="F12" s="58" t="str">
        <f>IF(Sep[[#This Row],[Name]]="","",IF(VLOOKUP(Sep[[#This Row],[Name]],Overview[],16,FALSE)="","N/A",Sep[[#This Row],[September Weight (kg)]]-VLOOKUP(Sep[[#This Row],[Name]],Overview[],16,FALSE)))</f>
        <v/>
      </c>
      <c r="G12" s="175" t="str">
        <f>IF(Sep[[#This Row],[Name]]="","",IF(VLOOKUP(Sep[[#This Row],[Name]],Overview[],16,FALSE)="","N/A",(Sep[[#This Row],[September Weight (kg)]]-VLOOKUP(Sep[[#This Row],[Name]],Overview[],16,FALSE))/VLOOKUP(Sep[[#This Row],[Name]],Overview[],16,FALSE)))</f>
        <v/>
      </c>
      <c r="H12" s="61" t="str" cm="1">
        <f t="array" ref="H12">IF(Sep[[#This Row],[Name]]="","",IF(SUMPRODUCT((Overview[Name]=Sep[[#This Row],[Name]])*ISNUMBER(Overview[[March 
Weight (kg)]:[June 
Weight (kg)]]))=0,"N/A",MAX(IF((Overview[Name]=Sep[[#This Row],[Name]])*ISNUMBER(Overview[[March 
Weight (kg)]:[June 
Weight (kg)]]),Overview[[March 
Weight (kg)]:[June 
Weight (kg)]]))))</f>
        <v/>
      </c>
      <c r="I12" s="57" t="str">
        <f>IF(Sep[[#This Row],[Name]]="","",IF(NOT(ISNUMBER(Sep[[#This Row],[Highest Weight in the Past 3 - 6 Months]])),"N/A",IF(Sep[[#This Row],[September Weight (kg)]]=Sep[[#This Row],[Highest Weight in the Past 3 - 6 Months]],0,Sep[[#This Row],[September Weight (kg)]]-Sep[[#This Row],[Highest Weight in the Past 3 - 6 Months]])))</f>
        <v/>
      </c>
      <c r="J12"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2" s="130"/>
      <c r="L12" s="131"/>
      <c r="M12"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2" s="64" t="str">
        <f>IF(Sep[[#This Row],[Name]]="","",IF(Sep[[#This Row],[September MUST Score ]]=0,"Low",IF(Sep[[#This Row],[September MUST Score ]]=1,"Medium","High")))</f>
        <v/>
      </c>
      <c r="O12" s="10"/>
      <c r="P12" s="70"/>
      <c r="Q12" s="12"/>
      <c r="R12" s="17"/>
      <c r="S12" s="10"/>
      <c r="T12" s="17"/>
      <c r="U12" s="70"/>
      <c r="V12" s="11"/>
      <c r="W12" s="94"/>
      <c r="X12" s="12"/>
      <c r="Y12" s="11"/>
    </row>
    <row r="13" spans="2:26" x14ac:dyDescent="0.25">
      <c r="B13" s="12"/>
      <c r="C13" s="129"/>
      <c r="D13" s="94"/>
      <c r="E13" s="58" t="str">
        <f>IF(Sep[[#This Row],[Name]]="","",Sep[[#This Row],[September Weight (kg)]]/(VLOOKUP(Sep[[#This Row],[Name]],Overview[],2,FALSE)/100)^2)</f>
        <v/>
      </c>
      <c r="F13" s="58" t="str">
        <f>IF(Sep[[#This Row],[Name]]="","",IF(VLOOKUP(Sep[[#This Row],[Name]],Overview[],16,FALSE)="","N/A",Sep[[#This Row],[September Weight (kg)]]-VLOOKUP(Sep[[#This Row],[Name]],Overview[],16,FALSE)))</f>
        <v/>
      </c>
      <c r="G13" s="175" t="str">
        <f>IF(Sep[[#This Row],[Name]]="","",IF(VLOOKUP(Sep[[#This Row],[Name]],Overview[],16,FALSE)="","N/A",(Sep[[#This Row],[September Weight (kg)]]-VLOOKUP(Sep[[#This Row],[Name]],Overview[],16,FALSE))/VLOOKUP(Sep[[#This Row],[Name]],Overview[],16,FALSE)))</f>
        <v/>
      </c>
      <c r="H13" s="61" t="str" cm="1">
        <f t="array" ref="H13">IF(Sep[[#This Row],[Name]]="","",IF(SUMPRODUCT((Overview[Name]=Sep[[#This Row],[Name]])*ISNUMBER(Overview[[March 
Weight (kg)]:[June 
Weight (kg)]]))=0,"N/A",MAX(IF((Overview[Name]=Sep[[#This Row],[Name]])*ISNUMBER(Overview[[March 
Weight (kg)]:[June 
Weight (kg)]]),Overview[[March 
Weight (kg)]:[June 
Weight (kg)]]))))</f>
        <v/>
      </c>
      <c r="I13" s="57" t="str">
        <f>IF(Sep[[#This Row],[Name]]="","",IF(NOT(ISNUMBER(Sep[[#This Row],[Highest Weight in the Past 3 - 6 Months]])),"N/A",IF(Sep[[#This Row],[September Weight (kg)]]=Sep[[#This Row],[Highest Weight in the Past 3 - 6 Months]],0,Sep[[#This Row],[September Weight (kg)]]-Sep[[#This Row],[Highest Weight in the Past 3 - 6 Months]])))</f>
        <v/>
      </c>
      <c r="J13"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3" s="130"/>
      <c r="L13" s="131"/>
      <c r="M13"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3" s="64" t="str">
        <f>IF(Sep[[#This Row],[Name]]="","",IF(Sep[[#This Row],[September MUST Score ]]=0,"Low",IF(Sep[[#This Row],[September MUST Score ]]=1,"Medium","High")))</f>
        <v/>
      </c>
      <c r="O13" s="10"/>
      <c r="P13" s="70"/>
      <c r="Q13" s="12"/>
      <c r="R13" s="17"/>
      <c r="S13" s="10"/>
      <c r="T13" s="17"/>
      <c r="U13" s="70"/>
      <c r="V13" s="11"/>
      <c r="W13" s="94"/>
      <c r="X13" s="12"/>
      <c r="Y13" s="11"/>
    </row>
    <row r="14" spans="2:26" x14ac:dyDescent="0.25">
      <c r="B14" s="12"/>
      <c r="C14" s="129"/>
      <c r="D14" s="94"/>
      <c r="E14" s="58" t="str">
        <f>IF(Sep[[#This Row],[Name]]="","",Sep[[#This Row],[September Weight (kg)]]/(VLOOKUP(Sep[[#This Row],[Name]],Overview[],2,FALSE)/100)^2)</f>
        <v/>
      </c>
      <c r="F14" s="58" t="str">
        <f>IF(Sep[[#This Row],[Name]]="","",IF(VLOOKUP(Sep[[#This Row],[Name]],Overview[],16,FALSE)="","N/A",Sep[[#This Row],[September Weight (kg)]]-VLOOKUP(Sep[[#This Row],[Name]],Overview[],16,FALSE)))</f>
        <v/>
      </c>
      <c r="G14" s="175" t="str">
        <f>IF(Sep[[#This Row],[Name]]="","",IF(VLOOKUP(Sep[[#This Row],[Name]],Overview[],16,FALSE)="","N/A",(Sep[[#This Row],[September Weight (kg)]]-VLOOKUP(Sep[[#This Row],[Name]],Overview[],16,FALSE))/VLOOKUP(Sep[[#This Row],[Name]],Overview[],16,FALSE)))</f>
        <v/>
      </c>
      <c r="H14" s="61" t="str" cm="1">
        <f t="array" ref="H14">IF(Sep[[#This Row],[Name]]="","",IF(SUMPRODUCT((Overview[Name]=Sep[[#This Row],[Name]])*ISNUMBER(Overview[[March 
Weight (kg)]:[June 
Weight (kg)]]))=0,"N/A",MAX(IF((Overview[Name]=Sep[[#This Row],[Name]])*ISNUMBER(Overview[[March 
Weight (kg)]:[June 
Weight (kg)]]),Overview[[March 
Weight (kg)]:[June 
Weight (kg)]]))))</f>
        <v/>
      </c>
      <c r="I14" s="57" t="str">
        <f>IF(Sep[[#This Row],[Name]]="","",IF(NOT(ISNUMBER(Sep[[#This Row],[Highest Weight in the Past 3 - 6 Months]])),"N/A",IF(Sep[[#This Row],[September Weight (kg)]]=Sep[[#This Row],[Highest Weight in the Past 3 - 6 Months]],0,Sep[[#This Row],[September Weight (kg)]]-Sep[[#This Row],[Highest Weight in the Past 3 - 6 Months]])))</f>
        <v/>
      </c>
      <c r="J14"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4" s="130"/>
      <c r="L14" s="131"/>
      <c r="M14"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4" s="64" t="str">
        <f>IF(Sep[[#This Row],[Name]]="","",IF(Sep[[#This Row],[September MUST Score ]]=0,"Low",IF(Sep[[#This Row],[September MUST Score ]]=1,"Medium","High")))</f>
        <v/>
      </c>
      <c r="O14" s="10"/>
      <c r="P14" s="70"/>
      <c r="Q14" s="12"/>
      <c r="R14" s="17"/>
      <c r="S14" s="10"/>
      <c r="T14" s="17"/>
      <c r="U14" s="70"/>
      <c r="V14" s="11"/>
      <c r="W14" s="94"/>
      <c r="X14" s="12"/>
      <c r="Y14" s="11"/>
    </row>
    <row r="15" spans="2:26" x14ac:dyDescent="0.25">
      <c r="B15" s="12"/>
      <c r="C15" s="129"/>
      <c r="D15" s="94"/>
      <c r="E15" s="58" t="str">
        <f>IF(Sep[[#This Row],[Name]]="","",Sep[[#This Row],[September Weight (kg)]]/(VLOOKUP(Sep[[#This Row],[Name]],Overview[],2,FALSE)/100)^2)</f>
        <v/>
      </c>
      <c r="F15" s="58" t="str">
        <f>IF(Sep[[#This Row],[Name]]="","",IF(VLOOKUP(Sep[[#This Row],[Name]],Overview[],16,FALSE)="","N/A",Sep[[#This Row],[September Weight (kg)]]-VLOOKUP(Sep[[#This Row],[Name]],Overview[],16,FALSE)))</f>
        <v/>
      </c>
      <c r="G15" s="175" t="str">
        <f>IF(Sep[[#This Row],[Name]]="","",IF(VLOOKUP(Sep[[#This Row],[Name]],Overview[],16,FALSE)="","N/A",(Sep[[#This Row],[September Weight (kg)]]-VLOOKUP(Sep[[#This Row],[Name]],Overview[],16,FALSE))/VLOOKUP(Sep[[#This Row],[Name]],Overview[],16,FALSE)))</f>
        <v/>
      </c>
      <c r="H15" s="61" t="str" cm="1">
        <f t="array" ref="H15">IF(Sep[[#This Row],[Name]]="","",IF(SUMPRODUCT((Overview[Name]=Sep[[#This Row],[Name]])*ISNUMBER(Overview[[March 
Weight (kg)]:[June 
Weight (kg)]]))=0,"N/A",MAX(IF((Overview[Name]=Sep[[#This Row],[Name]])*ISNUMBER(Overview[[March 
Weight (kg)]:[June 
Weight (kg)]]),Overview[[March 
Weight (kg)]:[June 
Weight (kg)]]))))</f>
        <v/>
      </c>
      <c r="I15" s="57" t="str">
        <f>IF(Sep[[#This Row],[Name]]="","",IF(NOT(ISNUMBER(Sep[[#This Row],[Highest Weight in the Past 3 - 6 Months]])),"N/A",IF(Sep[[#This Row],[September Weight (kg)]]=Sep[[#This Row],[Highest Weight in the Past 3 - 6 Months]],0,Sep[[#This Row],[September Weight (kg)]]-Sep[[#This Row],[Highest Weight in the Past 3 - 6 Months]])))</f>
        <v/>
      </c>
      <c r="J15"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5" s="130"/>
      <c r="L15" s="131"/>
      <c r="M15"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5" s="64" t="str">
        <f>IF(Sep[[#This Row],[Name]]="","",IF(Sep[[#This Row],[September MUST Score ]]=0,"Low",IF(Sep[[#This Row],[September MUST Score ]]=1,"Medium","High")))</f>
        <v/>
      </c>
      <c r="O15" s="10"/>
      <c r="P15" s="70"/>
      <c r="Q15" s="12"/>
      <c r="R15" s="17"/>
      <c r="S15" s="10"/>
      <c r="T15" s="17"/>
      <c r="U15" s="70"/>
      <c r="V15" s="11"/>
      <c r="W15" s="94"/>
      <c r="X15" s="12"/>
      <c r="Y15" s="11"/>
    </row>
    <row r="16" spans="2:26" x14ac:dyDescent="0.25">
      <c r="B16" s="12"/>
      <c r="C16" s="129"/>
      <c r="D16" s="94"/>
      <c r="E16" s="58" t="str">
        <f>IF(Sep[[#This Row],[Name]]="","",Sep[[#This Row],[September Weight (kg)]]/(VLOOKUP(Sep[[#This Row],[Name]],Overview[],2,FALSE)/100)^2)</f>
        <v/>
      </c>
      <c r="F16" s="58" t="str">
        <f>IF(Sep[[#This Row],[Name]]="","",IF(VLOOKUP(Sep[[#This Row],[Name]],Overview[],16,FALSE)="","N/A",Sep[[#This Row],[September Weight (kg)]]-VLOOKUP(Sep[[#This Row],[Name]],Overview[],16,FALSE)))</f>
        <v/>
      </c>
      <c r="G16" s="175" t="str">
        <f>IF(Sep[[#This Row],[Name]]="","",IF(VLOOKUP(Sep[[#This Row],[Name]],Overview[],16,FALSE)="","N/A",(Sep[[#This Row],[September Weight (kg)]]-VLOOKUP(Sep[[#This Row],[Name]],Overview[],16,FALSE))/VLOOKUP(Sep[[#This Row],[Name]],Overview[],16,FALSE)))</f>
        <v/>
      </c>
      <c r="H16" s="61" t="str" cm="1">
        <f t="array" ref="H16">IF(Sep[[#This Row],[Name]]="","",IF(SUMPRODUCT((Overview[Name]=Sep[[#This Row],[Name]])*ISNUMBER(Overview[[March 
Weight (kg)]:[June 
Weight (kg)]]))=0,"N/A",MAX(IF((Overview[Name]=Sep[[#This Row],[Name]])*ISNUMBER(Overview[[March 
Weight (kg)]:[June 
Weight (kg)]]),Overview[[March 
Weight (kg)]:[June 
Weight (kg)]]))))</f>
        <v/>
      </c>
      <c r="I16" s="57" t="str">
        <f>IF(Sep[[#This Row],[Name]]="","",IF(NOT(ISNUMBER(Sep[[#This Row],[Highest Weight in the Past 3 - 6 Months]])),"N/A",IF(Sep[[#This Row],[September Weight (kg)]]=Sep[[#This Row],[Highest Weight in the Past 3 - 6 Months]],0,Sep[[#This Row],[September Weight (kg)]]-Sep[[#This Row],[Highest Weight in the Past 3 - 6 Months]])))</f>
        <v/>
      </c>
      <c r="J16"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6" s="130"/>
      <c r="L16" s="131"/>
      <c r="M16"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6" s="64" t="str">
        <f>IF(Sep[[#This Row],[Name]]="","",IF(Sep[[#This Row],[September MUST Score ]]=0,"Low",IF(Sep[[#This Row],[September MUST Score ]]=1,"Medium","High")))</f>
        <v/>
      </c>
      <c r="O16" s="10"/>
      <c r="P16" s="70"/>
      <c r="Q16" s="12"/>
      <c r="R16" s="17"/>
      <c r="S16" s="10"/>
      <c r="T16" s="17"/>
      <c r="U16" s="70"/>
      <c r="V16" s="11"/>
      <c r="W16" s="94"/>
      <c r="X16" s="12"/>
      <c r="Y16" s="11"/>
    </row>
    <row r="17" spans="2:25" x14ac:dyDescent="0.25">
      <c r="B17" s="12"/>
      <c r="C17" s="129"/>
      <c r="D17" s="94"/>
      <c r="E17" s="58" t="str">
        <f>IF(Sep[[#This Row],[Name]]="","",Sep[[#This Row],[September Weight (kg)]]/(VLOOKUP(Sep[[#This Row],[Name]],Overview[],2,FALSE)/100)^2)</f>
        <v/>
      </c>
      <c r="F17" s="58" t="str">
        <f>IF(Sep[[#This Row],[Name]]="","",IF(VLOOKUP(Sep[[#This Row],[Name]],Overview[],16,FALSE)="","N/A",Sep[[#This Row],[September Weight (kg)]]-VLOOKUP(Sep[[#This Row],[Name]],Overview[],16,FALSE)))</f>
        <v/>
      </c>
      <c r="G17" s="175" t="str">
        <f>IF(Sep[[#This Row],[Name]]="","",IF(VLOOKUP(Sep[[#This Row],[Name]],Overview[],16,FALSE)="","N/A",(Sep[[#This Row],[September Weight (kg)]]-VLOOKUP(Sep[[#This Row],[Name]],Overview[],16,FALSE))/VLOOKUP(Sep[[#This Row],[Name]],Overview[],16,FALSE)))</f>
        <v/>
      </c>
      <c r="H17" s="61" t="str" cm="1">
        <f t="array" ref="H17">IF(Sep[[#This Row],[Name]]="","",IF(SUMPRODUCT((Overview[Name]=Sep[[#This Row],[Name]])*ISNUMBER(Overview[[March 
Weight (kg)]:[June 
Weight (kg)]]))=0,"N/A",MAX(IF((Overview[Name]=Sep[[#This Row],[Name]])*ISNUMBER(Overview[[March 
Weight (kg)]:[June 
Weight (kg)]]),Overview[[March 
Weight (kg)]:[June 
Weight (kg)]]))))</f>
        <v/>
      </c>
      <c r="I17" s="57" t="str">
        <f>IF(Sep[[#This Row],[Name]]="","",IF(NOT(ISNUMBER(Sep[[#This Row],[Highest Weight in the Past 3 - 6 Months]])),"N/A",IF(Sep[[#This Row],[September Weight (kg)]]=Sep[[#This Row],[Highest Weight in the Past 3 - 6 Months]],0,Sep[[#This Row],[September Weight (kg)]]-Sep[[#This Row],[Highest Weight in the Past 3 - 6 Months]])))</f>
        <v/>
      </c>
      <c r="J17"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7" s="130"/>
      <c r="L17" s="131"/>
      <c r="M17"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7" s="64" t="str">
        <f>IF(Sep[[#This Row],[Name]]="","",IF(Sep[[#This Row],[September MUST Score ]]=0,"Low",IF(Sep[[#This Row],[September MUST Score ]]=1,"Medium","High")))</f>
        <v/>
      </c>
      <c r="O17" s="10"/>
      <c r="P17" s="70"/>
      <c r="Q17" s="12"/>
      <c r="R17" s="17"/>
      <c r="S17" s="10"/>
      <c r="T17" s="17"/>
      <c r="U17" s="70"/>
      <c r="V17" s="11"/>
      <c r="W17" s="94"/>
      <c r="X17" s="12"/>
      <c r="Y17" s="11"/>
    </row>
    <row r="18" spans="2:25" x14ac:dyDescent="0.25">
      <c r="B18" s="12"/>
      <c r="C18" s="129"/>
      <c r="D18" s="94"/>
      <c r="E18" s="58" t="str">
        <f>IF(Sep[[#This Row],[Name]]="","",Sep[[#This Row],[September Weight (kg)]]/(VLOOKUP(Sep[[#This Row],[Name]],Overview[],2,FALSE)/100)^2)</f>
        <v/>
      </c>
      <c r="F18" s="58" t="str">
        <f>IF(Sep[[#This Row],[Name]]="","",IF(VLOOKUP(Sep[[#This Row],[Name]],Overview[],16,FALSE)="","N/A",Sep[[#This Row],[September Weight (kg)]]-VLOOKUP(Sep[[#This Row],[Name]],Overview[],16,FALSE)))</f>
        <v/>
      </c>
      <c r="G18" s="175" t="str">
        <f>IF(Sep[[#This Row],[Name]]="","",IF(VLOOKUP(Sep[[#This Row],[Name]],Overview[],16,FALSE)="","N/A",(Sep[[#This Row],[September Weight (kg)]]-VLOOKUP(Sep[[#This Row],[Name]],Overview[],16,FALSE))/VLOOKUP(Sep[[#This Row],[Name]],Overview[],16,FALSE)))</f>
        <v/>
      </c>
      <c r="H18" s="61" t="str" cm="1">
        <f t="array" ref="H18">IF(Sep[[#This Row],[Name]]="","",IF(SUMPRODUCT((Overview[Name]=Sep[[#This Row],[Name]])*ISNUMBER(Overview[[March 
Weight (kg)]:[June 
Weight (kg)]]))=0,"N/A",MAX(IF((Overview[Name]=Sep[[#This Row],[Name]])*ISNUMBER(Overview[[March 
Weight (kg)]:[June 
Weight (kg)]]),Overview[[March 
Weight (kg)]:[June 
Weight (kg)]]))))</f>
        <v/>
      </c>
      <c r="I18" s="57" t="str">
        <f>IF(Sep[[#This Row],[Name]]="","",IF(NOT(ISNUMBER(Sep[[#This Row],[Highest Weight in the Past 3 - 6 Months]])),"N/A",IF(Sep[[#This Row],[September Weight (kg)]]=Sep[[#This Row],[Highest Weight in the Past 3 - 6 Months]],0,Sep[[#This Row],[September Weight (kg)]]-Sep[[#This Row],[Highest Weight in the Past 3 - 6 Months]])))</f>
        <v/>
      </c>
      <c r="J18"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8" s="130"/>
      <c r="L18" s="131"/>
      <c r="M18"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8" s="64" t="str">
        <f>IF(Sep[[#This Row],[Name]]="","",IF(Sep[[#This Row],[September MUST Score ]]=0,"Low",IF(Sep[[#This Row],[September MUST Score ]]=1,"Medium","High")))</f>
        <v/>
      </c>
      <c r="O18" s="10"/>
      <c r="P18" s="70"/>
      <c r="Q18" s="12"/>
      <c r="R18" s="17"/>
      <c r="S18" s="10"/>
      <c r="T18" s="17"/>
      <c r="U18" s="70"/>
      <c r="V18" s="11"/>
      <c r="W18" s="94"/>
      <c r="X18" s="12"/>
      <c r="Y18" s="11"/>
    </row>
    <row r="19" spans="2:25" x14ac:dyDescent="0.25">
      <c r="B19" s="12"/>
      <c r="C19" s="129"/>
      <c r="D19" s="94"/>
      <c r="E19" s="58" t="str">
        <f>IF(Sep[[#This Row],[Name]]="","",Sep[[#This Row],[September Weight (kg)]]/(VLOOKUP(Sep[[#This Row],[Name]],Overview[],2,FALSE)/100)^2)</f>
        <v/>
      </c>
      <c r="F19" s="58" t="str">
        <f>IF(Sep[[#This Row],[Name]]="","",IF(VLOOKUP(Sep[[#This Row],[Name]],Overview[],16,FALSE)="","N/A",Sep[[#This Row],[September Weight (kg)]]-VLOOKUP(Sep[[#This Row],[Name]],Overview[],16,FALSE)))</f>
        <v/>
      </c>
      <c r="G19" s="175" t="str">
        <f>IF(Sep[[#This Row],[Name]]="","",IF(VLOOKUP(Sep[[#This Row],[Name]],Overview[],16,FALSE)="","N/A",(Sep[[#This Row],[September Weight (kg)]]-VLOOKUP(Sep[[#This Row],[Name]],Overview[],16,FALSE))/VLOOKUP(Sep[[#This Row],[Name]],Overview[],16,FALSE)))</f>
        <v/>
      </c>
      <c r="H19" s="61" t="str" cm="1">
        <f t="array" ref="H19">IF(Sep[[#This Row],[Name]]="","",IF(SUMPRODUCT((Overview[Name]=Sep[[#This Row],[Name]])*ISNUMBER(Overview[[March 
Weight (kg)]:[June 
Weight (kg)]]))=0,"N/A",MAX(IF((Overview[Name]=Sep[[#This Row],[Name]])*ISNUMBER(Overview[[March 
Weight (kg)]:[June 
Weight (kg)]]),Overview[[March 
Weight (kg)]:[June 
Weight (kg)]]))))</f>
        <v/>
      </c>
      <c r="I19" s="57" t="str">
        <f>IF(Sep[[#This Row],[Name]]="","",IF(NOT(ISNUMBER(Sep[[#This Row],[Highest Weight in the Past 3 - 6 Months]])),"N/A",IF(Sep[[#This Row],[September Weight (kg)]]=Sep[[#This Row],[Highest Weight in the Past 3 - 6 Months]],0,Sep[[#This Row],[September Weight (kg)]]-Sep[[#This Row],[Highest Weight in the Past 3 - 6 Months]])))</f>
        <v/>
      </c>
      <c r="J19"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19" s="130"/>
      <c r="L19" s="131"/>
      <c r="M19"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19" s="64" t="str">
        <f>IF(Sep[[#This Row],[Name]]="","",IF(Sep[[#This Row],[September MUST Score ]]=0,"Low",IF(Sep[[#This Row],[September MUST Score ]]=1,"Medium","High")))</f>
        <v/>
      </c>
      <c r="O19" s="10"/>
      <c r="P19" s="70"/>
      <c r="Q19" s="12"/>
      <c r="R19" s="17"/>
      <c r="S19" s="10"/>
      <c r="T19" s="17"/>
      <c r="U19" s="70"/>
      <c r="V19" s="11"/>
      <c r="W19" s="94"/>
      <c r="X19" s="12"/>
      <c r="Y19" s="11"/>
    </row>
    <row r="20" spans="2:25" x14ac:dyDescent="0.25">
      <c r="B20" s="12"/>
      <c r="C20" s="129"/>
      <c r="D20" s="94"/>
      <c r="E20" s="58" t="str">
        <f>IF(Sep[[#This Row],[Name]]="","",Sep[[#This Row],[September Weight (kg)]]/(VLOOKUP(Sep[[#This Row],[Name]],Overview[],2,FALSE)/100)^2)</f>
        <v/>
      </c>
      <c r="F20" s="58" t="str">
        <f>IF(Sep[[#This Row],[Name]]="","",IF(VLOOKUP(Sep[[#This Row],[Name]],Overview[],16,FALSE)="","N/A",Sep[[#This Row],[September Weight (kg)]]-VLOOKUP(Sep[[#This Row],[Name]],Overview[],16,FALSE)))</f>
        <v/>
      </c>
      <c r="G20" s="175" t="str">
        <f>IF(Sep[[#This Row],[Name]]="","",IF(VLOOKUP(Sep[[#This Row],[Name]],Overview[],16,FALSE)="","N/A",(Sep[[#This Row],[September Weight (kg)]]-VLOOKUP(Sep[[#This Row],[Name]],Overview[],16,FALSE))/VLOOKUP(Sep[[#This Row],[Name]],Overview[],16,FALSE)))</f>
        <v/>
      </c>
      <c r="H20" s="61" t="str" cm="1">
        <f t="array" ref="H20">IF(Sep[[#This Row],[Name]]="","",IF(SUMPRODUCT((Overview[Name]=Sep[[#This Row],[Name]])*ISNUMBER(Overview[[March 
Weight (kg)]:[June 
Weight (kg)]]))=0,"N/A",MAX(IF((Overview[Name]=Sep[[#This Row],[Name]])*ISNUMBER(Overview[[March 
Weight (kg)]:[June 
Weight (kg)]]),Overview[[March 
Weight (kg)]:[June 
Weight (kg)]]))))</f>
        <v/>
      </c>
      <c r="I20" s="57" t="str">
        <f>IF(Sep[[#This Row],[Name]]="","",IF(NOT(ISNUMBER(Sep[[#This Row],[Highest Weight in the Past 3 - 6 Months]])),"N/A",IF(Sep[[#This Row],[September Weight (kg)]]=Sep[[#This Row],[Highest Weight in the Past 3 - 6 Months]],0,Sep[[#This Row],[September Weight (kg)]]-Sep[[#This Row],[Highest Weight in the Past 3 - 6 Months]])))</f>
        <v/>
      </c>
      <c r="J20"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0" s="130"/>
      <c r="L20" s="131"/>
      <c r="M20"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0" s="64" t="str">
        <f>IF(Sep[[#This Row],[Name]]="","",IF(Sep[[#This Row],[September MUST Score ]]=0,"Low",IF(Sep[[#This Row],[September MUST Score ]]=1,"Medium","High")))</f>
        <v/>
      </c>
      <c r="O20" s="10"/>
      <c r="P20" s="70"/>
      <c r="Q20" s="12"/>
      <c r="R20" s="17"/>
      <c r="S20" s="10"/>
      <c r="T20" s="17"/>
      <c r="U20" s="70"/>
      <c r="V20" s="11"/>
      <c r="W20" s="94"/>
      <c r="X20" s="12"/>
      <c r="Y20" s="11"/>
    </row>
    <row r="21" spans="2:25" x14ac:dyDescent="0.25">
      <c r="B21" s="12"/>
      <c r="C21" s="129"/>
      <c r="D21" s="94"/>
      <c r="E21" s="58" t="str">
        <f>IF(Sep[[#This Row],[Name]]="","",Sep[[#This Row],[September Weight (kg)]]/(VLOOKUP(Sep[[#This Row],[Name]],Overview[],2,FALSE)/100)^2)</f>
        <v/>
      </c>
      <c r="F21" s="58" t="str">
        <f>IF(Sep[[#This Row],[Name]]="","",IF(VLOOKUP(Sep[[#This Row],[Name]],Overview[],16,FALSE)="","N/A",Sep[[#This Row],[September Weight (kg)]]-VLOOKUP(Sep[[#This Row],[Name]],Overview[],16,FALSE)))</f>
        <v/>
      </c>
      <c r="G21" s="175" t="str">
        <f>IF(Sep[[#This Row],[Name]]="","",IF(VLOOKUP(Sep[[#This Row],[Name]],Overview[],16,FALSE)="","N/A",(Sep[[#This Row],[September Weight (kg)]]-VLOOKUP(Sep[[#This Row],[Name]],Overview[],16,FALSE))/VLOOKUP(Sep[[#This Row],[Name]],Overview[],16,FALSE)))</f>
        <v/>
      </c>
      <c r="H21" s="61" t="str" cm="1">
        <f t="array" ref="H21">IF(Sep[[#This Row],[Name]]="","",IF(SUMPRODUCT((Overview[Name]=Sep[[#This Row],[Name]])*ISNUMBER(Overview[[March 
Weight (kg)]:[June 
Weight (kg)]]))=0,"N/A",MAX(IF((Overview[Name]=Sep[[#This Row],[Name]])*ISNUMBER(Overview[[March 
Weight (kg)]:[June 
Weight (kg)]]),Overview[[March 
Weight (kg)]:[June 
Weight (kg)]]))))</f>
        <v/>
      </c>
      <c r="I21" s="57" t="str">
        <f>IF(Sep[[#This Row],[Name]]="","",IF(NOT(ISNUMBER(Sep[[#This Row],[Highest Weight in the Past 3 - 6 Months]])),"N/A",IF(Sep[[#This Row],[September Weight (kg)]]=Sep[[#This Row],[Highest Weight in the Past 3 - 6 Months]],0,Sep[[#This Row],[September Weight (kg)]]-Sep[[#This Row],[Highest Weight in the Past 3 - 6 Months]])))</f>
        <v/>
      </c>
      <c r="J21"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1" s="130"/>
      <c r="L21" s="131"/>
      <c r="M21"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1" s="64" t="str">
        <f>IF(Sep[[#This Row],[Name]]="","",IF(Sep[[#This Row],[September MUST Score ]]=0,"Low",IF(Sep[[#This Row],[September MUST Score ]]=1,"Medium","High")))</f>
        <v/>
      </c>
      <c r="O21" s="10"/>
      <c r="P21" s="70"/>
      <c r="Q21" s="12"/>
      <c r="R21" s="17"/>
      <c r="S21" s="10"/>
      <c r="T21" s="17"/>
      <c r="U21" s="70"/>
      <c r="V21" s="11"/>
      <c r="W21" s="94"/>
      <c r="X21" s="12"/>
      <c r="Y21" s="11"/>
    </row>
    <row r="22" spans="2:25" x14ac:dyDescent="0.25">
      <c r="B22" s="12"/>
      <c r="C22" s="129"/>
      <c r="D22" s="94"/>
      <c r="E22" s="58" t="str">
        <f>IF(Sep[[#This Row],[Name]]="","",Sep[[#This Row],[September Weight (kg)]]/(VLOOKUP(Sep[[#This Row],[Name]],Overview[],2,FALSE)/100)^2)</f>
        <v/>
      </c>
      <c r="F22" s="58" t="str">
        <f>IF(Sep[[#This Row],[Name]]="","",IF(VLOOKUP(Sep[[#This Row],[Name]],Overview[],16,FALSE)="","N/A",Sep[[#This Row],[September Weight (kg)]]-VLOOKUP(Sep[[#This Row],[Name]],Overview[],16,FALSE)))</f>
        <v/>
      </c>
      <c r="G22" s="175" t="str">
        <f>IF(Sep[[#This Row],[Name]]="","",IF(VLOOKUP(Sep[[#This Row],[Name]],Overview[],16,FALSE)="","N/A",(Sep[[#This Row],[September Weight (kg)]]-VLOOKUP(Sep[[#This Row],[Name]],Overview[],16,FALSE))/VLOOKUP(Sep[[#This Row],[Name]],Overview[],16,FALSE)))</f>
        <v/>
      </c>
      <c r="H22" s="61" t="str" cm="1">
        <f t="array" ref="H22">IF(Sep[[#This Row],[Name]]="","",IF(SUMPRODUCT((Overview[Name]=Sep[[#This Row],[Name]])*ISNUMBER(Overview[[March 
Weight (kg)]:[June 
Weight (kg)]]))=0,"N/A",MAX(IF((Overview[Name]=Sep[[#This Row],[Name]])*ISNUMBER(Overview[[March 
Weight (kg)]:[June 
Weight (kg)]]),Overview[[March 
Weight (kg)]:[June 
Weight (kg)]]))))</f>
        <v/>
      </c>
      <c r="I22" s="57" t="str">
        <f>IF(Sep[[#This Row],[Name]]="","",IF(NOT(ISNUMBER(Sep[[#This Row],[Highest Weight in the Past 3 - 6 Months]])),"N/A",IF(Sep[[#This Row],[September Weight (kg)]]=Sep[[#This Row],[Highest Weight in the Past 3 - 6 Months]],0,Sep[[#This Row],[September Weight (kg)]]-Sep[[#This Row],[Highest Weight in the Past 3 - 6 Months]])))</f>
        <v/>
      </c>
      <c r="J22"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2" s="130"/>
      <c r="L22" s="131"/>
      <c r="M22"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2" s="64" t="str">
        <f>IF(Sep[[#This Row],[Name]]="","",IF(Sep[[#This Row],[September MUST Score ]]=0,"Low",IF(Sep[[#This Row],[September MUST Score ]]=1,"Medium","High")))</f>
        <v/>
      </c>
      <c r="O22" s="10"/>
      <c r="P22" s="70"/>
      <c r="Q22" s="12"/>
      <c r="R22" s="17"/>
      <c r="S22" s="10"/>
      <c r="T22" s="17"/>
      <c r="U22" s="70"/>
      <c r="V22" s="11"/>
      <c r="W22" s="94"/>
      <c r="X22" s="12"/>
      <c r="Y22" s="11"/>
    </row>
    <row r="23" spans="2:25" x14ac:dyDescent="0.25">
      <c r="B23" s="12"/>
      <c r="C23" s="129"/>
      <c r="D23" s="94"/>
      <c r="E23" s="58" t="str">
        <f>IF(Sep[[#This Row],[Name]]="","",Sep[[#This Row],[September Weight (kg)]]/(VLOOKUP(Sep[[#This Row],[Name]],Overview[],2,FALSE)/100)^2)</f>
        <v/>
      </c>
      <c r="F23" s="58" t="str">
        <f>IF(Sep[[#This Row],[Name]]="","",IF(VLOOKUP(Sep[[#This Row],[Name]],Overview[],16,FALSE)="","N/A",Sep[[#This Row],[September Weight (kg)]]-VLOOKUP(Sep[[#This Row],[Name]],Overview[],16,FALSE)))</f>
        <v/>
      </c>
      <c r="G23" s="175" t="str">
        <f>IF(Sep[[#This Row],[Name]]="","",IF(VLOOKUP(Sep[[#This Row],[Name]],Overview[],16,FALSE)="","N/A",(Sep[[#This Row],[September Weight (kg)]]-VLOOKUP(Sep[[#This Row],[Name]],Overview[],16,FALSE))/VLOOKUP(Sep[[#This Row],[Name]],Overview[],16,FALSE)))</f>
        <v/>
      </c>
      <c r="H23" s="61" t="str" cm="1">
        <f t="array" ref="H23">IF(Sep[[#This Row],[Name]]="","",IF(SUMPRODUCT((Overview[Name]=Sep[[#This Row],[Name]])*ISNUMBER(Overview[[March 
Weight (kg)]:[June 
Weight (kg)]]))=0,"N/A",MAX(IF((Overview[Name]=Sep[[#This Row],[Name]])*ISNUMBER(Overview[[March 
Weight (kg)]:[June 
Weight (kg)]]),Overview[[March 
Weight (kg)]:[June 
Weight (kg)]]))))</f>
        <v/>
      </c>
      <c r="I23" s="57" t="str">
        <f>IF(Sep[[#This Row],[Name]]="","",IF(NOT(ISNUMBER(Sep[[#This Row],[Highest Weight in the Past 3 - 6 Months]])),"N/A",IF(Sep[[#This Row],[September Weight (kg)]]=Sep[[#This Row],[Highest Weight in the Past 3 - 6 Months]],0,Sep[[#This Row],[September Weight (kg)]]-Sep[[#This Row],[Highest Weight in the Past 3 - 6 Months]])))</f>
        <v/>
      </c>
      <c r="J23"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3" s="130"/>
      <c r="L23" s="131"/>
      <c r="M23"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3" s="64" t="str">
        <f>IF(Sep[[#This Row],[Name]]="","",IF(Sep[[#This Row],[September MUST Score ]]=0,"Low",IF(Sep[[#This Row],[September MUST Score ]]=1,"Medium","High")))</f>
        <v/>
      </c>
      <c r="O23" s="10"/>
      <c r="P23" s="70"/>
      <c r="Q23" s="12"/>
      <c r="R23" s="17"/>
      <c r="S23" s="10"/>
      <c r="T23" s="17"/>
      <c r="U23" s="70"/>
      <c r="V23" s="11"/>
      <c r="W23" s="94"/>
      <c r="X23" s="12"/>
      <c r="Y23" s="11"/>
    </row>
    <row r="24" spans="2:25" x14ac:dyDescent="0.25">
      <c r="B24" s="12"/>
      <c r="C24" s="129"/>
      <c r="D24" s="94"/>
      <c r="E24" s="58" t="str">
        <f>IF(Sep[[#This Row],[Name]]="","",Sep[[#This Row],[September Weight (kg)]]/(VLOOKUP(Sep[[#This Row],[Name]],Overview[],2,FALSE)/100)^2)</f>
        <v/>
      </c>
      <c r="F24" s="58" t="str">
        <f>IF(Sep[[#This Row],[Name]]="","",IF(VLOOKUP(Sep[[#This Row],[Name]],Overview[],16,FALSE)="","N/A",Sep[[#This Row],[September Weight (kg)]]-VLOOKUP(Sep[[#This Row],[Name]],Overview[],16,FALSE)))</f>
        <v/>
      </c>
      <c r="G24" s="175" t="str">
        <f>IF(Sep[[#This Row],[Name]]="","",IF(VLOOKUP(Sep[[#This Row],[Name]],Overview[],16,FALSE)="","N/A",(Sep[[#This Row],[September Weight (kg)]]-VLOOKUP(Sep[[#This Row],[Name]],Overview[],16,FALSE))/VLOOKUP(Sep[[#This Row],[Name]],Overview[],16,FALSE)))</f>
        <v/>
      </c>
      <c r="H24" s="61" t="str" cm="1">
        <f t="array" ref="H24">IF(Sep[[#This Row],[Name]]="","",IF(SUMPRODUCT((Overview[Name]=Sep[[#This Row],[Name]])*ISNUMBER(Overview[[March 
Weight (kg)]:[June 
Weight (kg)]]))=0,"N/A",MAX(IF((Overview[Name]=Sep[[#This Row],[Name]])*ISNUMBER(Overview[[March 
Weight (kg)]:[June 
Weight (kg)]]),Overview[[March 
Weight (kg)]:[June 
Weight (kg)]]))))</f>
        <v/>
      </c>
      <c r="I24" s="57" t="str">
        <f>IF(Sep[[#This Row],[Name]]="","",IF(NOT(ISNUMBER(Sep[[#This Row],[Highest Weight in the Past 3 - 6 Months]])),"N/A",IF(Sep[[#This Row],[September Weight (kg)]]=Sep[[#This Row],[Highest Weight in the Past 3 - 6 Months]],0,Sep[[#This Row],[September Weight (kg)]]-Sep[[#This Row],[Highest Weight in the Past 3 - 6 Months]])))</f>
        <v/>
      </c>
      <c r="J24"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4" s="130"/>
      <c r="L24" s="131"/>
      <c r="M24"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4" s="64" t="str">
        <f>IF(Sep[[#This Row],[Name]]="","",IF(Sep[[#This Row],[September MUST Score ]]=0,"Low",IF(Sep[[#This Row],[September MUST Score ]]=1,"Medium","High")))</f>
        <v/>
      </c>
      <c r="O24" s="10"/>
      <c r="P24" s="70"/>
      <c r="Q24" s="12"/>
      <c r="R24" s="17"/>
      <c r="S24" s="10"/>
      <c r="T24" s="17"/>
      <c r="U24" s="70"/>
      <c r="V24" s="11"/>
      <c r="W24" s="94"/>
      <c r="X24" s="12"/>
      <c r="Y24" s="11"/>
    </row>
    <row r="25" spans="2:25" x14ac:dyDescent="0.25">
      <c r="B25" s="12"/>
      <c r="C25" s="129"/>
      <c r="D25" s="94"/>
      <c r="E25" s="58" t="str">
        <f>IF(Sep[[#This Row],[Name]]="","",Sep[[#This Row],[September Weight (kg)]]/(VLOOKUP(Sep[[#This Row],[Name]],Overview[],2,FALSE)/100)^2)</f>
        <v/>
      </c>
      <c r="F25" s="58" t="str">
        <f>IF(Sep[[#This Row],[Name]]="","",IF(VLOOKUP(Sep[[#This Row],[Name]],Overview[],16,FALSE)="","N/A",Sep[[#This Row],[September Weight (kg)]]-VLOOKUP(Sep[[#This Row],[Name]],Overview[],16,FALSE)))</f>
        <v/>
      </c>
      <c r="G25" s="175" t="str">
        <f>IF(Sep[[#This Row],[Name]]="","",IF(VLOOKUP(Sep[[#This Row],[Name]],Overview[],16,FALSE)="","N/A",(Sep[[#This Row],[September Weight (kg)]]-VLOOKUP(Sep[[#This Row],[Name]],Overview[],16,FALSE))/VLOOKUP(Sep[[#This Row],[Name]],Overview[],16,FALSE)))</f>
        <v/>
      </c>
      <c r="H25" s="61" t="str" cm="1">
        <f t="array" ref="H25">IF(Sep[[#This Row],[Name]]="","",IF(SUMPRODUCT((Overview[Name]=Sep[[#This Row],[Name]])*ISNUMBER(Overview[[March 
Weight (kg)]:[June 
Weight (kg)]]))=0,"N/A",MAX(IF((Overview[Name]=Sep[[#This Row],[Name]])*ISNUMBER(Overview[[March 
Weight (kg)]:[June 
Weight (kg)]]),Overview[[March 
Weight (kg)]:[June 
Weight (kg)]]))))</f>
        <v/>
      </c>
      <c r="I25" s="57" t="str">
        <f>IF(Sep[[#This Row],[Name]]="","",IF(NOT(ISNUMBER(Sep[[#This Row],[Highest Weight in the Past 3 - 6 Months]])),"N/A",IF(Sep[[#This Row],[September Weight (kg)]]=Sep[[#This Row],[Highest Weight in the Past 3 - 6 Months]],0,Sep[[#This Row],[September Weight (kg)]]-Sep[[#This Row],[Highest Weight in the Past 3 - 6 Months]])))</f>
        <v/>
      </c>
      <c r="J25"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5" s="130"/>
      <c r="L25" s="131"/>
      <c r="M25"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5" s="64" t="str">
        <f>IF(Sep[[#This Row],[Name]]="","",IF(Sep[[#This Row],[September MUST Score ]]=0,"Low",IF(Sep[[#This Row],[September MUST Score ]]=1,"Medium","High")))</f>
        <v/>
      </c>
      <c r="O25" s="10"/>
      <c r="P25" s="70"/>
      <c r="Q25" s="12"/>
      <c r="R25" s="17"/>
      <c r="S25" s="10"/>
      <c r="T25" s="17"/>
      <c r="U25" s="70"/>
      <c r="V25" s="11"/>
      <c r="W25" s="94"/>
      <c r="X25" s="12"/>
      <c r="Y25" s="11"/>
    </row>
    <row r="26" spans="2:25" x14ac:dyDescent="0.25">
      <c r="B26" s="12"/>
      <c r="C26" s="129"/>
      <c r="D26" s="94"/>
      <c r="E26" s="58" t="str">
        <f>IF(Sep[[#This Row],[Name]]="","",Sep[[#This Row],[September Weight (kg)]]/(VLOOKUP(Sep[[#This Row],[Name]],Overview[],2,FALSE)/100)^2)</f>
        <v/>
      </c>
      <c r="F26" s="58" t="str">
        <f>IF(Sep[[#This Row],[Name]]="","",IF(VLOOKUP(Sep[[#This Row],[Name]],Overview[],16,FALSE)="","N/A",Sep[[#This Row],[September Weight (kg)]]-VLOOKUP(Sep[[#This Row],[Name]],Overview[],16,FALSE)))</f>
        <v/>
      </c>
      <c r="G26" s="175" t="str">
        <f>IF(Sep[[#This Row],[Name]]="","",IF(VLOOKUP(Sep[[#This Row],[Name]],Overview[],16,FALSE)="","N/A",(Sep[[#This Row],[September Weight (kg)]]-VLOOKUP(Sep[[#This Row],[Name]],Overview[],16,FALSE))/VLOOKUP(Sep[[#This Row],[Name]],Overview[],16,FALSE)))</f>
        <v/>
      </c>
      <c r="H26" s="61" t="str" cm="1">
        <f t="array" ref="H26">IF(Sep[[#This Row],[Name]]="","",IF(SUMPRODUCT((Overview[Name]=Sep[[#This Row],[Name]])*ISNUMBER(Overview[[March 
Weight (kg)]:[June 
Weight (kg)]]))=0,"N/A",MAX(IF((Overview[Name]=Sep[[#This Row],[Name]])*ISNUMBER(Overview[[March 
Weight (kg)]:[June 
Weight (kg)]]),Overview[[March 
Weight (kg)]:[June 
Weight (kg)]]))))</f>
        <v/>
      </c>
      <c r="I26" s="57" t="str">
        <f>IF(Sep[[#This Row],[Name]]="","",IF(NOT(ISNUMBER(Sep[[#This Row],[Highest Weight in the Past 3 - 6 Months]])),"N/A",IF(Sep[[#This Row],[September Weight (kg)]]=Sep[[#This Row],[Highest Weight in the Past 3 - 6 Months]],0,Sep[[#This Row],[September Weight (kg)]]-Sep[[#This Row],[Highest Weight in the Past 3 - 6 Months]])))</f>
        <v/>
      </c>
      <c r="J26"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6" s="130"/>
      <c r="L26" s="131"/>
      <c r="M26"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6" s="64" t="str">
        <f>IF(Sep[[#This Row],[Name]]="","",IF(Sep[[#This Row],[September MUST Score ]]=0,"Low",IF(Sep[[#This Row],[September MUST Score ]]=1,"Medium","High")))</f>
        <v/>
      </c>
      <c r="O26" s="10"/>
      <c r="P26" s="70"/>
      <c r="Q26" s="12"/>
      <c r="R26" s="17"/>
      <c r="S26" s="10"/>
      <c r="T26" s="17"/>
      <c r="U26" s="70"/>
      <c r="V26" s="11"/>
      <c r="W26" s="94"/>
      <c r="X26" s="12"/>
      <c r="Y26" s="11"/>
    </row>
    <row r="27" spans="2:25" x14ac:dyDescent="0.25">
      <c r="B27" s="12"/>
      <c r="C27" s="129"/>
      <c r="D27" s="94"/>
      <c r="E27" s="58" t="str">
        <f>IF(Sep[[#This Row],[Name]]="","",Sep[[#This Row],[September Weight (kg)]]/(VLOOKUP(Sep[[#This Row],[Name]],Overview[],2,FALSE)/100)^2)</f>
        <v/>
      </c>
      <c r="F27" s="58" t="str">
        <f>IF(Sep[[#This Row],[Name]]="","",IF(VLOOKUP(Sep[[#This Row],[Name]],Overview[],16,FALSE)="","N/A",Sep[[#This Row],[September Weight (kg)]]-VLOOKUP(Sep[[#This Row],[Name]],Overview[],16,FALSE)))</f>
        <v/>
      </c>
      <c r="G27" s="175" t="str">
        <f>IF(Sep[[#This Row],[Name]]="","",IF(VLOOKUP(Sep[[#This Row],[Name]],Overview[],16,FALSE)="","N/A",(Sep[[#This Row],[September Weight (kg)]]-VLOOKUP(Sep[[#This Row],[Name]],Overview[],16,FALSE))/VLOOKUP(Sep[[#This Row],[Name]],Overview[],16,FALSE)))</f>
        <v/>
      </c>
      <c r="H27" s="61" t="str" cm="1">
        <f t="array" ref="H27">IF(Sep[[#This Row],[Name]]="","",IF(SUMPRODUCT((Overview[Name]=Sep[[#This Row],[Name]])*ISNUMBER(Overview[[March 
Weight (kg)]:[June 
Weight (kg)]]))=0,"N/A",MAX(IF((Overview[Name]=Sep[[#This Row],[Name]])*ISNUMBER(Overview[[March 
Weight (kg)]:[June 
Weight (kg)]]),Overview[[March 
Weight (kg)]:[June 
Weight (kg)]]))))</f>
        <v/>
      </c>
      <c r="I27" s="57" t="str">
        <f>IF(Sep[[#This Row],[Name]]="","",IF(NOT(ISNUMBER(Sep[[#This Row],[Highest Weight in the Past 3 - 6 Months]])),"N/A",IF(Sep[[#This Row],[September Weight (kg)]]=Sep[[#This Row],[Highest Weight in the Past 3 - 6 Months]],0,Sep[[#This Row],[September Weight (kg)]]-Sep[[#This Row],[Highest Weight in the Past 3 - 6 Months]])))</f>
        <v/>
      </c>
      <c r="J27"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7" s="130"/>
      <c r="L27" s="131"/>
      <c r="M27"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7" s="64" t="str">
        <f>IF(Sep[[#This Row],[Name]]="","",IF(Sep[[#This Row],[September MUST Score ]]=0,"Low",IF(Sep[[#This Row],[September MUST Score ]]=1,"Medium","High")))</f>
        <v/>
      </c>
      <c r="O27" s="10"/>
      <c r="P27" s="70"/>
      <c r="Q27" s="12"/>
      <c r="R27" s="17"/>
      <c r="S27" s="10"/>
      <c r="T27" s="17"/>
      <c r="U27" s="70"/>
      <c r="V27" s="11"/>
      <c r="W27" s="94"/>
      <c r="X27" s="12"/>
      <c r="Y27" s="11"/>
    </row>
    <row r="28" spans="2:25" x14ac:dyDescent="0.25">
      <c r="B28" s="12"/>
      <c r="C28" s="129"/>
      <c r="D28" s="94"/>
      <c r="E28" s="58" t="str">
        <f>IF(Sep[[#This Row],[Name]]="","",Sep[[#This Row],[September Weight (kg)]]/(VLOOKUP(Sep[[#This Row],[Name]],Overview[],2,FALSE)/100)^2)</f>
        <v/>
      </c>
      <c r="F28" s="58" t="str">
        <f>IF(Sep[[#This Row],[Name]]="","",IF(VLOOKUP(Sep[[#This Row],[Name]],Overview[],16,FALSE)="","N/A",Sep[[#This Row],[September Weight (kg)]]-VLOOKUP(Sep[[#This Row],[Name]],Overview[],16,FALSE)))</f>
        <v/>
      </c>
      <c r="G28" s="175" t="str">
        <f>IF(Sep[[#This Row],[Name]]="","",IF(VLOOKUP(Sep[[#This Row],[Name]],Overview[],16,FALSE)="","N/A",(Sep[[#This Row],[September Weight (kg)]]-VLOOKUP(Sep[[#This Row],[Name]],Overview[],16,FALSE))/VLOOKUP(Sep[[#This Row],[Name]],Overview[],16,FALSE)))</f>
        <v/>
      </c>
      <c r="H28" s="61" t="str" cm="1">
        <f t="array" ref="H28">IF(Sep[[#This Row],[Name]]="","",IF(SUMPRODUCT((Overview[Name]=Sep[[#This Row],[Name]])*ISNUMBER(Overview[[March 
Weight (kg)]:[June 
Weight (kg)]]))=0,"N/A",MAX(IF((Overview[Name]=Sep[[#This Row],[Name]])*ISNUMBER(Overview[[March 
Weight (kg)]:[June 
Weight (kg)]]),Overview[[March 
Weight (kg)]:[June 
Weight (kg)]]))))</f>
        <v/>
      </c>
      <c r="I28" s="57" t="str">
        <f>IF(Sep[[#This Row],[Name]]="","",IF(NOT(ISNUMBER(Sep[[#This Row],[Highest Weight in the Past 3 - 6 Months]])),"N/A",IF(Sep[[#This Row],[September Weight (kg)]]=Sep[[#This Row],[Highest Weight in the Past 3 - 6 Months]],0,Sep[[#This Row],[September Weight (kg)]]-Sep[[#This Row],[Highest Weight in the Past 3 - 6 Months]])))</f>
        <v/>
      </c>
      <c r="J28"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8" s="130"/>
      <c r="L28" s="131"/>
      <c r="M28"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8" s="64" t="str">
        <f>IF(Sep[[#This Row],[Name]]="","",IF(Sep[[#This Row],[September MUST Score ]]=0,"Low",IF(Sep[[#This Row],[September MUST Score ]]=1,"Medium","High")))</f>
        <v/>
      </c>
      <c r="O28" s="10"/>
      <c r="P28" s="70"/>
      <c r="Q28" s="12"/>
      <c r="R28" s="17"/>
      <c r="S28" s="10"/>
      <c r="T28" s="17"/>
      <c r="U28" s="70"/>
      <c r="V28" s="11"/>
      <c r="W28" s="94"/>
      <c r="X28" s="12"/>
      <c r="Y28" s="11"/>
    </row>
    <row r="29" spans="2:25" x14ac:dyDescent="0.25">
      <c r="B29" s="12"/>
      <c r="C29" s="129"/>
      <c r="D29" s="94"/>
      <c r="E29" s="58" t="str">
        <f>IF(Sep[[#This Row],[Name]]="","",Sep[[#This Row],[September Weight (kg)]]/(VLOOKUP(Sep[[#This Row],[Name]],Overview[],2,FALSE)/100)^2)</f>
        <v/>
      </c>
      <c r="F29" s="58" t="str">
        <f>IF(Sep[[#This Row],[Name]]="","",IF(VLOOKUP(Sep[[#This Row],[Name]],Overview[],16,FALSE)="","N/A",Sep[[#This Row],[September Weight (kg)]]-VLOOKUP(Sep[[#This Row],[Name]],Overview[],16,FALSE)))</f>
        <v/>
      </c>
      <c r="G29" s="175" t="str">
        <f>IF(Sep[[#This Row],[Name]]="","",IF(VLOOKUP(Sep[[#This Row],[Name]],Overview[],16,FALSE)="","N/A",(Sep[[#This Row],[September Weight (kg)]]-VLOOKUP(Sep[[#This Row],[Name]],Overview[],16,FALSE))/VLOOKUP(Sep[[#This Row],[Name]],Overview[],16,FALSE)))</f>
        <v/>
      </c>
      <c r="H29" s="61" t="str" cm="1">
        <f t="array" ref="H29">IF(Sep[[#This Row],[Name]]="","",IF(SUMPRODUCT((Overview[Name]=Sep[[#This Row],[Name]])*ISNUMBER(Overview[[March 
Weight (kg)]:[June 
Weight (kg)]]))=0,"N/A",MAX(IF((Overview[Name]=Sep[[#This Row],[Name]])*ISNUMBER(Overview[[March 
Weight (kg)]:[June 
Weight (kg)]]),Overview[[March 
Weight (kg)]:[June 
Weight (kg)]]))))</f>
        <v/>
      </c>
      <c r="I29" s="57" t="str">
        <f>IF(Sep[[#This Row],[Name]]="","",IF(NOT(ISNUMBER(Sep[[#This Row],[Highest Weight in the Past 3 - 6 Months]])),"N/A",IF(Sep[[#This Row],[September Weight (kg)]]=Sep[[#This Row],[Highest Weight in the Past 3 - 6 Months]],0,Sep[[#This Row],[September Weight (kg)]]-Sep[[#This Row],[Highest Weight in the Past 3 - 6 Months]])))</f>
        <v/>
      </c>
      <c r="J29"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29" s="130"/>
      <c r="L29" s="131"/>
      <c r="M29"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29" s="64" t="str">
        <f>IF(Sep[[#This Row],[Name]]="","",IF(Sep[[#This Row],[September MUST Score ]]=0,"Low",IF(Sep[[#This Row],[September MUST Score ]]=1,"Medium","High")))</f>
        <v/>
      </c>
      <c r="O29" s="10"/>
      <c r="P29" s="70"/>
      <c r="Q29" s="12"/>
      <c r="R29" s="17"/>
      <c r="S29" s="10"/>
      <c r="T29" s="17"/>
      <c r="U29" s="70"/>
      <c r="V29" s="11"/>
      <c r="W29" s="94"/>
      <c r="X29" s="12"/>
      <c r="Y29" s="11"/>
    </row>
    <row r="30" spans="2:25" x14ac:dyDescent="0.25">
      <c r="B30" s="12"/>
      <c r="C30" s="129"/>
      <c r="D30" s="94"/>
      <c r="E30" s="58" t="str">
        <f>IF(Sep[[#This Row],[Name]]="","",Sep[[#This Row],[September Weight (kg)]]/(VLOOKUP(Sep[[#This Row],[Name]],Overview[],2,FALSE)/100)^2)</f>
        <v/>
      </c>
      <c r="F30" s="58" t="str">
        <f>IF(Sep[[#This Row],[Name]]="","",IF(VLOOKUP(Sep[[#This Row],[Name]],Overview[],16,FALSE)="","N/A",Sep[[#This Row],[September Weight (kg)]]-VLOOKUP(Sep[[#This Row],[Name]],Overview[],16,FALSE)))</f>
        <v/>
      </c>
      <c r="G30" s="175" t="str">
        <f>IF(Sep[[#This Row],[Name]]="","",IF(VLOOKUP(Sep[[#This Row],[Name]],Overview[],16,FALSE)="","N/A",(Sep[[#This Row],[September Weight (kg)]]-VLOOKUP(Sep[[#This Row],[Name]],Overview[],16,FALSE))/VLOOKUP(Sep[[#This Row],[Name]],Overview[],16,FALSE)))</f>
        <v/>
      </c>
      <c r="H30" s="61" t="str" cm="1">
        <f t="array" ref="H30">IF(Sep[[#This Row],[Name]]="","",IF(SUMPRODUCT((Overview[Name]=Sep[[#This Row],[Name]])*ISNUMBER(Overview[[March 
Weight (kg)]:[June 
Weight (kg)]]))=0,"N/A",MAX(IF((Overview[Name]=Sep[[#This Row],[Name]])*ISNUMBER(Overview[[March 
Weight (kg)]:[June 
Weight (kg)]]),Overview[[March 
Weight (kg)]:[June 
Weight (kg)]]))))</f>
        <v/>
      </c>
      <c r="I30" s="57" t="str">
        <f>IF(Sep[[#This Row],[Name]]="","",IF(NOT(ISNUMBER(Sep[[#This Row],[Highest Weight in the Past 3 - 6 Months]])),"N/A",IF(Sep[[#This Row],[September Weight (kg)]]=Sep[[#This Row],[Highest Weight in the Past 3 - 6 Months]],0,Sep[[#This Row],[September Weight (kg)]]-Sep[[#This Row],[Highest Weight in the Past 3 - 6 Months]])))</f>
        <v/>
      </c>
      <c r="J30"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0" s="130"/>
      <c r="L30" s="131"/>
      <c r="M30"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0" s="64" t="str">
        <f>IF(Sep[[#This Row],[Name]]="","",IF(Sep[[#This Row],[September MUST Score ]]=0,"Low",IF(Sep[[#This Row],[September MUST Score ]]=1,"Medium","High")))</f>
        <v/>
      </c>
      <c r="O30" s="10"/>
      <c r="P30" s="70"/>
      <c r="Q30" s="12"/>
      <c r="R30" s="17"/>
      <c r="S30" s="10"/>
      <c r="T30" s="17"/>
      <c r="U30" s="70"/>
      <c r="V30" s="11"/>
      <c r="W30" s="94"/>
      <c r="X30" s="12"/>
      <c r="Y30" s="11"/>
    </row>
    <row r="31" spans="2:25" x14ac:dyDescent="0.25">
      <c r="B31" s="12"/>
      <c r="C31" s="129"/>
      <c r="D31" s="94"/>
      <c r="E31" s="58" t="str">
        <f>IF(Sep[[#This Row],[Name]]="","",Sep[[#This Row],[September Weight (kg)]]/(VLOOKUP(Sep[[#This Row],[Name]],Overview[],2,FALSE)/100)^2)</f>
        <v/>
      </c>
      <c r="F31" s="58" t="str">
        <f>IF(Sep[[#This Row],[Name]]="","",IF(VLOOKUP(Sep[[#This Row],[Name]],Overview[],16,FALSE)="","N/A",Sep[[#This Row],[September Weight (kg)]]-VLOOKUP(Sep[[#This Row],[Name]],Overview[],16,FALSE)))</f>
        <v/>
      </c>
      <c r="G31" s="175" t="str">
        <f>IF(Sep[[#This Row],[Name]]="","",IF(VLOOKUP(Sep[[#This Row],[Name]],Overview[],16,FALSE)="","N/A",(Sep[[#This Row],[September Weight (kg)]]-VLOOKUP(Sep[[#This Row],[Name]],Overview[],16,FALSE))/VLOOKUP(Sep[[#This Row],[Name]],Overview[],16,FALSE)))</f>
        <v/>
      </c>
      <c r="H31" s="61" t="str" cm="1">
        <f t="array" ref="H31">IF(Sep[[#This Row],[Name]]="","",IF(SUMPRODUCT((Overview[Name]=Sep[[#This Row],[Name]])*ISNUMBER(Overview[[March 
Weight (kg)]:[June 
Weight (kg)]]))=0,"N/A",MAX(IF((Overview[Name]=Sep[[#This Row],[Name]])*ISNUMBER(Overview[[March 
Weight (kg)]:[June 
Weight (kg)]]),Overview[[March 
Weight (kg)]:[June 
Weight (kg)]]))))</f>
        <v/>
      </c>
      <c r="I31" s="57" t="str">
        <f>IF(Sep[[#This Row],[Name]]="","",IF(NOT(ISNUMBER(Sep[[#This Row],[Highest Weight in the Past 3 - 6 Months]])),"N/A",IF(Sep[[#This Row],[September Weight (kg)]]=Sep[[#This Row],[Highest Weight in the Past 3 - 6 Months]],0,Sep[[#This Row],[September Weight (kg)]]-Sep[[#This Row],[Highest Weight in the Past 3 - 6 Months]])))</f>
        <v/>
      </c>
      <c r="J31"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1" s="130"/>
      <c r="L31" s="131"/>
      <c r="M31"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1" s="64" t="str">
        <f>IF(Sep[[#This Row],[Name]]="","",IF(Sep[[#This Row],[September MUST Score ]]=0,"Low",IF(Sep[[#This Row],[September MUST Score ]]=1,"Medium","High")))</f>
        <v/>
      </c>
      <c r="O31" s="10"/>
      <c r="P31" s="70"/>
      <c r="Q31" s="12"/>
      <c r="R31" s="17"/>
      <c r="S31" s="10"/>
      <c r="T31" s="17"/>
      <c r="U31" s="70"/>
      <c r="V31" s="11"/>
      <c r="W31" s="94"/>
      <c r="X31" s="12"/>
      <c r="Y31" s="11"/>
    </row>
    <row r="32" spans="2:25" x14ac:dyDescent="0.25">
      <c r="B32" s="12"/>
      <c r="C32" s="129"/>
      <c r="D32" s="94"/>
      <c r="E32" s="58" t="str">
        <f>IF(Sep[[#This Row],[Name]]="","",Sep[[#This Row],[September Weight (kg)]]/(VLOOKUP(Sep[[#This Row],[Name]],Overview[],2,FALSE)/100)^2)</f>
        <v/>
      </c>
      <c r="F32" s="58" t="str">
        <f>IF(Sep[[#This Row],[Name]]="","",IF(VLOOKUP(Sep[[#This Row],[Name]],Overview[],16,FALSE)="","N/A",Sep[[#This Row],[September Weight (kg)]]-VLOOKUP(Sep[[#This Row],[Name]],Overview[],16,FALSE)))</f>
        <v/>
      </c>
      <c r="G32" s="175" t="str">
        <f>IF(Sep[[#This Row],[Name]]="","",IF(VLOOKUP(Sep[[#This Row],[Name]],Overview[],16,FALSE)="","N/A",(Sep[[#This Row],[September Weight (kg)]]-VLOOKUP(Sep[[#This Row],[Name]],Overview[],16,FALSE))/VLOOKUP(Sep[[#This Row],[Name]],Overview[],16,FALSE)))</f>
        <v/>
      </c>
      <c r="H32" s="61" t="str" cm="1">
        <f t="array" ref="H32">IF(Sep[[#This Row],[Name]]="","",IF(SUMPRODUCT((Overview[Name]=Sep[[#This Row],[Name]])*ISNUMBER(Overview[[March 
Weight (kg)]:[June 
Weight (kg)]]))=0,"N/A",MAX(IF((Overview[Name]=Sep[[#This Row],[Name]])*ISNUMBER(Overview[[March 
Weight (kg)]:[June 
Weight (kg)]]),Overview[[March 
Weight (kg)]:[June 
Weight (kg)]]))))</f>
        <v/>
      </c>
      <c r="I32" s="57" t="str">
        <f>IF(Sep[[#This Row],[Name]]="","",IF(NOT(ISNUMBER(Sep[[#This Row],[Highest Weight in the Past 3 - 6 Months]])),"N/A",IF(Sep[[#This Row],[September Weight (kg)]]=Sep[[#This Row],[Highest Weight in the Past 3 - 6 Months]],0,Sep[[#This Row],[September Weight (kg)]]-Sep[[#This Row],[Highest Weight in the Past 3 - 6 Months]])))</f>
        <v/>
      </c>
      <c r="J32"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2" s="130"/>
      <c r="L32" s="131"/>
      <c r="M32"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2" s="64" t="str">
        <f>IF(Sep[[#This Row],[Name]]="","",IF(Sep[[#This Row],[September MUST Score ]]=0,"Low",IF(Sep[[#This Row],[September MUST Score ]]=1,"Medium","High")))</f>
        <v/>
      </c>
      <c r="O32" s="10"/>
      <c r="P32" s="70"/>
      <c r="Q32" s="12"/>
      <c r="R32" s="17"/>
      <c r="S32" s="10"/>
      <c r="T32" s="17"/>
      <c r="U32" s="70"/>
      <c r="V32" s="11"/>
      <c r="W32" s="94"/>
      <c r="X32" s="12"/>
      <c r="Y32" s="11"/>
    </row>
    <row r="33" spans="2:25" x14ac:dyDescent="0.25">
      <c r="B33" s="12"/>
      <c r="C33" s="129"/>
      <c r="D33" s="94"/>
      <c r="E33" s="58" t="str">
        <f>IF(Sep[[#This Row],[Name]]="","",Sep[[#This Row],[September Weight (kg)]]/(VLOOKUP(Sep[[#This Row],[Name]],Overview[],2,FALSE)/100)^2)</f>
        <v/>
      </c>
      <c r="F33" s="58" t="str">
        <f>IF(Sep[[#This Row],[Name]]="","",IF(VLOOKUP(Sep[[#This Row],[Name]],Overview[],16,FALSE)="","N/A",Sep[[#This Row],[September Weight (kg)]]-VLOOKUP(Sep[[#This Row],[Name]],Overview[],16,FALSE)))</f>
        <v/>
      </c>
      <c r="G33" s="175" t="str">
        <f>IF(Sep[[#This Row],[Name]]="","",IF(VLOOKUP(Sep[[#This Row],[Name]],Overview[],16,FALSE)="","N/A",(Sep[[#This Row],[September Weight (kg)]]-VLOOKUP(Sep[[#This Row],[Name]],Overview[],16,FALSE))/VLOOKUP(Sep[[#This Row],[Name]],Overview[],16,FALSE)))</f>
        <v/>
      </c>
      <c r="H33" s="61" t="str" cm="1">
        <f t="array" ref="H33">IF(Sep[[#This Row],[Name]]="","",IF(SUMPRODUCT((Overview[Name]=Sep[[#This Row],[Name]])*ISNUMBER(Overview[[March 
Weight (kg)]:[June 
Weight (kg)]]))=0,"N/A",MAX(IF((Overview[Name]=Sep[[#This Row],[Name]])*ISNUMBER(Overview[[March 
Weight (kg)]:[June 
Weight (kg)]]),Overview[[March 
Weight (kg)]:[June 
Weight (kg)]]))))</f>
        <v/>
      </c>
      <c r="I33" s="57" t="str">
        <f>IF(Sep[[#This Row],[Name]]="","",IF(NOT(ISNUMBER(Sep[[#This Row],[Highest Weight in the Past 3 - 6 Months]])),"N/A",IF(Sep[[#This Row],[September Weight (kg)]]=Sep[[#This Row],[Highest Weight in the Past 3 - 6 Months]],0,Sep[[#This Row],[September Weight (kg)]]-Sep[[#This Row],[Highest Weight in the Past 3 - 6 Months]])))</f>
        <v/>
      </c>
      <c r="J33"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3" s="130"/>
      <c r="L33" s="131"/>
      <c r="M33"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3" s="64" t="str">
        <f>IF(Sep[[#This Row],[Name]]="","",IF(Sep[[#This Row],[September MUST Score ]]=0,"Low",IF(Sep[[#This Row],[September MUST Score ]]=1,"Medium","High")))</f>
        <v/>
      </c>
      <c r="O33" s="10"/>
      <c r="P33" s="70"/>
      <c r="Q33" s="12"/>
      <c r="R33" s="17"/>
      <c r="S33" s="10"/>
      <c r="T33" s="17"/>
      <c r="U33" s="70"/>
      <c r="V33" s="11"/>
      <c r="W33" s="94"/>
      <c r="X33" s="12"/>
      <c r="Y33" s="11"/>
    </row>
    <row r="34" spans="2:25" x14ac:dyDescent="0.25">
      <c r="B34" s="12"/>
      <c r="C34" s="129"/>
      <c r="D34" s="94"/>
      <c r="E34" s="58" t="str">
        <f>IF(Sep[[#This Row],[Name]]="","",Sep[[#This Row],[September Weight (kg)]]/(VLOOKUP(Sep[[#This Row],[Name]],Overview[],2,FALSE)/100)^2)</f>
        <v/>
      </c>
      <c r="F34" s="58" t="str">
        <f>IF(Sep[[#This Row],[Name]]="","",IF(VLOOKUP(Sep[[#This Row],[Name]],Overview[],16,FALSE)="","N/A",Sep[[#This Row],[September Weight (kg)]]-VLOOKUP(Sep[[#This Row],[Name]],Overview[],16,FALSE)))</f>
        <v/>
      </c>
      <c r="G34" s="175" t="str">
        <f>IF(Sep[[#This Row],[Name]]="","",IF(VLOOKUP(Sep[[#This Row],[Name]],Overview[],16,FALSE)="","N/A",(Sep[[#This Row],[September Weight (kg)]]-VLOOKUP(Sep[[#This Row],[Name]],Overview[],16,FALSE))/VLOOKUP(Sep[[#This Row],[Name]],Overview[],16,FALSE)))</f>
        <v/>
      </c>
      <c r="H34" s="61" t="str" cm="1">
        <f t="array" ref="H34">IF(Sep[[#This Row],[Name]]="","",IF(SUMPRODUCT((Overview[Name]=Sep[[#This Row],[Name]])*ISNUMBER(Overview[[March 
Weight (kg)]:[June 
Weight (kg)]]))=0,"N/A",MAX(IF((Overview[Name]=Sep[[#This Row],[Name]])*ISNUMBER(Overview[[March 
Weight (kg)]:[June 
Weight (kg)]]),Overview[[March 
Weight (kg)]:[June 
Weight (kg)]]))))</f>
        <v/>
      </c>
      <c r="I34" s="57" t="str">
        <f>IF(Sep[[#This Row],[Name]]="","",IF(NOT(ISNUMBER(Sep[[#This Row],[Highest Weight in the Past 3 - 6 Months]])),"N/A",IF(Sep[[#This Row],[September Weight (kg)]]=Sep[[#This Row],[Highest Weight in the Past 3 - 6 Months]],0,Sep[[#This Row],[September Weight (kg)]]-Sep[[#This Row],[Highest Weight in the Past 3 - 6 Months]])))</f>
        <v/>
      </c>
      <c r="J34"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4" s="130"/>
      <c r="L34" s="131"/>
      <c r="M34"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4" s="64" t="str">
        <f>IF(Sep[[#This Row],[Name]]="","",IF(Sep[[#This Row],[September MUST Score ]]=0,"Low",IF(Sep[[#This Row],[September MUST Score ]]=1,"Medium","High")))</f>
        <v/>
      </c>
      <c r="O34" s="10"/>
      <c r="P34" s="70"/>
      <c r="Q34" s="12"/>
      <c r="R34" s="17"/>
      <c r="S34" s="10"/>
      <c r="T34" s="17"/>
      <c r="U34" s="70"/>
      <c r="V34" s="11"/>
      <c r="W34" s="94"/>
      <c r="X34" s="12"/>
      <c r="Y34" s="11"/>
    </row>
    <row r="35" spans="2:25" x14ac:dyDescent="0.25">
      <c r="B35" s="12"/>
      <c r="C35" s="129"/>
      <c r="D35" s="94"/>
      <c r="E35" s="58" t="str">
        <f>IF(Sep[[#This Row],[Name]]="","",Sep[[#This Row],[September Weight (kg)]]/(VLOOKUP(Sep[[#This Row],[Name]],Overview[],2,FALSE)/100)^2)</f>
        <v/>
      </c>
      <c r="F35" s="58" t="str">
        <f>IF(Sep[[#This Row],[Name]]="","",IF(VLOOKUP(Sep[[#This Row],[Name]],Overview[],16,FALSE)="","N/A",Sep[[#This Row],[September Weight (kg)]]-VLOOKUP(Sep[[#This Row],[Name]],Overview[],16,FALSE)))</f>
        <v/>
      </c>
      <c r="G35" s="175" t="str">
        <f>IF(Sep[[#This Row],[Name]]="","",IF(VLOOKUP(Sep[[#This Row],[Name]],Overview[],16,FALSE)="","N/A",(Sep[[#This Row],[September Weight (kg)]]-VLOOKUP(Sep[[#This Row],[Name]],Overview[],16,FALSE))/VLOOKUP(Sep[[#This Row],[Name]],Overview[],16,FALSE)))</f>
        <v/>
      </c>
      <c r="H35" s="61" t="str" cm="1">
        <f t="array" ref="H35">IF(Sep[[#This Row],[Name]]="","",IF(SUMPRODUCT((Overview[Name]=Sep[[#This Row],[Name]])*ISNUMBER(Overview[[March 
Weight (kg)]:[June 
Weight (kg)]]))=0,"N/A",MAX(IF((Overview[Name]=Sep[[#This Row],[Name]])*ISNUMBER(Overview[[March 
Weight (kg)]:[June 
Weight (kg)]]),Overview[[March 
Weight (kg)]:[June 
Weight (kg)]]))))</f>
        <v/>
      </c>
      <c r="I35" s="57" t="str">
        <f>IF(Sep[[#This Row],[Name]]="","",IF(NOT(ISNUMBER(Sep[[#This Row],[Highest Weight in the Past 3 - 6 Months]])),"N/A",IF(Sep[[#This Row],[September Weight (kg)]]=Sep[[#This Row],[Highest Weight in the Past 3 - 6 Months]],0,Sep[[#This Row],[September Weight (kg)]]-Sep[[#This Row],[Highest Weight in the Past 3 - 6 Months]])))</f>
        <v/>
      </c>
      <c r="J35"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5" s="130"/>
      <c r="L35" s="131"/>
      <c r="M35"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5" s="64" t="str">
        <f>IF(Sep[[#This Row],[Name]]="","",IF(Sep[[#This Row],[September MUST Score ]]=0,"Low",IF(Sep[[#This Row],[September MUST Score ]]=1,"Medium","High")))</f>
        <v/>
      </c>
      <c r="O35" s="10"/>
      <c r="P35" s="70"/>
      <c r="Q35" s="12"/>
      <c r="R35" s="17"/>
      <c r="S35" s="10"/>
      <c r="T35" s="17"/>
      <c r="U35" s="70"/>
      <c r="V35" s="11"/>
      <c r="W35" s="94"/>
      <c r="X35" s="12"/>
      <c r="Y35" s="11"/>
    </row>
    <row r="36" spans="2:25" x14ac:dyDescent="0.25">
      <c r="B36" s="12"/>
      <c r="C36" s="129"/>
      <c r="D36" s="94"/>
      <c r="E36" s="58" t="str">
        <f>IF(Sep[[#This Row],[Name]]="","",Sep[[#This Row],[September Weight (kg)]]/(VLOOKUP(Sep[[#This Row],[Name]],Overview[],2,FALSE)/100)^2)</f>
        <v/>
      </c>
      <c r="F36" s="58" t="str">
        <f>IF(Sep[[#This Row],[Name]]="","",IF(VLOOKUP(Sep[[#This Row],[Name]],Overview[],16,FALSE)="","N/A",Sep[[#This Row],[September Weight (kg)]]-VLOOKUP(Sep[[#This Row],[Name]],Overview[],16,FALSE)))</f>
        <v/>
      </c>
      <c r="G36" s="175" t="str">
        <f>IF(Sep[[#This Row],[Name]]="","",IF(VLOOKUP(Sep[[#This Row],[Name]],Overview[],16,FALSE)="","N/A",(Sep[[#This Row],[September Weight (kg)]]-VLOOKUP(Sep[[#This Row],[Name]],Overview[],16,FALSE))/VLOOKUP(Sep[[#This Row],[Name]],Overview[],16,FALSE)))</f>
        <v/>
      </c>
      <c r="H36" s="61" t="str" cm="1">
        <f t="array" ref="H36">IF(Sep[[#This Row],[Name]]="","",IF(SUMPRODUCT((Overview[Name]=Sep[[#This Row],[Name]])*ISNUMBER(Overview[[March 
Weight (kg)]:[June 
Weight (kg)]]))=0,"N/A",MAX(IF((Overview[Name]=Sep[[#This Row],[Name]])*ISNUMBER(Overview[[March 
Weight (kg)]:[June 
Weight (kg)]]),Overview[[March 
Weight (kg)]:[June 
Weight (kg)]]))))</f>
        <v/>
      </c>
      <c r="I36" s="57" t="str">
        <f>IF(Sep[[#This Row],[Name]]="","",IF(NOT(ISNUMBER(Sep[[#This Row],[Highest Weight in the Past 3 - 6 Months]])),"N/A",IF(Sep[[#This Row],[September Weight (kg)]]=Sep[[#This Row],[Highest Weight in the Past 3 - 6 Months]],0,Sep[[#This Row],[September Weight (kg)]]-Sep[[#This Row],[Highest Weight in the Past 3 - 6 Months]])))</f>
        <v/>
      </c>
      <c r="J36"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6" s="130"/>
      <c r="L36" s="131"/>
      <c r="M36"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6" s="64" t="str">
        <f>IF(Sep[[#This Row],[Name]]="","",IF(Sep[[#This Row],[September MUST Score ]]=0,"Low",IF(Sep[[#This Row],[September MUST Score ]]=1,"Medium","High")))</f>
        <v/>
      </c>
      <c r="O36" s="10"/>
      <c r="P36" s="70"/>
      <c r="Q36" s="12"/>
      <c r="R36" s="17"/>
      <c r="S36" s="10"/>
      <c r="T36" s="17"/>
      <c r="U36" s="70"/>
      <c r="V36" s="11"/>
      <c r="W36" s="94"/>
      <c r="X36" s="12"/>
      <c r="Y36" s="11"/>
    </row>
    <row r="37" spans="2:25" x14ac:dyDescent="0.25">
      <c r="B37" s="12"/>
      <c r="C37" s="129"/>
      <c r="D37" s="94"/>
      <c r="E37" s="58" t="str">
        <f>IF(Sep[[#This Row],[Name]]="","",Sep[[#This Row],[September Weight (kg)]]/(VLOOKUP(Sep[[#This Row],[Name]],Overview[],2,FALSE)/100)^2)</f>
        <v/>
      </c>
      <c r="F37" s="58" t="str">
        <f>IF(Sep[[#This Row],[Name]]="","",IF(VLOOKUP(Sep[[#This Row],[Name]],Overview[],16,FALSE)="","N/A",Sep[[#This Row],[September Weight (kg)]]-VLOOKUP(Sep[[#This Row],[Name]],Overview[],16,FALSE)))</f>
        <v/>
      </c>
      <c r="G37" s="175" t="str">
        <f>IF(Sep[[#This Row],[Name]]="","",IF(VLOOKUP(Sep[[#This Row],[Name]],Overview[],16,FALSE)="","N/A",(Sep[[#This Row],[September Weight (kg)]]-VLOOKUP(Sep[[#This Row],[Name]],Overview[],16,FALSE))/VLOOKUP(Sep[[#This Row],[Name]],Overview[],16,FALSE)))</f>
        <v/>
      </c>
      <c r="H37" s="61" t="str" cm="1">
        <f t="array" ref="H37">IF(Sep[[#This Row],[Name]]="","",IF(SUMPRODUCT((Overview[Name]=Sep[[#This Row],[Name]])*ISNUMBER(Overview[[March 
Weight (kg)]:[June 
Weight (kg)]]))=0,"N/A",MAX(IF((Overview[Name]=Sep[[#This Row],[Name]])*ISNUMBER(Overview[[March 
Weight (kg)]:[June 
Weight (kg)]]),Overview[[March 
Weight (kg)]:[June 
Weight (kg)]]))))</f>
        <v/>
      </c>
      <c r="I37" s="57" t="str">
        <f>IF(Sep[[#This Row],[Name]]="","",IF(NOT(ISNUMBER(Sep[[#This Row],[Highest Weight in the Past 3 - 6 Months]])),"N/A",IF(Sep[[#This Row],[September Weight (kg)]]=Sep[[#This Row],[Highest Weight in the Past 3 - 6 Months]],0,Sep[[#This Row],[September Weight (kg)]]-Sep[[#This Row],[Highest Weight in the Past 3 - 6 Months]])))</f>
        <v/>
      </c>
      <c r="J37"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7" s="130"/>
      <c r="L37" s="131"/>
      <c r="M37"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7" s="64" t="str">
        <f>IF(Sep[[#This Row],[Name]]="","",IF(Sep[[#This Row],[September MUST Score ]]=0,"Low",IF(Sep[[#This Row],[September MUST Score ]]=1,"Medium","High")))</f>
        <v/>
      </c>
      <c r="O37" s="10"/>
      <c r="P37" s="70"/>
      <c r="Q37" s="12"/>
      <c r="R37" s="17"/>
      <c r="S37" s="10"/>
      <c r="T37" s="17"/>
      <c r="U37" s="70"/>
      <c r="V37" s="11"/>
      <c r="W37" s="94"/>
      <c r="X37" s="12"/>
      <c r="Y37" s="11"/>
    </row>
    <row r="38" spans="2:25" x14ac:dyDescent="0.25">
      <c r="B38" s="12"/>
      <c r="C38" s="129"/>
      <c r="D38" s="94"/>
      <c r="E38" s="58" t="str">
        <f>IF(Sep[[#This Row],[Name]]="","",Sep[[#This Row],[September Weight (kg)]]/(VLOOKUP(Sep[[#This Row],[Name]],Overview[],2,FALSE)/100)^2)</f>
        <v/>
      </c>
      <c r="F38" s="58" t="str">
        <f>IF(Sep[[#This Row],[Name]]="","",IF(VLOOKUP(Sep[[#This Row],[Name]],Overview[],16,FALSE)="","N/A",Sep[[#This Row],[September Weight (kg)]]-VLOOKUP(Sep[[#This Row],[Name]],Overview[],16,FALSE)))</f>
        <v/>
      </c>
      <c r="G38" s="175" t="str">
        <f>IF(Sep[[#This Row],[Name]]="","",IF(VLOOKUP(Sep[[#This Row],[Name]],Overview[],16,FALSE)="","N/A",(Sep[[#This Row],[September Weight (kg)]]-VLOOKUP(Sep[[#This Row],[Name]],Overview[],16,FALSE))/VLOOKUP(Sep[[#This Row],[Name]],Overview[],16,FALSE)))</f>
        <v/>
      </c>
      <c r="H38" s="61" t="str" cm="1">
        <f t="array" ref="H38">IF(Sep[[#This Row],[Name]]="","",IF(SUMPRODUCT((Overview[Name]=Sep[[#This Row],[Name]])*ISNUMBER(Overview[[March 
Weight (kg)]:[June 
Weight (kg)]]))=0,"N/A",MAX(IF((Overview[Name]=Sep[[#This Row],[Name]])*ISNUMBER(Overview[[March 
Weight (kg)]:[June 
Weight (kg)]]),Overview[[March 
Weight (kg)]:[June 
Weight (kg)]]))))</f>
        <v/>
      </c>
      <c r="I38" s="57" t="str">
        <f>IF(Sep[[#This Row],[Name]]="","",IF(NOT(ISNUMBER(Sep[[#This Row],[Highest Weight in the Past 3 - 6 Months]])),"N/A",IF(Sep[[#This Row],[September Weight (kg)]]=Sep[[#This Row],[Highest Weight in the Past 3 - 6 Months]],0,Sep[[#This Row],[September Weight (kg)]]-Sep[[#This Row],[Highest Weight in the Past 3 - 6 Months]])))</f>
        <v/>
      </c>
      <c r="J38"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8" s="130"/>
      <c r="L38" s="131"/>
      <c r="M38"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8" s="64" t="str">
        <f>IF(Sep[[#This Row],[Name]]="","",IF(Sep[[#This Row],[September MUST Score ]]=0,"Low",IF(Sep[[#This Row],[September MUST Score ]]=1,"Medium","High")))</f>
        <v/>
      </c>
      <c r="O38" s="10"/>
      <c r="P38" s="70"/>
      <c r="Q38" s="12"/>
      <c r="R38" s="17"/>
      <c r="S38" s="10"/>
      <c r="T38" s="17"/>
      <c r="U38" s="70"/>
      <c r="V38" s="11"/>
      <c r="W38" s="94"/>
      <c r="X38" s="12"/>
      <c r="Y38" s="11"/>
    </row>
    <row r="39" spans="2:25" x14ac:dyDescent="0.25">
      <c r="B39" s="12"/>
      <c r="C39" s="129"/>
      <c r="D39" s="94"/>
      <c r="E39" s="58" t="str">
        <f>IF(Sep[[#This Row],[Name]]="","",Sep[[#This Row],[September Weight (kg)]]/(VLOOKUP(Sep[[#This Row],[Name]],Overview[],2,FALSE)/100)^2)</f>
        <v/>
      </c>
      <c r="F39" s="58" t="str">
        <f>IF(Sep[[#This Row],[Name]]="","",IF(VLOOKUP(Sep[[#This Row],[Name]],Overview[],16,FALSE)="","N/A",Sep[[#This Row],[September Weight (kg)]]-VLOOKUP(Sep[[#This Row],[Name]],Overview[],16,FALSE)))</f>
        <v/>
      </c>
      <c r="G39" s="175" t="str">
        <f>IF(Sep[[#This Row],[Name]]="","",IF(VLOOKUP(Sep[[#This Row],[Name]],Overview[],16,FALSE)="","N/A",(Sep[[#This Row],[September Weight (kg)]]-VLOOKUP(Sep[[#This Row],[Name]],Overview[],16,FALSE))/VLOOKUP(Sep[[#This Row],[Name]],Overview[],16,FALSE)))</f>
        <v/>
      </c>
      <c r="H39" s="61" t="str" cm="1">
        <f t="array" ref="H39">IF(Sep[[#This Row],[Name]]="","",IF(SUMPRODUCT((Overview[Name]=Sep[[#This Row],[Name]])*ISNUMBER(Overview[[March 
Weight (kg)]:[June 
Weight (kg)]]))=0,"N/A",MAX(IF((Overview[Name]=Sep[[#This Row],[Name]])*ISNUMBER(Overview[[March 
Weight (kg)]:[June 
Weight (kg)]]),Overview[[March 
Weight (kg)]:[June 
Weight (kg)]]))))</f>
        <v/>
      </c>
      <c r="I39" s="57" t="str">
        <f>IF(Sep[[#This Row],[Name]]="","",IF(NOT(ISNUMBER(Sep[[#This Row],[Highest Weight in the Past 3 - 6 Months]])),"N/A",IF(Sep[[#This Row],[September Weight (kg)]]=Sep[[#This Row],[Highest Weight in the Past 3 - 6 Months]],0,Sep[[#This Row],[September Weight (kg)]]-Sep[[#This Row],[Highest Weight in the Past 3 - 6 Months]])))</f>
        <v/>
      </c>
      <c r="J39"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39" s="130"/>
      <c r="L39" s="131"/>
      <c r="M39"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39" s="64" t="str">
        <f>IF(Sep[[#This Row],[Name]]="","",IF(Sep[[#This Row],[September MUST Score ]]=0,"Low",IF(Sep[[#This Row],[September MUST Score ]]=1,"Medium","High")))</f>
        <v/>
      </c>
      <c r="O39" s="10"/>
      <c r="P39" s="70"/>
      <c r="Q39" s="12"/>
      <c r="R39" s="17"/>
      <c r="S39" s="10"/>
      <c r="T39" s="17"/>
      <c r="U39" s="70"/>
      <c r="V39" s="11"/>
      <c r="W39" s="94"/>
      <c r="X39" s="12"/>
      <c r="Y39" s="11"/>
    </row>
    <row r="40" spans="2:25" x14ac:dyDescent="0.25">
      <c r="B40" s="12"/>
      <c r="C40" s="129"/>
      <c r="D40" s="94"/>
      <c r="E40" s="58" t="str">
        <f>IF(Sep[[#This Row],[Name]]="","",Sep[[#This Row],[September Weight (kg)]]/(VLOOKUP(Sep[[#This Row],[Name]],Overview[],2,FALSE)/100)^2)</f>
        <v/>
      </c>
      <c r="F40" s="58" t="str">
        <f>IF(Sep[[#This Row],[Name]]="","",IF(VLOOKUP(Sep[[#This Row],[Name]],Overview[],16,FALSE)="","N/A",Sep[[#This Row],[September Weight (kg)]]-VLOOKUP(Sep[[#This Row],[Name]],Overview[],16,FALSE)))</f>
        <v/>
      </c>
      <c r="G40" s="175" t="str">
        <f>IF(Sep[[#This Row],[Name]]="","",IF(VLOOKUP(Sep[[#This Row],[Name]],Overview[],16,FALSE)="","N/A",(Sep[[#This Row],[September Weight (kg)]]-VLOOKUP(Sep[[#This Row],[Name]],Overview[],16,FALSE))/VLOOKUP(Sep[[#This Row],[Name]],Overview[],16,FALSE)))</f>
        <v/>
      </c>
      <c r="H40" s="61" t="str" cm="1">
        <f t="array" ref="H40">IF(Sep[[#This Row],[Name]]="","",IF(SUMPRODUCT((Overview[Name]=Sep[[#This Row],[Name]])*ISNUMBER(Overview[[March 
Weight (kg)]:[June 
Weight (kg)]]))=0,"N/A",MAX(IF((Overview[Name]=Sep[[#This Row],[Name]])*ISNUMBER(Overview[[March 
Weight (kg)]:[June 
Weight (kg)]]),Overview[[March 
Weight (kg)]:[June 
Weight (kg)]]))))</f>
        <v/>
      </c>
      <c r="I40" s="57" t="str">
        <f>IF(Sep[[#This Row],[Name]]="","",IF(NOT(ISNUMBER(Sep[[#This Row],[Highest Weight in the Past 3 - 6 Months]])),"N/A",IF(Sep[[#This Row],[September Weight (kg)]]=Sep[[#This Row],[Highest Weight in the Past 3 - 6 Months]],0,Sep[[#This Row],[September Weight (kg)]]-Sep[[#This Row],[Highest Weight in the Past 3 - 6 Months]])))</f>
        <v/>
      </c>
      <c r="J40"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40" s="130"/>
      <c r="L40" s="131"/>
      <c r="M40"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40" s="64" t="str">
        <f>IF(Sep[[#This Row],[Name]]="","",IF(Sep[[#This Row],[September MUST Score ]]=0,"Low",IF(Sep[[#This Row],[September MUST Score ]]=1,"Medium","High")))</f>
        <v/>
      </c>
      <c r="O40" s="10"/>
      <c r="P40" s="70"/>
      <c r="Q40" s="12"/>
      <c r="R40" s="17"/>
      <c r="S40" s="10"/>
      <c r="T40" s="17"/>
      <c r="U40" s="70"/>
      <c r="V40" s="11"/>
      <c r="W40" s="94"/>
      <c r="X40" s="12"/>
      <c r="Y40" s="11"/>
    </row>
    <row r="41" spans="2:25" x14ac:dyDescent="0.25">
      <c r="B41" s="12"/>
      <c r="C41" s="129"/>
      <c r="D41" s="94"/>
      <c r="E41" s="58" t="str">
        <f>IF(Sep[[#This Row],[Name]]="","",Sep[[#This Row],[September Weight (kg)]]/(VLOOKUP(Sep[[#This Row],[Name]],Overview[],2,FALSE)/100)^2)</f>
        <v/>
      </c>
      <c r="F41" s="58" t="str">
        <f>IF(Sep[[#This Row],[Name]]="","",IF(VLOOKUP(Sep[[#This Row],[Name]],Overview[],16,FALSE)="","N/A",Sep[[#This Row],[September Weight (kg)]]-VLOOKUP(Sep[[#This Row],[Name]],Overview[],16,FALSE)))</f>
        <v/>
      </c>
      <c r="G41" s="175" t="str">
        <f>IF(Sep[[#This Row],[Name]]="","",IF(VLOOKUP(Sep[[#This Row],[Name]],Overview[],16,FALSE)="","N/A",(Sep[[#This Row],[September Weight (kg)]]-VLOOKUP(Sep[[#This Row],[Name]],Overview[],16,FALSE))/VLOOKUP(Sep[[#This Row],[Name]],Overview[],16,FALSE)))</f>
        <v/>
      </c>
      <c r="H41" s="61" t="str" cm="1">
        <f t="array" ref="H41">IF(Sep[[#This Row],[Name]]="","",IF(SUMPRODUCT((Overview[Name]=Sep[[#This Row],[Name]])*ISNUMBER(Overview[[March 
Weight (kg)]:[June 
Weight (kg)]]))=0,"N/A",MAX(IF((Overview[Name]=Sep[[#This Row],[Name]])*ISNUMBER(Overview[[March 
Weight (kg)]:[June 
Weight (kg)]]),Overview[[March 
Weight (kg)]:[June 
Weight (kg)]]))))</f>
        <v/>
      </c>
      <c r="I41" s="57" t="str">
        <f>IF(Sep[[#This Row],[Name]]="","",IF(NOT(ISNUMBER(Sep[[#This Row],[Highest Weight in the Past 3 - 6 Months]])),"N/A",IF(Sep[[#This Row],[September Weight (kg)]]=Sep[[#This Row],[Highest Weight in the Past 3 - 6 Months]],0,Sep[[#This Row],[September Weight (kg)]]-Sep[[#This Row],[Highest Weight in the Past 3 - 6 Months]])))</f>
        <v/>
      </c>
      <c r="J41"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41" s="130"/>
      <c r="L41" s="131"/>
      <c r="M41" s="76"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41" s="64" t="str">
        <f>IF(Sep[[#This Row],[Name]]="","",IF(Sep[[#This Row],[September MUST Score ]]=0,"Low",IF(Sep[[#This Row],[September MUST Score ]]=1,"Medium","High")))</f>
        <v/>
      </c>
      <c r="O41" s="10"/>
      <c r="P41" s="70"/>
      <c r="Q41" s="12"/>
      <c r="R41" s="17"/>
      <c r="S41" s="10"/>
      <c r="T41" s="17"/>
      <c r="U41" s="70"/>
      <c r="V41" s="11"/>
      <c r="W41" s="94"/>
      <c r="X41" s="12"/>
      <c r="Y41" s="11"/>
    </row>
    <row r="42" spans="2:25" ht="15.75" thickBot="1" x14ac:dyDescent="0.3">
      <c r="B42" s="18"/>
      <c r="C42" s="132"/>
      <c r="D42" s="95"/>
      <c r="E42" s="60" t="str">
        <f>IF(Sep[[#This Row],[Name]]="","",Sep[[#This Row],[September Weight (kg)]]/(VLOOKUP(Sep[[#This Row],[Name]],Overview[],2,FALSE)/100)^2)</f>
        <v/>
      </c>
      <c r="F42" s="60" t="str">
        <f>IF(Sep[[#This Row],[Name]]="","",IF(VLOOKUP(Sep[[#This Row],[Name]],Overview[],16,FALSE)="","N/A",Sep[[#This Row],[September Weight (kg)]]-VLOOKUP(Sep[[#This Row],[Name]],Overview[],16,FALSE)))</f>
        <v/>
      </c>
      <c r="G42" s="176" t="str">
        <f>IF(Sep[[#This Row],[Name]]="","",IF(VLOOKUP(Sep[[#This Row],[Name]],Overview[],16,FALSE)="","N/A",(Sep[[#This Row],[September Weight (kg)]]-VLOOKUP(Sep[[#This Row],[Name]],Overview[],16,FALSE))/VLOOKUP(Sep[[#This Row],[Name]],Overview[],16,FALSE)))</f>
        <v/>
      </c>
      <c r="H42" s="61" t="str" cm="1">
        <f t="array" ref="H42">IF(Sep[[#This Row],[Name]]="","",IF(SUMPRODUCT((Overview[Name]=Sep[[#This Row],[Name]])*ISNUMBER(Overview[[March 
Weight (kg)]:[June 
Weight (kg)]]))=0,"N/A",MAX(IF((Overview[Name]=Sep[[#This Row],[Name]])*ISNUMBER(Overview[[March 
Weight (kg)]:[June 
Weight (kg)]]),Overview[[March 
Weight (kg)]:[June 
Weight (kg)]]))))</f>
        <v/>
      </c>
      <c r="I42" s="57" t="str">
        <f>IF(Sep[[#This Row],[Name]]="","",IF(NOT(ISNUMBER(Sep[[#This Row],[Highest Weight in the Past 3 - 6 Months]])),"N/A",IF(Sep[[#This Row],[September Weight (kg)]]=Sep[[#This Row],[Highest Weight in the Past 3 - 6 Months]],0,Sep[[#This Row],[September Weight (kg)]]-Sep[[#This Row],[Highest Weight in the Past 3 - 6 Months]])))</f>
        <v/>
      </c>
      <c r="J42" s="179" t="str">
        <f>IF(Sep[[#This Row],[Name]]="","",IF(OR(Sep[[#This Row],[Highest Weight in the Past 3 - 6 Months]]="",Sep[[#This Row],[Highest Weight in the Past 3 - 6 Months]]="N/A"),"N/A",IFERROR(Sep[[#This Row],[Weight (kg) Difference from Highest Weight in Past 3 - 6 Months (Current Month - Highest Month)]]/Sep[[#This Row],[Highest Weight in the Past 3 - 6 Months]],"N/A")))</f>
        <v/>
      </c>
      <c r="K42" s="133"/>
      <c r="L42" s="134"/>
      <c r="M42" s="77" t="str">
        <f>IF(Sep[[#This Row],[Name]]="","",IFERROR(IF(Sep[[#This Row],[September BMI (kg/m2)]]&gt;20,0,IF(Sep[[#This Row],[September BMI (kg/m2)]]&gt;=18.5,1,2))+IF(Sep[[#This Row],[If Weight has been lost, is this Planned? (Yes/No)]]="Yes",0,IF(Sep[[#This Row],[Weight (kg) Difference from Highest Weight in 3 - 6 months as %]]&gt;-0.05,0,IF(Sep[[#This Row],[Weight (kg) Difference from Highest Weight in 3 - 6 months as %]]&gt;=-0.1,1,2))),""))</f>
        <v/>
      </c>
      <c r="N42" s="64" t="str">
        <f>IF(Sep[[#This Row],[Name]]="","",IF(Sep[[#This Row],[September MUST Score ]]=0,"Low",IF(Sep[[#This Row],[September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34" priority="6" operator="greaterThanOrEqual">
      <formula>2</formula>
    </cfRule>
    <cfRule type="cellIs" dxfId="33" priority="7" operator="equal">
      <formula>1</formula>
    </cfRule>
    <cfRule type="cellIs" dxfId="32" priority="8" operator="equal">
      <formula>0</formula>
    </cfRule>
  </conditionalFormatting>
  <conditionalFormatting sqref="N8:N42">
    <cfRule type="containsText" dxfId="31" priority="2" operator="containsText" text="High">
      <formula>NOT(ISERROR(SEARCH("High",N8)))</formula>
    </cfRule>
    <cfRule type="containsText" dxfId="30" priority="3" operator="containsText" text="Medium">
      <formula>NOT(ISERROR(SEARCH("Medium",N8)))</formula>
    </cfRule>
    <cfRule type="containsText" dxfId="29" priority="4" operator="containsText" text="Low">
      <formula>NOT(ISERROR(SEARCH("Low",N8)))</formula>
    </cfRule>
  </conditionalFormatting>
  <conditionalFormatting sqref="W8:X42">
    <cfRule type="containsText" dxfId="28"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1AAFE8C4-F93C-4939-85C8-1660AA1C5A99}">
          <x14:formula1>
            <xm:f>Validation!$A$2:$A$3</xm:f>
          </x14:formula1>
          <xm:sqref>O8:O42 K8:L42 W8:W42 Q8:Q42 S8:S42</xm:sqref>
        </x14:dataValidation>
        <x14:dataValidation type="list" allowBlank="1" showInputMessage="1" showErrorMessage="1" xr:uid="{9FBDC8EC-E517-4E1E-B9AA-0CB80C6D7B91}">
          <x14:formula1>
            <xm:f>'Weight Overview'!$B$4:$B$38</xm:f>
          </x14:formula1>
          <xm:sqref>B8:B42</xm:sqref>
        </x14:dataValidation>
        <x14:dataValidation type="list" allowBlank="1" showInputMessage="1" showErrorMessage="1" xr:uid="{6EC945AF-F41C-40E7-909B-8B47376F3414}">
          <x14:formula1>
            <xm:f>Validation!$A$27:$A$31</xm:f>
          </x14:formula1>
          <xm:sqref>U8:U42</xm:sqref>
        </x14:dataValidation>
        <x14:dataValidation type="list" allowBlank="1" showInputMessage="1" showErrorMessage="1" xr:uid="{82DC9799-83B2-4CF5-BB46-4D0C20C9A975}">
          <x14:formula1>
            <xm:f>Validation!$A$33:$A$37</xm:f>
          </x14:formula1>
          <xm:sqref>V8:V42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40FD-B847-4803-BAC4-C624B3CA8DD0}">
  <sheetPr>
    <tabColor theme="5"/>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05" t="s">
        <v>1</v>
      </c>
      <c r="C4" s="90" t="s">
        <v>5</v>
      </c>
      <c r="D4" s="106" t="s">
        <v>2</v>
      </c>
      <c r="E4" s="88" t="s">
        <v>3</v>
      </c>
      <c r="Y4" s="62"/>
      <c r="Z4" s="2"/>
    </row>
    <row r="5" spans="2:26" ht="15.75" thickBot="1" x14ac:dyDescent="0.3">
      <c r="B5" s="74"/>
      <c r="C5" s="73"/>
      <c r="D5" s="73"/>
      <c r="E5" s="65"/>
      <c r="P5" s="81"/>
      <c r="W5" s="74"/>
      <c r="X5" s="62"/>
      <c r="Y5" s="62"/>
      <c r="Z5" s="2"/>
    </row>
    <row r="6" spans="2:26" ht="15.75" thickBot="1" x14ac:dyDescent="0.3">
      <c r="C6" s="316" t="s">
        <v>85</v>
      </c>
      <c r="D6" s="317"/>
      <c r="E6" s="317"/>
      <c r="F6" s="317"/>
      <c r="G6" s="318"/>
      <c r="H6" s="304" t="s">
        <v>68</v>
      </c>
      <c r="I6" s="305"/>
      <c r="J6" s="305"/>
      <c r="K6" s="306"/>
      <c r="L6" s="316" t="s">
        <v>69</v>
      </c>
      <c r="M6" s="317"/>
      <c r="N6" s="318"/>
      <c r="O6" s="304" t="s">
        <v>83</v>
      </c>
      <c r="P6" s="305"/>
      <c r="Q6" s="305"/>
      <c r="R6" s="305"/>
      <c r="S6" s="316" t="s">
        <v>84</v>
      </c>
      <c r="T6" s="317"/>
      <c r="U6" s="317"/>
      <c r="V6" s="318"/>
      <c r="Y6" s="63"/>
    </row>
    <row r="7" spans="2:26" ht="105.75" thickBot="1" x14ac:dyDescent="0.3">
      <c r="B7" s="107" t="s">
        <v>0</v>
      </c>
      <c r="C7" s="49" t="s">
        <v>102</v>
      </c>
      <c r="D7" s="52" t="s">
        <v>192</v>
      </c>
      <c r="E7" s="50" t="s">
        <v>158</v>
      </c>
      <c r="F7" s="50" t="s">
        <v>159</v>
      </c>
      <c r="G7" s="51" t="s">
        <v>160</v>
      </c>
      <c r="H7" s="71" t="s">
        <v>72</v>
      </c>
      <c r="I7" s="72" t="s">
        <v>70</v>
      </c>
      <c r="J7" s="67" t="s">
        <v>71</v>
      </c>
      <c r="K7" s="80" t="s">
        <v>64</v>
      </c>
      <c r="L7" s="107" t="s">
        <v>67</v>
      </c>
      <c r="M7" s="50" t="s">
        <v>161</v>
      </c>
      <c r="N7" s="51" t="s">
        <v>162</v>
      </c>
      <c r="O7" s="71" t="s">
        <v>65</v>
      </c>
      <c r="P7" s="68" t="s">
        <v>66</v>
      </c>
      <c r="Q7" s="92" t="s">
        <v>88</v>
      </c>
      <c r="R7" s="67" t="s">
        <v>86</v>
      </c>
      <c r="S7" s="49" t="s">
        <v>89</v>
      </c>
      <c r="T7" s="52" t="s">
        <v>87</v>
      </c>
      <c r="U7" s="52" t="s">
        <v>90</v>
      </c>
      <c r="V7" s="108" t="s">
        <v>91</v>
      </c>
      <c r="W7" s="68" t="s">
        <v>63</v>
      </c>
      <c r="X7" s="67" t="s">
        <v>59</v>
      </c>
      <c r="Y7" s="80" t="s">
        <v>18</v>
      </c>
    </row>
    <row r="8" spans="2:26" x14ac:dyDescent="0.25">
      <c r="B8" s="20"/>
      <c r="C8" s="125"/>
      <c r="D8" s="126"/>
      <c r="E8" s="57" t="str">
        <f>IF(Oct[[#This Row],[Name]]="","",Oct[[#This Row],[October Weight (kg)]]/(VLOOKUP(Oct[[#This Row],[Name]],Overview[],2,FALSE)/100)^2)</f>
        <v/>
      </c>
      <c r="F8" s="57" t="str">
        <f>IF(Oct[[#This Row],[Name]]="","",IF(VLOOKUP(Oct[[#This Row],[Name]],Overview[],17,FALSE)="","N/A",Oct[[#This Row],[October Weight (kg)]]-VLOOKUP(Oct[[#This Row],[Name]],Overview[],17,FALSE)))</f>
        <v/>
      </c>
      <c r="G8" s="174" t="str">
        <f>IF(Oct[[#This Row],[Name]]="","",IF(VLOOKUP(Oct[[#This Row],[Name]],Overview[],17,FALSE)="","N/A",(Oct[[#This Row],[October Weight (kg)]]-VLOOKUP(Oct[[#This Row],[Name]],Overview[],17,FALSE))/VLOOKUP(Oct[[#This Row],[Name]],Overview[],17,FALSE)))</f>
        <v/>
      </c>
      <c r="H8" s="61" t="str" cm="1">
        <f t="array" ref="H8">IF(Oct[[#This Row],[Name]]="","",IF(SUMPRODUCT((Overview[Name]=Oct[[#This Row],[Name]])*ISNUMBER(Overview[[April 
Weight (kg)]:[July 
Weight (kg) ]]))=0,"N/A",MAX(IF((Overview[Name]=Oct[[#This Row],[Name]])*ISNUMBER(Overview[[April 
Weight (kg)]:[July 
Weight (kg) ]]),Overview[[April 
Weight (kg)]:[July 
Weight (kg) ]]))))</f>
        <v/>
      </c>
      <c r="I8" s="57" t="str">
        <f>IF(Oct[[#This Row],[Name]]="","",IF(NOT(ISNUMBER(Oct[[#This Row],[Highest Weight in the Past 3 - 6 Months]])),"N/A",IF(Oct[[#This Row],[October Weight (kg)]]=Oct[[#This Row],[Highest Weight in the Past 3 - 6 Months]],0,Oct[[#This Row],[October Weight (kg)]]-Oct[[#This Row],[Highest Weight in the Past 3 - 6 Months]])))</f>
        <v/>
      </c>
      <c r="J8"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8" s="127"/>
      <c r="L8" s="128"/>
      <c r="M8" s="75"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8" s="64" t="str">
        <f>IF(Oct[[#This Row],[Name]]="","",IF(Oct[[#This Row],[October MUST Score ]]=0,"Low",IF(Oct[[#This Row],[October MUST Score ]]=1,"Medium","High")))</f>
        <v/>
      </c>
      <c r="O8" s="7"/>
      <c r="P8" s="69"/>
      <c r="Q8" s="20"/>
      <c r="R8" s="22"/>
      <c r="S8" s="44"/>
      <c r="T8" s="16"/>
      <c r="U8" s="69"/>
      <c r="V8" s="8"/>
      <c r="W8" s="93"/>
      <c r="X8" s="9"/>
      <c r="Y8" s="8"/>
    </row>
    <row r="9" spans="2:26" x14ac:dyDescent="0.25">
      <c r="B9" s="12"/>
      <c r="C9" s="129"/>
      <c r="D9" s="94"/>
      <c r="E9" s="58" t="str">
        <f>IF(Oct[[#This Row],[Name]]="","",Oct[[#This Row],[October Weight (kg)]]/(VLOOKUP(Oct[[#This Row],[Name]],Overview[],2,FALSE)/100)^2)</f>
        <v/>
      </c>
      <c r="F9" s="58" t="str">
        <f>IF(Oct[[#This Row],[Name]]="","",IF(VLOOKUP(Oct[[#This Row],[Name]],Overview[],17,FALSE)="","N/A",Oct[[#This Row],[October Weight (kg)]]-VLOOKUP(Oct[[#This Row],[Name]],Overview[],17,FALSE)))</f>
        <v/>
      </c>
      <c r="G9" s="175" t="str">
        <f>IF(Oct[[#This Row],[Name]]="","",IF(VLOOKUP(Oct[[#This Row],[Name]],Overview[],17,FALSE)="","N/A",(Oct[[#This Row],[October Weight (kg)]]-VLOOKUP(Oct[[#This Row],[Name]],Overview[],17,FALSE))/VLOOKUP(Oct[[#This Row],[Name]],Overview[],17,FALSE)))</f>
        <v/>
      </c>
      <c r="H9" s="61" t="str" cm="1">
        <f t="array" ref="H9">IF(Oct[[#This Row],[Name]]="","",IF(SUMPRODUCT((Overview[Name]=Oct[[#This Row],[Name]])*ISNUMBER(Overview[[April 
Weight (kg)]:[July 
Weight (kg) ]]))=0,"N/A",MAX(IF((Overview[Name]=Oct[[#This Row],[Name]])*ISNUMBER(Overview[[April 
Weight (kg)]:[July 
Weight (kg) ]]),Overview[[April 
Weight (kg)]:[July 
Weight (kg) ]]))))</f>
        <v/>
      </c>
      <c r="I9" s="57" t="str">
        <f>IF(Oct[[#This Row],[Name]]="","",IF(NOT(ISNUMBER(Oct[[#This Row],[Highest Weight in the Past 3 - 6 Months]])),"N/A",IF(Oct[[#This Row],[October Weight (kg)]]=Oct[[#This Row],[Highest Weight in the Past 3 - 6 Months]],0,Oct[[#This Row],[October Weight (kg)]]-Oct[[#This Row],[Highest Weight in the Past 3 - 6 Months]])))</f>
        <v/>
      </c>
      <c r="J9"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9" s="130"/>
      <c r="L9" s="131"/>
      <c r="M9"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9" s="64" t="str">
        <f>IF(Oct[[#This Row],[Name]]="","",IF(Oct[[#This Row],[October MUST Score ]]=0,"Low",IF(Oct[[#This Row],[October MUST Score ]]=1,"Medium","High")))</f>
        <v/>
      </c>
      <c r="O9" s="44"/>
      <c r="P9" s="66"/>
      <c r="Q9" s="20"/>
      <c r="R9" s="17"/>
      <c r="S9" s="44"/>
      <c r="T9" s="22"/>
      <c r="U9" s="66"/>
      <c r="V9" s="21"/>
      <c r="W9" s="94"/>
      <c r="X9" s="12"/>
      <c r="Y9" s="11"/>
    </row>
    <row r="10" spans="2:26" x14ac:dyDescent="0.25">
      <c r="B10" s="12"/>
      <c r="C10" s="129"/>
      <c r="D10" s="94"/>
      <c r="E10" s="58" t="str">
        <f>IF(Oct[[#This Row],[Name]]="","",Oct[[#This Row],[October Weight (kg)]]/(VLOOKUP(Oct[[#This Row],[Name]],Overview[],2,FALSE)/100)^2)</f>
        <v/>
      </c>
      <c r="F10" s="58" t="str">
        <f>IF(Oct[[#This Row],[Name]]="","",IF(VLOOKUP(Oct[[#This Row],[Name]],Overview[],17,FALSE)="","N/A",Oct[[#This Row],[October Weight (kg)]]-VLOOKUP(Oct[[#This Row],[Name]],Overview[],17,FALSE)))</f>
        <v/>
      </c>
      <c r="G10" s="175" t="str">
        <f>IF(Oct[[#This Row],[Name]]="","",IF(VLOOKUP(Oct[[#This Row],[Name]],Overview[],17,FALSE)="","N/A",(Oct[[#This Row],[October Weight (kg)]]-VLOOKUP(Oct[[#This Row],[Name]],Overview[],17,FALSE))/VLOOKUP(Oct[[#This Row],[Name]],Overview[],17,FALSE)))</f>
        <v/>
      </c>
      <c r="H10" s="61" t="str" cm="1">
        <f t="array" ref="H10">IF(Oct[[#This Row],[Name]]="","",IF(SUMPRODUCT((Overview[Name]=Oct[[#This Row],[Name]])*ISNUMBER(Overview[[April 
Weight (kg)]:[July 
Weight (kg) ]]))=0,"N/A",MAX(IF((Overview[Name]=Oct[[#This Row],[Name]])*ISNUMBER(Overview[[April 
Weight (kg)]:[July 
Weight (kg) ]]),Overview[[April 
Weight (kg)]:[July 
Weight (kg) ]]))))</f>
        <v/>
      </c>
      <c r="I10" s="57" t="str">
        <f>IF(Oct[[#This Row],[Name]]="","",IF(NOT(ISNUMBER(Oct[[#This Row],[Highest Weight in the Past 3 - 6 Months]])),"N/A",IF(Oct[[#This Row],[October Weight (kg)]]=Oct[[#This Row],[Highest Weight in the Past 3 - 6 Months]],0,Oct[[#This Row],[October Weight (kg)]]-Oct[[#This Row],[Highest Weight in the Past 3 - 6 Months]])))</f>
        <v/>
      </c>
      <c r="J10"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0" s="130"/>
      <c r="L10" s="131"/>
      <c r="M10"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0" s="64" t="str">
        <f>IF(Oct[[#This Row],[Name]]="","",IF(Oct[[#This Row],[October MUST Score ]]=0,"Low",IF(Oct[[#This Row],[October MUST Score ]]=1,"Medium","High")))</f>
        <v/>
      </c>
      <c r="O10" s="10"/>
      <c r="P10" s="70"/>
      <c r="Q10" s="12"/>
      <c r="R10" s="17"/>
      <c r="S10" s="10"/>
      <c r="T10" s="17"/>
      <c r="U10" s="70"/>
      <c r="V10" s="11"/>
      <c r="W10" s="94"/>
      <c r="X10" s="12"/>
      <c r="Y10" s="11"/>
    </row>
    <row r="11" spans="2:26" x14ac:dyDescent="0.25">
      <c r="B11" s="12"/>
      <c r="C11" s="129"/>
      <c r="D11" s="94"/>
      <c r="E11" s="58" t="str">
        <f>IF(Oct[[#This Row],[Name]]="","",Oct[[#This Row],[October Weight (kg)]]/(VLOOKUP(Oct[[#This Row],[Name]],Overview[],2,FALSE)/100)^2)</f>
        <v/>
      </c>
      <c r="F11" s="58" t="str">
        <f>IF(Oct[[#This Row],[Name]]="","",IF(VLOOKUP(Oct[[#This Row],[Name]],Overview[],17,FALSE)="","N/A",Oct[[#This Row],[October Weight (kg)]]-VLOOKUP(Oct[[#This Row],[Name]],Overview[],17,FALSE)))</f>
        <v/>
      </c>
      <c r="G11" s="175" t="str">
        <f>IF(Oct[[#This Row],[Name]]="","",IF(VLOOKUP(Oct[[#This Row],[Name]],Overview[],17,FALSE)="","N/A",(Oct[[#This Row],[October Weight (kg)]]-VLOOKUP(Oct[[#This Row],[Name]],Overview[],17,FALSE))/VLOOKUP(Oct[[#This Row],[Name]],Overview[],17,FALSE)))</f>
        <v/>
      </c>
      <c r="H11" s="61" t="str" cm="1">
        <f t="array" ref="H11">IF(Oct[[#This Row],[Name]]="","",IF(SUMPRODUCT((Overview[Name]=Oct[[#This Row],[Name]])*ISNUMBER(Overview[[April 
Weight (kg)]:[July 
Weight (kg) ]]))=0,"N/A",MAX(IF((Overview[Name]=Oct[[#This Row],[Name]])*ISNUMBER(Overview[[April 
Weight (kg)]:[July 
Weight (kg) ]]),Overview[[April 
Weight (kg)]:[July 
Weight (kg) ]]))))</f>
        <v/>
      </c>
      <c r="I11" s="57" t="str">
        <f>IF(Oct[[#This Row],[Name]]="","",IF(NOT(ISNUMBER(Oct[[#This Row],[Highest Weight in the Past 3 - 6 Months]])),"N/A",IF(Oct[[#This Row],[October Weight (kg)]]=Oct[[#This Row],[Highest Weight in the Past 3 - 6 Months]],0,Oct[[#This Row],[October Weight (kg)]]-Oct[[#This Row],[Highest Weight in the Past 3 - 6 Months]])))</f>
        <v/>
      </c>
      <c r="J11"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1" s="130"/>
      <c r="L11" s="131"/>
      <c r="M11"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1" s="64" t="str">
        <f>IF(Oct[[#This Row],[Name]]="","",IF(Oct[[#This Row],[October MUST Score ]]=0,"Low",IF(Oct[[#This Row],[October MUST Score ]]=1,"Medium","High")))</f>
        <v/>
      </c>
      <c r="O11" s="10"/>
      <c r="P11" s="70"/>
      <c r="Q11" s="12"/>
      <c r="R11" s="17"/>
      <c r="S11" s="10"/>
      <c r="T11" s="17"/>
      <c r="U11" s="70"/>
      <c r="V11" s="11"/>
      <c r="W11" s="94"/>
      <c r="X11" s="12"/>
      <c r="Y11" s="11"/>
    </row>
    <row r="12" spans="2:26" x14ac:dyDescent="0.25">
      <c r="B12" s="12"/>
      <c r="C12" s="129"/>
      <c r="D12" s="94"/>
      <c r="E12" s="58" t="str">
        <f>IF(Oct[[#This Row],[Name]]="","",Oct[[#This Row],[October Weight (kg)]]/(VLOOKUP(Oct[[#This Row],[Name]],Overview[],2,FALSE)/100)^2)</f>
        <v/>
      </c>
      <c r="F12" s="58" t="str">
        <f>IF(Oct[[#This Row],[Name]]="","",IF(VLOOKUP(Oct[[#This Row],[Name]],Overview[],17,FALSE)="","N/A",Oct[[#This Row],[October Weight (kg)]]-VLOOKUP(Oct[[#This Row],[Name]],Overview[],17,FALSE)))</f>
        <v/>
      </c>
      <c r="G12" s="175" t="str">
        <f>IF(Oct[[#This Row],[Name]]="","",IF(VLOOKUP(Oct[[#This Row],[Name]],Overview[],17,FALSE)="","N/A",(Oct[[#This Row],[October Weight (kg)]]-VLOOKUP(Oct[[#This Row],[Name]],Overview[],17,FALSE))/VLOOKUP(Oct[[#This Row],[Name]],Overview[],17,FALSE)))</f>
        <v/>
      </c>
      <c r="H12" s="61" t="str" cm="1">
        <f t="array" ref="H12">IF(Oct[[#This Row],[Name]]="","",IF(SUMPRODUCT((Overview[Name]=Oct[[#This Row],[Name]])*ISNUMBER(Overview[[April 
Weight (kg)]:[July 
Weight (kg) ]]))=0,"N/A",MAX(IF((Overview[Name]=Oct[[#This Row],[Name]])*ISNUMBER(Overview[[April 
Weight (kg)]:[July 
Weight (kg) ]]),Overview[[April 
Weight (kg)]:[July 
Weight (kg) ]]))))</f>
        <v/>
      </c>
      <c r="I12" s="57" t="str">
        <f>IF(Oct[[#This Row],[Name]]="","",IF(NOT(ISNUMBER(Oct[[#This Row],[Highest Weight in the Past 3 - 6 Months]])),"N/A",IF(Oct[[#This Row],[October Weight (kg)]]=Oct[[#This Row],[Highest Weight in the Past 3 - 6 Months]],0,Oct[[#This Row],[October Weight (kg)]]-Oct[[#This Row],[Highest Weight in the Past 3 - 6 Months]])))</f>
        <v/>
      </c>
      <c r="J12"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2" s="130"/>
      <c r="L12" s="131"/>
      <c r="M12"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2" s="64" t="str">
        <f>IF(Oct[[#This Row],[Name]]="","",IF(Oct[[#This Row],[October MUST Score ]]=0,"Low",IF(Oct[[#This Row],[October MUST Score ]]=1,"Medium","High")))</f>
        <v/>
      </c>
      <c r="O12" s="10"/>
      <c r="P12" s="70"/>
      <c r="Q12" s="12"/>
      <c r="R12" s="17"/>
      <c r="S12" s="10"/>
      <c r="T12" s="17"/>
      <c r="U12" s="70"/>
      <c r="V12" s="11"/>
      <c r="W12" s="94"/>
      <c r="X12" s="12"/>
      <c r="Y12" s="11"/>
    </row>
    <row r="13" spans="2:26" x14ac:dyDescent="0.25">
      <c r="B13" s="12"/>
      <c r="C13" s="129"/>
      <c r="D13" s="94"/>
      <c r="E13" s="58" t="str">
        <f>IF(Oct[[#This Row],[Name]]="","",Oct[[#This Row],[October Weight (kg)]]/(VLOOKUP(Oct[[#This Row],[Name]],Overview[],2,FALSE)/100)^2)</f>
        <v/>
      </c>
      <c r="F13" s="58" t="str">
        <f>IF(Oct[[#This Row],[Name]]="","",IF(VLOOKUP(Oct[[#This Row],[Name]],Overview[],17,FALSE)="","N/A",Oct[[#This Row],[October Weight (kg)]]-VLOOKUP(Oct[[#This Row],[Name]],Overview[],17,FALSE)))</f>
        <v/>
      </c>
      <c r="G13" s="175" t="str">
        <f>IF(Oct[[#This Row],[Name]]="","",IF(VLOOKUP(Oct[[#This Row],[Name]],Overview[],17,FALSE)="","N/A",(Oct[[#This Row],[October Weight (kg)]]-VLOOKUP(Oct[[#This Row],[Name]],Overview[],17,FALSE))/VLOOKUP(Oct[[#This Row],[Name]],Overview[],17,FALSE)))</f>
        <v/>
      </c>
      <c r="H13" s="61" t="str" cm="1">
        <f t="array" ref="H13">IF(Oct[[#This Row],[Name]]="","",IF(SUMPRODUCT((Overview[Name]=Oct[[#This Row],[Name]])*ISNUMBER(Overview[[April 
Weight (kg)]:[July 
Weight (kg) ]]))=0,"N/A",MAX(IF((Overview[Name]=Oct[[#This Row],[Name]])*ISNUMBER(Overview[[April 
Weight (kg)]:[July 
Weight (kg) ]]),Overview[[April 
Weight (kg)]:[July 
Weight (kg) ]]))))</f>
        <v/>
      </c>
      <c r="I13" s="57" t="str">
        <f>IF(Oct[[#This Row],[Name]]="","",IF(NOT(ISNUMBER(Oct[[#This Row],[Highest Weight in the Past 3 - 6 Months]])),"N/A",IF(Oct[[#This Row],[October Weight (kg)]]=Oct[[#This Row],[Highest Weight in the Past 3 - 6 Months]],0,Oct[[#This Row],[October Weight (kg)]]-Oct[[#This Row],[Highest Weight in the Past 3 - 6 Months]])))</f>
        <v/>
      </c>
      <c r="J13"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3" s="130"/>
      <c r="L13" s="131"/>
      <c r="M13"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3" s="64" t="str">
        <f>IF(Oct[[#This Row],[Name]]="","",IF(Oct[[#This Row],[October MUST Score ]]=0,"Low",IF(Oct[[#This Row],[October MUST Score ]]=1,"Medium","High")))</f>
        <v/>
      </c>
      <c r="O13" s="10"/>
      <c r="P13" s="70"/>
      <c r="Q13" s="12"/>
      <c r="R13" s="17"/>
      <c r="S13" s="10"/>
      <c r="T13" s="17"/>
      <c r="U13" s="70"/>
      <c r="V13" s="11"/>
      <c r="W13" s="94"/>
      <c r="X13" s="12"/>
      <c r="Y13" s="11"/>
    </row>
    <row r="14" spans="2:26" x14ac:dyDescent="0.25">
      <c r="B14" s="12"/>
      <c r="C14" s="129"/>
      <c r="D14" s="94"/>
      <c r="E14" s="58" t="str">
        <f>IF(Oct[[#This Row],[Name]]="","",Oct[[#This Row],[October Weight (kg)]]/(VLOOKUP(Oct[[#This Row],[Name]],Overview[],2,FALSE)/100)^2)</f>
        <v/>
      </c>
      <c r="F14" s="58" t="str">
        <f>IF(Oct[[#This Row],[Name]]="","",IF(VLOOKUP(Oct[[#This Row],[Name]],Overview[],17,FALSE)="","N/A",Oct[[#This Row],[October Weight (kg)]]-VLOOKUP(Oct[[#This Row],[Name]],Overview[],17,FALSE)))</f>
        <v/>
      </c>
      <c r="G14" s="175" t="str">
        <f>IF(Oct[[#This Row],[Name]]="","",IF(VLOOKUP(Oct[[#This Row],[Name]],Overview[],17,FALSE)="","N/A",(Oct[[#This Row],[October Weight (kg)]]-VLOOKUP(Oct[[#This Row],[Name]],Overview[],17,FALSE))/VLOOKUP(Oct[[#This Row],[Name]],Overview[],17,FALSE)))</f>
        <v/>
      </c>
      <c r="H14" s="61" t="str" cm="1">
        <f t="array" ref="H14">IF(Oct[[#This Row],[Name]]="","",IF(SUMPRODUCT((Overview[Name]=Oct[[#This Row],[Name]])*ISNUMBER(Overview[[April 
Weight (kg)]:[July 
Weight (kg) ]]))=0,"N/A",MAX(IF((Overview[Name]=Oct[[#This Row],[Name]])*ISNUMBER(Overview[[April 
Weight (kg)]:[July 
Weight (kg) ]]),Overview[[April 
Weight (kg)]:[July 
Weight (kg) ]]))))</f>
        <v/>
      </c>
      <c r="I14" s="57" t="str">
        <f>IF(Oct[[#This Row],[Name]]="","",IF(NOT(ISNUMBER(Oct[[#This Row],[Highest Weight in the Past 3 - 6 Months]])),"N/A",IF(Oct[[#This Row],[October Weight (kg)]]=Oct[[#This Row],[Highest Weight in the Past 3 - 6 Months]],0,Oct[[#This Row],[October Weight (kg)]]-Oct[[#This Row],[Highest Weight in the Past 3 - 6 Months]])))</f>
        <v/>
      </c>
      <c r="J14"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4" s="130"/>
      <c r="L14" s="131"/>
      <c r="M14"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4" s="64" t="str">
        <f>IF(Oct[[#This Row],[Name]]="","",IF(Oct[[#This Row],[October MUST Score ]]=0,"Low",IF(Oct[[#This Row],[October MUST Score ]]=1,"Medium","High")))</f>
        <v/>
      </c>
      <c r="O14" s="10"/>
      <c r="P14" s="70"/>
      <c r="Q14" s="12"/>
      <c r="R14" s="17"/>
      <c r="S14" s="10"/>
      <c r="T14" s="17"/>
      <c r="U14" s="70"/>
      <c r="V14" s="11"/>
      <c r="W14" s="94"/>
      <c r="X14" s="12"/>
      <c r="Y14" s="11"/>
    </row>
    <row r="15" spans="2:26" x14ac:dyDescent="0.25">
      <c r="B15" s="12"/>
      <c r="C15" s="129"/>
      <c r="D15" s="94"/>
      <c r="E15" s="58" t="str">
        <f>IF(Oct[[#This Row],[Name]]="","",Oct[[#This Row],[October Weight (kg)]]/(VLOOKUP(Oct[[#This Row],[Name]],Overview[],2,FALSE)/100)^2)</f>
        <v/>
      </c>
      <c r="F15" s="58" t="str">
        <f>IF(Oct[[#This Row],[Name]]="","",IF(VLOOKUP(Oct[[#This Row],[Name]],Overview[],17,FALSE)="","N/A",Oct[[#This Row],[October Weight (kg)]]-VLOOKUP(Oct[[#This Row],[Name]],Overview[],17,FALSE)))</f>
        <v/>
      </c>
      <c r="G15" s="175" t="str">
        <f>IF(Oct[[#This Row],[Name]]="","",IF(VLOOKUP(Oct[[#This Row],[Name]],Overview[],17,FALSE)="","N/A",(Oct[[#This Row],[October Weight (kg)]]-VLOOKUP(Oct[[#This Row],[Name]],Overview[],17,FALSE))/VLOOKUP(Oct[[#This Row],[Name]],Overview[],17,FALSE)))</f>
        <v/>
      </c>
      <c r="H15" s="61" t="str" cm="1">
        <f t="array" ref="H15">IF(Oct[[#This Row],[Name]]="","",IF(SUMPRODUCT((Overview[Name]=Oct[[#This Row],[Name]])*ISNUMBER(Overview[[April 
Weight (kg)]:[July 
Weight (kg) ]]))=0,"N/A",MAX(IF((Overview[Name]=Oct[[#This Row],[Name]])*ISNUMBER(Overview[[April 
Weight (kg)]:[July 
Weight (kg) ]]),Overview[[April 
Weight (kg)]:[July 
Weight (kg) ]]))))</f>
        <v/>
      </c>
      <c r="I15" s="57" t="str">
        <f>IF(Oct[[#This Row],[Name]]="","",IF(NOT(ISNUMBER(Oct[[#This Row],[Highest Weight in the Past 3 - 6 Months]])),"N/A",IF(Oct[[#This Row],[October Weight (kg)]]=Oct[[#This Row],[Highest Weight in the Past 3 - 6 Months]],0,Oct[[#This Row],[October Weight (kg)]]-Oct[[#This Row],[Highest Weight in the Past 3 - 6 Months]])))</f>
        <v/>
      </c>
      <c r="J15"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5" s="130"/>
      <c r="L15" s="131"/>
      <c r="M15"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5" s="64" t="str">
        <f>IF(Oct[[#This Row],[Name]]="","",IF(Oct[[#This Row],[October MUST Score ]]=0,"Low",IF(Oct[[#This Row],[October MUST Score ]]=1,"Medium","High")))</f>
        <v/>
      </c>
      <c r="O15" s="10"/>
      <c r="P15" s="70"/>
      <c r="Q15" s="12"/>
      <c r="R15" s="17"/>
      <c r="S15" s="10"/>
      <c r="T15" s="17"/>
      <c r="U15" s="70"/>
      <c r="V15" s="11"/>
      <c r="W15" s="94"/>
      <c r="X15" s="12"/>
      <c r="Y15" s="11"/>
    </row>
    <row r="16" spans="2:26" x14ac:dyDescent="0.25">
      <c r="B16" s="12"/>
      <c r="C16" s="129"/>
      <c r="D16" s="94"/>
      <c r="E16" s="58" t="str">
        <f>IF(Oct[[#This Row],[Name]]="","",Oct[[#This Row],[October Weight (kg)]]/(VLOOKUP(Oct[[#This Row],[Name]],Overview[],2,FALSE)/100)^2)</f>
        <v/>
      </c>
      <c r="F16" s="58" t="str">
        <f>IF(Oct[[#This Row],[Name]]="","",IF(VLOOKUP(Oct[[#This Row],[Name]],Overview[],17,FALSE)="","N/A",Oct[[#This Row],[October Weight (kg)]]-VLOOKUP(Oct[[#This Row],[Name]],Overview[],17,FALSE)))</f>
        <v/>
      </c>
      <c r="G16" s="175" t="str">
        <f>IF(Oct[[#This Row],[Name]]="","",IF(VLOOKUP(Oct[[#This Row],[Name]],Overview[],17,FALSE)="","N/A",(Oct[[#This Row],[October Weight (kg)]]-VLOOKUP(Oct[[#This Row],[Name]],Overview[],17,FALSE))/VLOOKUP(Oct[[#This Row],[Name]],Overview[],17,FALSE)))</f>
        <v/>
      </c>
      <c r="H16" s="61" t="str" cm="1">
        <f t="array" ref="H16">IF(Oct[[#This Row],[Name]]="","",IF(SUMPRODUCT((Overview[Name]=Oct[[#This Row],[Name]])*ISNUMBER(Overview[[April 
Weight (kg)]:[July 
Weight (kg) ]]))=0,"N/A",MAX(IF((Overview[Name]=Oct[[#This Row],[Name]])*ISNUMBER(Overview[[April 
Weight (kg)]:[July 
Weight (kg) ]]),Overview[[April 
Weight (kg)]:[July 
Weight (kg) ]]))))</f>
        <v/>
      </c>
      <c r="I16" s="57" t="str">
        <f>IF(Oct[[#This Row],[Name]]="","",IF(NOT(ISNUMBER(Oct[[#This Row],[Highest Weight in the Past 3 - 6 Months]])),"N/A",IF(Oct[[#This Row],[October Weight (kg)]]=Oct[[#This Row],[Highest Weight in the Past 3 - 6 Months]],0,Oct[[#This Row],[October Weight (kg)]]-Oct[[#This Row],[Highest Weight in the Past 3 - 6 Months]])))</f>
        <v/>
      </c>
      <c r="J16"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6" s="130"/>
      <c r="L16" s="131"/>
      <c r="M16"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6" s="64" t="str">
        <f>IF(Oct[[#This Row],[Name]]="","",IF(Oct[[#This Row],[October MUST Score ]]=0,"Low",IF(Oct[[#This Row],[October MUST Score ]]=1,"Medium","High")))</f>
        <v/>
      </c>
      <c r="O16" s="10"/>
      <c r="P16" s="70"/>
      <c r="Q16" s="12"/>
      <c r="R16" s="17"/>
      <c r="S16" s="10"/>
      <c r="T16" s="17"/>
      <c r="U16" s="70"/>
      <c r="V16" s="11"/>
      <c r="W16" s="94"/>
      <c r="X16" s="12"/>
      <c r="Y16" s="11"/>
    </row>
    <row r="17" spans="2:25" x14ac:dyDescent="0.25">
      <c r="B17" s="12"/>
      <c r="C17" s="129"/>
      <c r="D17" s="94"/>
      <c r="E17" s="58" t="str">
        <f>IF(Oct[[#This Row],[Name]]="","",Oct[[#This Row],[October Weight (kg)]]/(VLOOKUP(Oct[[#This Row],[Name]],Overview[],2,FALSE)/100)^2)</f>
        <v/>
      </c>
      <c r="F17" s="58" t="str">
        <f>IF(Oct[[#This Row],[Name]]="","",IF(VLOOKUP(Oct[[#This Row],[Name]],Overview[],17,FALSE)="","N/A",Oct[[#This Row],[October Weight (kg)]]-VLOOKUP(Oct[[#This Row],[Name]],Overview[],17,FALSE)))</f>
        <v/>
      </c>
      <c r="G17" s="175" t="str">
        <f>IF(Oct[[#This Row],[Name]]="","",IF(VLOOKUP(Oct[[#This Row],[Name]],Overview[],17,FALSE)="","N/A",(Oct[[#This Row],[October Weight (kg)]]-VLOOKUP(Oct[[#This Row],[Name]],Overview[],17,FALSE))/VLOOKUP(Oct[[#This Row],[Name]],Overview[],17,FALSE)))</f>
        <v/>
      </c>
      <c r="H17" s="61" t="str" cm="1">
        <f t="array" ref="H17">IF(Oct[[#This Row],[Name]]="","",IF(SUMPRODUCT((Overview[Name]=Oct[[#This Row],[Name]])*ISNUMBER(Overview[[April 
Weight (kg)]:[July 
Weight (kg) ]]))=0,"N/A",MAX(IF((Overview[Name]=Oct[[#This Row],[Name]])*ISNUMBER(Overview[[April 
Weight (kg)]:[July 
Weight (kg) ]]),Overview[[April 
Weight (kg)]:[July 
Weight (kg) ]]))))</f>
        <v/>
      </c>
      <c r="I17" s="57" t="str">
        <f>IF(Oct[[#This Row],[Name]]="","",IF(NOT(ISNUMBER(Oct[[#This Row],[Highest Weight in the Past 3 - 6 Months]])),"N/A",IF(Oct[[#This Row],[October Weight (kg)]]=Oct[[#This Row],[Highest Weight in the Past 3 - 6 Months]],0,Oct[[#This Row],[October Weight (kg)]]-Oct[[#This Row],[Highest Weight in the Past 3 - 6 Months]])))</f>
        <v/>
      </c>
      <c r="J17"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7" s="130"/>
      <c r="L17" s="131"/>
      <c r="M17"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7" s="64" t="str">
        <f>IF(Oct[[#This Row],[Name]]="","",IF(Oct[[#This Row],[October MUST Score ]]=0,"Low",IF(Oct[[#This Row],[October MUST Score ]]=1,"Medium","High")))</f>
        <v/>
      </c>
      <c r="O17" s="10"/>
      <c r="P17" s="70"/>
      <c r="Q17" s="12"/>
      <c r="R17" s="17"/>
      <c r="S17" s="10"/>
      <c r="T17" s="17"/>
      <c r="U17" s="70"/>
      <c r="V17" s="11"/>
      <c r="W17" s="94"/>
      <c r="X17" s="12"/>
      <c r="Y17" s="11"/>
    </row>
    <row r="18" spans="2:25" x14ac:dyDescent="0.25">
      <c r="B18" s="12"/>
      <c r="C18" s="129"/>
      <c r="D18" s="94"/>
      <c r="E18" s="58" t="str">
        <f>IF(Oct[[#This Row],[Name]]="","",Oct[[#This Row],[October Weight (kg)]]/(VLOOKUP(Oct[[#This Row],[Name]],Overview[],2,FALSE)/100)^2)</f>
        <v/>
      </c>
      <c r="F18" s="58" t="str">
        <f>IF(Oct[[#This Row],[Name]]="","",IF(VLOOKUP(Oct[[#This Row],[Name]],Overview[],17,FALSE)="","N/A",Oct[[#This Row],[October Weight (kg)]]-VLOOKUP(Oct[[#This Row],[Name]],Overview[],17,FALSE)))</f>
        <v/>
      </c>
      <c r="G18" s="175" t="str">
        <f>IF(Oct[[#This Row],[Name]]="","",IF(VLOOKUP(Oct[[#This Row],[Name]],Overview[],17,FALSE)="","N/A",(Oct[[#This Row],[October Weight (kg)]]-VLOOKUP(Oct[[#This Row],[Name]],Overview[],17,FALSE))/VLOOKUP(Oct[[#This Row],[Name]],Overview[],17,FALSE)))</f>
        <v/>
      </c>
      <c r="H18" s="61" t="str" cm="1">
        <f t="array" ref="H18">IF(Oct[[#This Row],[Name]]="","",IF(SUMPRODUCT((Overview[Name]=Oct[[#This Row],[Name]])*ISNUMBER(Overview[[April 
Weight (kg)]:[July 
Weight (kg) ]]))=0,"N/A",MAX(IF((Overview[Name]=Oct[[#This Row],[Name]])*ISNUMBER(Overview[[April 
Weight (kg)]:[July 
Weight (kg) ]]),Overview[[April 
Weight (kg)]:[July 
Weight (kg) ]]))))</f>
        <v/>
      </c>
      <c r="I18" s="57" t="str">
        <f>IF(Oct[[#This Row],[Name]]="","",IF(NOT(ISNUMBER(Oct[[#This Row],[Highest Weight in the Past 3 - 6 Months]])),"N/A",IF(Oct[[#This Row],[October Weight (kg)]]=Oct[[#This Row],[Highest Weight in the Past 3 - 6 Months]],0,Oct[[#This Row],[October Weight (kg)]]-Oct[[#This Row],[Highest Weight in the Past 3 - 6 Months]])))</f>
        <v/>
      </c>
      <c r="J18"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8" s="130"/>
      <c r="L18" s="131"/>
      <c r="M18"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8" s="64" t="str">
        <f>IF(Oct[[#This Row],[Name]]="","",IF(Oct[[#This Row],[October MUST Score ]]=0,"Low",IF(Oct[[#This Row],[October MUST Score ]]=1,"Medium","High")))</f>
        <v/>
      </c>
      <c r="O18" s="10"/>
      <c r="P18" s="70"/>
      <c r="Q18" s="12"/>
      <c r="R18" s="17"/>
      <c r="S18" s="10"/>
      <c r="T18" s="17"/>
      <c r="U18" s="70"/>
      <c r="V18" s="11"/>
      <c r="W18" s="94"/>
      <c r="X18" s="12"/>
      <c r="Y18" s="11"/>
    </row>
    <row r="19" spans="2:25" x14ac:dyDescent="0.25">
      <c r="B19" s="12"/>
      <c r="C19" s="129"/>
      <c r="D19" s="94"/>
      <c r="E19" s="58" t="str">
        <f>IF(Oct[[#This Row],[Name]]="","",Oct[[#This Row],[October Weight (kg)]]/(VLOOKUP(Oct[[#This Row],[Name]],Overview[],2,FALSE)/100)^2)</f>
        <v/>
      </c>
      <c r="F19" s="58" t="str">
        <f>IF(Oct[[#This Row],[Name]]="","",IF(VLOOKUP(Oct[[#This Row],[Name]],Overview[],17,FALSE)="","N/A",Oct[[#This Row],[October Weight (kg)]]-VLOOKUP(Oct[[#This Row],[Name]],Overview[],17,FALSE)))</f>
        <v/>
      </c>
      <c r="G19" s="175" t="str">
        <f>IF(Oct[[#This Row],[Name]]="","",IF(VLOOKUP(Oct[[#This Row],[Name]],Overview[],17,FALSE)="","N/A",(Oct[[#This Row],[October Weight (kg)]]-VLOOKUP(Oct[[#This Row],[Name]],Overview[],17,FALSE))/VLOOKUP(Oct[[#This Row],[Name]],Overview[],17,FALSE)))</f>
        <v/>
      </c>
      <c r="H19" s="61" t="str" cm="1">
        <f t="array" ref="H19">IF(Oct[[#This Row],[Name]]="","",IF(SUMPRODUCT((Overview[Name]=Oct[[#This Row],[Name]])*ISNUMBER(Overview[[April 
Weight (kg)]:[July 
Weight (kg) ]]))=0,"N/A",MAX(IF((Overview[Name]=Oct[[#This Row],[Name]])*ISNUMBER(Overview[[April 
Weight (kg)]:[July 
Weight (kg) ]]),Overview[[April 
Weight (kg)]:[July 
Weight (kg) ]]))))</f>
        <v/>
      </c>
      <c r="I19" s="57" t="str">
        <f>IF(Oct[[#This Row],[Name]]="","",IF(NOT(ISNUMBER(Oct[[#This Row],[Highest Weight in the Past 3 - 6 Months]])),"N/A",IF(Oct[[#This Row],[October Weight (kg)]]=Oct[[#This Row],[Highest Weight in the Past 3 - 6 Months]],0,Oct[[#This Row],[October Weight (kg)]]-Oct[[#This Row],[Highest Weight in the Past 3 - 6 Months]])))</f>
        <v/>
      </c>
      <c r="J19"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19" s="130"/>
      <c r="L19" s="131"/>
      <c r="M19"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19" s="64" t="str">
        <f>IF(Oct[[#This Row],[Name]]="","",IF(Oct[[#This Row],[October MUST Score ]]=0,"Low",IF(Oct[[#This Row],[October MUST Score ]]=1,"Medium","High")))</f>
        <v/>
      </c>
      <c r="O19" s="10"/>
      <c r="P19" s="70"/>
      <c r="Q19" s="12"/>
      <c r="R19" s="17"/>
      <c r="S19" s="10"/>
      <c r="T19" s="17"/>
      <c r="U19" s="70"/>
      <c r="V19" s="11"/>
      <c r="W19" s="94"/>
      <c r="X19" s="12"/>
      <c r="Y19" s="11"/>
    </row>
    <row r="20" spans="2:25" x14ac:dyDescent="0.25">
      <c r="B20" s="12"/>
      <c r="C20" s="129"/>
      <c r="D20" s="94"/>
      <c r="E20" s="58" t="str">
        <f>IF(Oct[[#This Row],[Name]]="","",Oct[[#This Row],[October Weight (kg)]]/(VLOOKUP(Oct[[#This Row],[Name]],Overview[],2,FALSE)/100)^2)</f>
        <v/>
      </c>
      <c r="F20" s="58" t="str">
        <f>IF(Oct[[#This Row],[Name]]="","",IF(VLOOKUP(Oct[[#This Row],[Name]],Overview[],17,FALSE)="","N/A",Oct[[#This Row],[October Weight (kg)]]-VLOOKUP(Oct[[#This Row],[Name]],Overview[],17,FALSE)))</f>
        <v/>
      </c>
      <c r="G20" s="175" t="str">
        <f>IF(Oct[[#This Row],[Name]]="","",IF(VLOOKUP(Oct[[#This Row],[Name]],Overview[],17,FALSE)="","N/A",(Oct[[#This Row],[October Weight (kg)]]-VLOOKUP(Oct[[#This Row],[Name]],Overview[],17,FALSE))/VLOOKUP(Oct[[#This Row],[Name]],Overview[],17,FALSE)))</f>
        <v/>
      </c>
      <c r="H20" s="61" t="str" cm="1">
        <f t="array" ref="H20">IF(Oct[[#This Row],[Name]]="","",IF(SUMPRODUCT((Overview[Name]=Oct[[#This Row],[Name]])*ISNUMBER(Overview[[April 
Weight (kg)]:[July 
Weight (kg) ]]))=0,"N/A",MAX(IF((Overview[Name]=Oct[[#This Row],[Name]])*ISNUMBER(Overview[[April 
Weight (kg)]:[July 
Weight (kg) ]]),Overview[[April 
Weight (kg)]:[July 
Weight (kg) ]]))))</f>
        <v/>
      </c>
      <c r="I20" s="57" t="str">
        <f>IF(Oct[[#This Row],[Name]]="","",IF(NOT(ISNUMBER(Oct[[#This Row],[Highest Weight in the Past 3 - 6 Months]])),"N/A",IF(Oct[[#This Row],[October Weight (kg)]]=Oct[[#This Row],[Highest Weight in the Past 3 - 6 Months]],0,Oct[[#This Row],[October Weight (kg)]]-Oct[[#This Row],[Highest Weight in the Past 3 - 6 Months]])))</f>
        <v/>
      </c>
      <c r="J20"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0" s="130"/>
      <c r="L20" s="131"/>
      <c r="M20"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0" s="64" t="str">
        <f>IF(Oct[[#This Row],[Name]]="","",IF(Oct[[#This Row],[October MUST Score ]]=0,"Low",IF(Oct[[#This Row],[October MUST Score ]]=1,"Medium","High")))</f>
        <v/>
      </c>
      <c r="O20" s="10"/>
      <c r="P20" s="70"/>
      <c r="Q20" s="12"/>
      <c r="R20" s="17"/>
      <c r="S20" s="10"/>
      <c r="T20" s="17"/>
      <c r="U20" s="70"/>
      <c r="V20" s="11"/>
      <c r="W20" s="94"/>
      <c r="X20" s="12"/>
      <c r="Y20" s="11"/>
    </row>
    <row r="21" spans="2:25" x14ac:dyDescent="0.25">
      <c r="B21" s="12"/>
      <c r="C21" s="129"/>
      <c r="D21" s="94"/>
      <c r="E21" s="58" t="str">
        <f>IF(Oct[[#This Row],[Name]]="","",Oct[[#This Row],[October Weight (kg)]]/(VLOOKUP(Oct[[#This Row],[Name]],Overview[],2,FALSE)/100)^2)</f>
        <v/>
      </c>
      <c r="F21" s="58" t="str">
        <f>IF(Oct[[#This Row],[Name]]="","",IF(VLOOKUP(Oct[[#This Row],[Name]],Overview[],17,FALSE)="","N/A",Oct[[#This Row],[October Weight (kg)]]-VLOOKUP(Oct[[#This Row],[Name]],Overview[],17,FALSE)))</f>
        <v/>
      </c>
      <c r="G21" s="175" t="str">
        <f>IF(Oct[[#This Row],[Name]]="","",IF(VLOOKUP(Oct[[#This Row],[Name]],Overview[],17,FALSE)="","N/A",(Oct[[#This Row],[October Weight (kg)]]-VLOOKUP(Oct[[#This Row],[Name]],Overview[],17,FALSE))/VLOOKUP(Oct[[#This Row],[Name]],Overview[],17,FALSE)))</f>
        <v/>
      </c>
      <c r="H21" s="61" t="str" cm="1">
        <f t="array" ref="H21">IF(Oct[[#This Row],[Name]]="","",IF(SUMPRODUCT((Overview[Name]=Oct[[#This Row],[Name]])*ISNUMBER(Overview[[April 
Weight (kg)]:[July 
Weight (kg) ]]))=0,"N/A",MAX(IF((Overview[Name]=Oct[[#This Row],[Name]])*ISNUMBER(Overview[[April 
Weight (kg)]:[July 
Weight (kg) ]]),Overview[[April 
Weight (kg)]:[July 
Weight (kg) ]]))))</f>
        <v/>
      </c>
      <c r="I21" s="57" t="str">
        <f>IF(Oct[[#This Row],[Name]]="","",IF(NOT(ISNUMBER(Oct[[#This Row],[Highest Weight in the Past 3 - 6 Months]])),"N/A",IF(Oct[[#This Row],[October Weight (kg)]]=Oct[[#This Row],[Highest Weight in the Past 3 - 6 Months]],0,Oct[[#This Row],[October Weight (kg)]]-Oct[[#This Row],[Highest Weight in the Past 3 - 6 Months]])))</f>
        <v/>
      </c>
      <c r="J21"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1" s="130"/>
      <c r="L21" s="131"/>
      <c r="M21"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1" s="64" t="str">
        <f>IF(Oct[[#This Row],[Name]]="","",IF(Oct[[#This Row],[October MUST Score ]]=0,"Low",IF(Oct[[#This Row],[October MUST Score ]]=1,"Medium","High")))</f>
        <v/>
      </c>
      <c r="O21" s="10"/>
      <c r="P21" s="70"/>
      <c r="Q21" s="12"/>
      <c r="R21" s="17"/>
      <c r="S21" s="10"/>
      <c r="T21" s="17"/>
      <c r="U21" s="70"/>
      <c r="V21" s="11"/>
      <c r="W21" s="94"/>
      <c r="X21" s="12"/>
      <c r="Y21" s="11"/>
    </row>
    <row r="22" spans="2:25" x14ac:dyDescent="0.25">
      <c r="B22" s="12"/>
      <c r="C22" s="129"/>
      <c r="D22" s="94"/>
      <c r="E22" s="58" t="str">
        <f>IF(Oct[[#This Row],[Name]]="","",Oct[[#This Row],[October Weight (kg)]]/(VLOOKUP(Oct[[#This Row],[Name]],Overview[],2,FALSE)/100)^2)</f>
        <v/>
      </c>
      <c r="F22" s="58" t="str">
        <f>IF(Oct[[#This Row],[Name]]="","",IF(VLOOKUP(Oct[[#This Row],[Name]],Overview[],17,FALSE)="","N/A",Oct[[#This Row],[October Weight (kg)]]-VLOOKUP(Oct[[#This Row],[Name]],Overview[],17,FALSE)))</f>
        <v/>
      </c>
      <c r="G22" s="175" t="str">
        <f>IF(Oct[[#This Row],[Name]]="","",IF(VLOOKUP(Oct[[#This Row],[Name]],Overview[],17,FALSE)="","N/A",(Oct[[#This Row],[October Weight (kg)]]-VLOOKUP(Oct[[#This Row],[Name]],Overview[],17,FALSE))/VLOOKUP(Oct[[#This Row],[Name]],Overview[],17,FALSE)))</f>
        <v/>
      </c>
      <c r="H22" s="61" t="str" cm="1">
        <f t="array" ref="H22">IF(Oct[[#This Row],[Name]]="","",IF(SUMPRODUCT((Overview[Name]=Oct[[#This Row],[Name]])*ISNUMBER(Overview[[April 
Weight (kg)]:[July 
Weight (kg) ]]))=0,"N/A",MAX(IF((Overview[Name]=Oct[[#This Row],[Name]])*ISNUMBER(Overview[[April 
Weight (kg)]:[July 
Weight (kg) ]]),Overview[[April 
Weight (kg)]:[July 
Weight (kg) ]]))))</f>
        <v/>
      </c>
      <c r="I22" s="57" t="str">
        <f>IF(Oct[[#This Row],[Name]]="","",IF(NOT(ISNUMBER(Oct[[#This Row],[Highest Weight in the Past 3 - 6 Months]])),"N/A",IF(Oct[[#This Row],[October Weight (kg)]]=Oct[[#This Row],[Highest Weight in the Past 3 - 6 Months]],0,Oct[[#This Row],[October Weight (kg)]]-Oct[[#This Row],[Highest Weight in the Past 3 - 6 Months]])))</f>
        <v/>
      </c>
      <c r="J22"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2" s="130"/>
      <c r="L22" s="131"/>
      <c r="M22"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2" s="64" t="str">
        <f>IF(Oct[[#This Row],[Name]]="","",IF(Oct[[#This Row],[October MUST Score ]]=0,"Low",IF(Oct[[#This Row],[October MUST Score ]]=1,"Medium","High")))</f>
        <v/>
      </c>
      <c r="O22" s="10"/>
      <c r="P22" s="70"/>
      <c r="Q22" s="12"/>
      <c r="R22" s="17"/>
      <c r="S22" s="10"/>
      <c r="T22" s="17"/>
      <c r="U22" s="70"/>
      <c r="V22" s="11"/>
      <c r="W22" s="94"/>
      <c r="X22" s="12"/>
      <c r="Y22" s="11"/>
    </row>
    <row r="23" spans="2:25" x14ac:dyDescent="0.25">
      <c r="B23" s="12"/>
      <c r="C23" s="129"/>
      <c r="D23" s="94"/>
      <c r="E23" s="58" t="str">
        <f>IF(Oct[[#This Row],[Name]]="","",Oct[[#This Row],[October Weight (kg)]]/(VLOOKUP(Oct[[#This Row],[Name]],Overview[],2,FALSE)/100)^2)</f>
        <v/>
      </c>
      <c r="F23" s="58" t="str">
        <f>IF(Oct[[#This Row],[Name]]="","",IF(VLOOKUP(Oct[[#This Row],[Name]],Overview[],17,FALSE)="","N/A",Oct[[#This Row],[October Weight (kg)]]-VLOOKUP(Oct[[#This Row],[Name]],Overview[],17,FALSE)))</f>
        <v/>
      </c>
      <c r="G23" s="175" t="str">
        <f>IF(Oct[[#This Row],[Name]]="","",IF(VLOOKUP(Oct[[#This Row],[Name]],Overview[],17,FALSE)="","N/A",(Oct[[#This Row],[October Weight (kg)]]-VLOOKUP(Oct[[#This Row],[Name]],Overview[],17,FALSE))/VLOOKUP(Oct[[#This Row],[Name]],Overview[],17,FALSE)))</f>
        <v/>
      </c>
      <c r="H23" s="61" t="str" cm="1">
        <f t="array" ref="H23">IF(Oct[[#This Row],[Name]]="","",IF(SUMPRODUCT((Overview[Name]=Oct[[#This Row],[Name]])*ISNUMBER(Overview[[April 
Weight (kg)]:[July 
Weight (kg) ]]))=0,"N/A",MAX(IF((Overview[Name]=Oct[[#This Row],[Name]])*ISNUMBER(Overview[[April 
Weight (kg)]:[July 
Weight (kg) ]]),Overview[[April 
Weight (kg)]:[July 
Weight (kg) ]]))))</f>
        <v/>
      </c>
      <c r="I23" s="57" t="str">
        <f>IF(Oct[[#This Row],[Name]]="","",IF(NOT(ISNUMBER(Oct[[#This Row],[Highest Weight in the Past 3 - 6 Months]])),"N/A",IF(Oct[[#This Row],[October Weight (kg)]]=Oct[[#This Row],[Highest Weight in the Past 3 - 6 Months]],0,Oct[[#This Row],[October Weight (kg)]]-Oct[[#This Row],[Highest Weight in the Past 3 - 6 Months]])))</f>
        <v/>
      </c>
      <c r="J23"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3" s="130"/>
      <c r="L23" s="131"/>
      <c r="M23"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3" s="64" t="str">
        <f>IF(Oct[[#This Row],[Name]]="","",IF(Oct[[#This Row],[October MUST Score ]]=0,"Low",IF(Oct[[#This Row],[October MUST Score ]]=1,"Medium","High")))</f>
        <v/>
      </c>
      <c r="O23" s="10"/>
      <c r="P23" s="70"/>
      <c r="Q23" s="12"/>
      <c r="R23" s="17"/>
      <c r="S23" s="10"/>
      <c r="T23" s="17"/>
      <c r="U23" s="70"/>
      <c r="V23" s="11"/>
      <c r="W23" s="94"/>
      <c r="X23" s="12"/>
      <c r="Y23" s="11"/>
    </row>
    <row r="24" spans="2:25" x14ac:dyDescent="0.25">
      <c r="B24" s="12"/>
      <c r="C24" s="129"/>
      <c r="D24" s="94"/>
      <c r="E24" s="58" t="str">
        <f>IF(Oct[[#This Row],[Name]]="","",Oct[[#This Row],[October Weight (kg)]]/(VLOOKUP(Oct[[#This Row],[Name]],Overview[],2,FALSE)/100)^2)</f>
        <v/>
      </c>
      <c r="F24" s="58" t="str">
        <f>IF(Oct[[#This Row],[Name]]="","",IF(VLOOKUP(Oct[[#This Row],[Name]],Overview[],17,FALSE)="","N/A",Oct[[#This Row],[October Weight (kg)]]-VLOOKUP(Oct[[#This Row],[Name]],Overview[],17,FALSE)))</f>
        <v/>
      </c>
      <c r="G24" s="175" t="str">
        <f>IF(Oct[[#This Row],[Name]]="","",IF(VLOOKUP(Oct[[#This Row],[Name]],Overview[],17,FALSE)="","N/A",(Oct[[#This Row],[October Weight (kg)]]-VLOOKUP(Oct[[#This Row],[Name]],Overview[],17,FALSE))/VLOOKUP(Oct[[#This Row],[Name]],Overview[],17,FALSE)))</f>
        <v/>
      </c>
      <c r="H24" s="61" t="str" cm="1">
        <f t="array" ref="H24">IF(Oct[[#This Row],[Name]]="","",IF(SUMPRODUCT((Overview[Name]=Oct[[#This Row],[Name]])*ISNUMBER(Overview[[April 
Weight (kg)]:[July 
Weight (kg) ]]))=0,"N/A",MAX(IF((Overview[Name]=Oct[[#This Row],[Name]])*ISNUMBER(Overview[[April 
Weight (kg)]:[July 
Weight (kg) ]]),Overview[[April 
Weight (kg)]:[July 
Weight (kg) ]]))))</f>
        <v/>
      </c>
      <c r="I24" s="57" t="str">
        <f>IF(Oct[[#This Row],[Name]]="","",IF(NOT(ISNUMBER(Oct[[#This Row],[Highest Weight in the Past 3 - 6 Months]])),"N/A",IF(Oct[[#This Row],[October Weight (kg)]]=Oct[[#This Row],[Highest Weight in the Past 3 - 6 Months]],0,Oct[[#This Row],[October Weight (kg)]]-Oct[[#This Row],[Highest Weight in the Past 3 - 6 Months]])))</f>
        <v/>
      </c>
      <c r="J24"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4" s="130"/>
      <c r="L24" s="131"/>
      <c r="M24"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4" s="64" t="str">
        <f>IF(Oct[[#This Row],[Name]]="","",IF(Oct[[#This Row],[October MUST Score ]]=0,"Low",IF(Oct[[#This Row],[October MUST Score ]]=1,"Medium","High")))</f>
        <v/>
      </c>
      <c r="O24" s="10"/>
      <c r="P24" s="70"/>
      <c r="Q24" s="12"/>
      <c r="R24" s="17"/>
      <c r="S24" s="10"/>
      <c r="T24" s="17"/>
      <c r="U24" s="70"/>
      <c r="V24" s="11"/>
      <c r="W24" s="94"/>
      <c r="X24" s="12"/>
      <c r="Y24" s="11"/>
    </row>
    <row r="25" spans="2:25" x14ac:dyDescent="0.25">
      <c r="B25" s="12"/>
      <c r="C25" s="129"/>
      <c r="D25" s="94"/>
      <c r="E25" s="58" t="str">
        <f>IF(Oct[[#This Row],[Name]]="","",Oct[[#This Row],[October Weight (kg)]]/(VLOOKUP(Oct[[#This Row],[Name]],Overview[],2,FALSE)/100)^2)</f>
        <v/>
      </c>
      <c r="F25" s="58" t="str">
        <f>IF(Oct[[#This Row],[Name]]="","",IF(VLOOKUP(Oct[[#This Row],[Name]],Overview[],17,FALSE)="","N/A",Oct[[#This Row],[October Weight (kg)]]-VLOOKUP(Oct[[#This Row],[Name]],Overview[],17,FALSE)))</f>
        <v/>
      </c>
      <c r="G25" s="175" t="str">
        <f>IF(Oct[[#This Row],[Name]]="","",IF(VLOOKUP(Oct[[#This Row],[Name]],Overview[],17,FALSE)="","N/A",(Oct[[#This Row],[October Weight (kg)]]-VLOOKUP(Oct[[#This Row],[Name]],Overview[],17,FALSE))/VLOOKUP(Oct[[#This Row],[Name]],Overview[],17,FALSE)))</f>
        <v/>
      </c>
      <c r="H25" s="61" t="str" cm="1">
        <f t="array" ref="H25">IF(Oct[[#This Row],[Name]]="","",IF(SUMPRODUCT((Overview[Name]=Oct[[#This Row],[Name]])*ISNUMBER(Overview[[April 
Weight (kg)]:[July 
Weight (kg) ]]))=0,"N/A",MAX(IF((Overview[Name]=Oct[[#This Row],[Name]])*ISNUMBER(Overview[[April 
Weight (kg)]:[July 
Weight (kg) ]]),Overview[[April 
Weight (kg)]:[July 
Weight (kg) ]]))))</f>
        <v/>
      </c>
      <c r="I25" s="57" t="str">
        <f>IF(Oct[[#This Row],[Name]]="","",IF(NOT(ISNUMBER(Oct[[#This Row],[Highest Weight in the Past 3 - 6 Months]])),"N/A",IF(Oct[[#This Row],[October Weight (kg)]]=Oct[[#This Row],[Highest Weight in the Past 3 - 6 Months]],0,Oct[[#This Row],[October Weight (kg)]]-Oct[[#This Row],[Highest Weight in the Past 3 - 6 Months]])))</f>
        <v/>
      </c>
      <c r="J25"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5" s="130"/>
      <c r="L25" s="131"/>
      <c r="M25"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5" s="64" t="str">
        <f>IF(Oct[[#This Row],[Name]]="","",IF(Oct[[#This Row],[October MUST Score ]]=0,"Low",IF(Oct[[#This Row],[October MUST Score ]]=1,"Medium","High")))</f>
        <v/>
      </c>
      <c r="O25" s="10"/>
      <c r="P25" s="70"/>
      <c r="Q25" s="12"/>
      <c r="R25" s="17"/>
      <c r="S25" s="10"/>
      <c r="T25" s="17"/>
      <c r="U25" s="70"/>
      <c r="V25" s="11"/>
      <c r="W25" s="94"/>
      <c r="X25" s="12"/>
      <c r="Y25" s="11"/>
    </row>
    <row r="26" spans="2:25" x14ac:dyDescent="0.25">
      <c r="B26" s="12"/>
      <c r="C26" s="129"/>
      <c r="D26" s="94"/>
      <c r="E26" s="58" t="str">
        <f>IF(Oct[[#This Row],[Name]]="","",Oct[[#This Row],[October Weight (kg)]]/(VLOOKUP(Oct[[#This Row],[Name]],Overview[],2,FALSE)/100)^2)</f>
        <v/>
      </c>
      <c r="F26" s="58" t="str">
        <f>IF(Oct[[#This Row],[Name]]="","",IF(VLOOKUP(Oct[[#This Row],[Name]],Overview[],17,FALSE)="","N/A",Oct[[#This Row],[October Weight (kg)]]-VLOOKUP(Oct[[#This Row],[Name]],Overview[],17,FALSE)))</f>
        <v/>
      </c>
      <c r="G26" s="175" t="str">
        <f>IF(Oct[[#This Row],[Name]]="","",IF(VLOOKUP(Oct[[#This Row],[Name]],Overview[],17,FALSE)="","N/A",(Oct[[#This Row],[October Weight (kg)]]-VLOOKUP(Oct[[#This Row],[Name]],Overview[],17,FALSE))/VLOOKUP(Oct[[#This Row],[Name]],Overview[],17,FALSE)))</f>
        <v/>
      </c>
      <c r="H26" s="61" t="str" cm="1">
        <f t="array" ref="H26">IF(Oct[[#This Row],[Name]]="","",IF(SUMPRODUCT((Overview[Name]=Oct[[#This Row],[Name]])*ISNUMBER(Overview[[April 
Weight (kg)]:[July 
Weight (kg) ]]))=0,"N/A",MAX(IF((Overview[Name]=Oct[[#This Row],[Name]])*ISNUMBER(Overview[[April 
Weight (kg)]:[July 
Weight (kg) ]]),Overview[[April 
Weight (kg)]:[July 
Weight (kg) ]]))))</f>
        <v/>
      </c>
      <c r="I26" s="57" t="str">
        <f>IF(Oct[[#This Row],[Name]]="","",IF(NOT(ISNUMBER(Oct[[#This Row],[Highest Weight in the Past 3 - 6 Months]])),"N/A",IF(Oct[[#This Row],[October Weight (kg)]]=Oct[[#This Row],[Highest Weight in the Past 3 - 6 Months]],0,Oct[[#This Row],[October Weight (kg)]]-Oct[[#This Row],[Highest Weight in the Past 3 - 6 Months]])))</f>
        <v/>
      </c>
      <c r="J26"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6" s="130"/>
      <c r="L26" s="131"/>
      <c r="M26"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6" s="64" t="str">
        <f>IF(Oct[[#This Row],[Name]]="","",IF(Oct[[#This Row],[October MUST Score ]]=0,"Low",IF(Oct[[#This Row],[October MUST Score ]]=1,"Medium","High")))</f>
        <v/>
      </c>
      <c r="O26" s="10"/>
      <c r="P26" s="70"/>
      <c r="Q26" s="12"/>
      <c r="R26" s="17"/>
      <c r="S26" s="10"/>
      <c r="T26" s="17"/>
      <c r="U26" s="70"/>
      <c r="V26" s="11"/>
      <c r="W26" s="94"/>
      <c r="X26" s="12"/>
      <c r="Y26" s="11"/>
    </row>
    <row r="27" spans="2:25" x14ac:dyDescent="0.25">
      <c r="B27" s="12"/>
      <c r="C27" s="129"/>
      <c r="D27" s="94"/>
      <c r="E27" s="58" t="str">
        <f>IF(Oct[[#This Row],[Name]]="","",Oct[[#This Row],[October Weight (kg)]]/(VLOOKUP(Oct[[#This Row],[Name]],Overview[],2,FALSE)/100)^2)</f>
        <v/>
      </c>
      <c r="F27" s="58" t="str">
        <f>IF(Oct[[#This Row],[Name]]="","",IF(VLOOKUP(Oct[[#This Row],[Name]],Overview[],17,FALSE)="","N/A",Oct[[#This Row],[October Weight (kg)]]-VLOOKUP(Oct[[#This Row],[Name]],Overview[],17,FALSE)))</f>
        <v/>
      </c>
      <c r="G27" s="175" t="str">
        <f>IF(Oct[[#This Row],[Name]]="","",IF(VLOOKUP(Oct[[#This Row],[Name]],Overview[],17,FALSE)="","N/A",(Oct[[#This Row],[October Weight (kg)]]-VLOOKUP(Oct[[#This Row],[Name]],Overview[],17,FALSE))/VLOOKUP(Oct[[#This Row],[Name]],Overview[],17,FALSE)))</f>
        <v/>
      </c>
      <c r="H27" s="61" t="str" cm="1">
        <f t="array" ref="H27">IF(Oct[[#This Row],[Name]]="","",IF(SUMPRODUCT((Overview[Name]=Oct[[#This Row],[Name]])*ISNUMBER(Overview[[April 
Weight (kg)]:[July 
Weight (kg) ]]))=0,"N/A",MAX(IF((Overview[Name]=Oct[[#This Row],[Name]])*ISNUMBER(Overview[[April 
Weight (kg)]:[July 
Weight (kg) ]]),Overview[[April 
Weight (kg)]:[July 
Weight (kg) ]]))))</f>
        <v/>
      </c>
      <c r="I27" s="57" t="str">
        <f>IF(Oct[[#This Row],[Name]]="","",IF(NOT(ISNUMBER(Oct[[#This Row],[Highest Weight in the Past 3 - 6 Months]])),"N/A",IF(Oct[[#This Row],[October Weight (kg)]]=Oct[[#This Row],[Highest Weight in the Past 3 - 6 Months]],0,Oct[[#This Row],[October Weight (kg)]]-Oct[[#This Row],[Highest Weight in the Past 3 - 6 Months]])))</f>
        <v/>
      </c>
      <c r="J27"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7" s="130"/>
      <c r="L27" s="131"/>
      <c r="M27"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7" s="64" t="str">
        <f>IF(Oct[[#This Row],[Name]]="","",IF(Oct[[#This Row],[October MUST Score ]]=0,"Low",IF(Oct[[#This Row],[October MUST Score ]]=1,"Medium","High")))</f>
        <v/>
      </c>
      <c r="O27" s="10"/>
      <c r="P27" s="70"/>
      <c r="Q27" s="12"/>
      <c r="R27" s="17"/>
      <c r="S27" s="10"/>
      <c r="T27" s="17"/>
      <c r="U27" s="70"/>
      <c r="V27" s="11"/>
      <c r="W27" s="94"/>
      <c r="X27" s="12"/>
      <c r="Y27" s="11"/>
    </row>
    <row r="28" spans="2:25" x14ac:dyDescent="0.25">
      <c r="B28" s="12"/>
      <c r="C28" s="129"/>
      <c r="D28" s="94"/>
      <c r="E28" s="58" t="str">
        <f>IF(Oct[[#This Row],[Name]]="","",Oct[[#This Row],[October Weight (kg)]]/(VLOOKUP(Oct[[#This Row],[Name]],Overview[],2,FALSE)/100)^2)</f>
        <v/>
      </c>
      <c r="F28" s="58" t="str">
        <f>IF(Oct[[#This Row],[Name]]="","",IF(VLOOKUP(Oct[[#This Row],[Name]],Overview[],17,FALSE)="","N/A",Oct[[#This Row],[October Weight (kg)]]-VLOOKUP(Oct[[#This Row],[Name]],Overview[],17,FALSE)))</f>
        <v/>
      </c>
      <c r="G28" s="175" t="str">
        <f>IF(Oct[[#This Row],[Name]]="","",IF(VLOOKUP(Oct[[#This Row],[Name]],Overview[],17,FALSE)="","N/A",(Oct[[#This Row],[October Weight (kg)]]-VLOOKUP(Oct[[#This Row],[Name]],Overview[],17,FALSE))/VLOOKUP(Oct[[#This Row],[Name]],Overview[],17,FALSE)))</f>
        <v/>
      </c>
      <c r="H28" s="61" t="str" cm="1">
        <f t="array" ref="H28">IF(Oct[[#This Row],[Name]]="","",IF(SUMPRODUCT((Overview[Name]=Oct[[#This Row],[Name]])*ISNUMBER(Overview[[April 
Weight (kg)]:[July 
Weight (kg) ]]))=0,"N/A",MAX(IF((Overview[Name]=Oct[[#This Row],[Name]])*ISNUMBER(Overview[[April 
Weight (kg)]:[July 
Weight (kg) ]]),Overview[[April 
Weight (kg)]:[July 
Weight (kg) ]]))))</f>
        <v/>
      </c>
      <c r="I28" s="57" t="str">
        <f>IF(Oct[[#This Row],[Name]]="","",IF(NOT(ISNUMBER(Oct[[#This Row],[Highest Weight in the Past 3 - 6 Months]])),"N/A",IF(Oct[[#This Row],[October Weight (kg)]]=Oct[[#This Row],[Highest Weight in the Past 3 - 6 Months]],0,Oct[[#This Row],[October Weight (kg)]]-Oct[[#This Row],[Highest Weight in the Past 3 - 6 Months]])))</f>
        <v/>
      </c>
      <c r="J28"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8" s="130"/>
      <c r="L28" s="131"/>
      <c r="M28"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8" s="64" t="str">
        <f>IF(Oct[[#This Row],[Name]]="","",IF(Oct[[#This Row],[October MUST Score ]]=0,"Low",IF(Oct[[#This Row],[October MUST Score ]]=1,"Medium","High")))</f>
        <v/>
      </c>
      <c r="O28" s="10"/>
      <c r="P28" s="70"/>
      <c r="Q28" s="12"/>
      <c r="R28" s="17"/>
      <c r="S28" s="10"/>
      <c r="T28" s="17"/>
      <c r="U28" s="70"/>
      <c r="V28" s="11"/>
      <c r="W28" s="94"/>
      <c r="X28" s="12"/>
      <c r="Y28" s="11"/>
    </row>
    <row r="29" spans="2:25" x14ac:dyDescent="0.25">
      <c r="B29" s="12"/>
      <c r="C29" s="129"/>
      <c r="D29" s="94"/>
      <c r="E29" s="58" t="str">
        <f>IF(Oct[[#This Row],[Name]]="","",Oct[[#This Row],[October Weight (kg)]]/(VLOOKUP(Oct[[#This Row],[Name]],Overview[],2,FALSE)/100)^2)</f>
        <v/>
      </c>
      <c r="F29" s="58" t="str">
        <f>IF(Oct[[#This Row],[Name]]="","",IF(VLOOKUP(Oct[[#This Row],[Name]],Overview[],17,FALSE)="","N/A",Oct[[#This Row],[October Weight (kg)]]-VLOOKUP(Oct[[#This Row],[Name]],Overview[],17,FALSE)))</f>
        <v/>
      </c>
      <c r="G29" s="175" t="str">
        <f>IF(Oct[[#This Row],[Name]]="","",IF(VLOOKUP(Oct[[#This Row],[Name]],Overview[],17,FALSE)="","N/A",(Oct[[#This Row],[October Weight (kg)]]-VLOOKUP(Oct[[#This Row],[Name]],Overview[],17,FALSE))/VLOOKUP(Oct[[#This Row],[Name]],Overview[],17,FALSE)))</f>
        <v/>
      </c>
      <c r="H29" s="61" t="str" cm="1">
        <f t="array" ref="H29">IF(Oct[[#This Row],[Name]]="","",IF(SUMPRODUCT((Overview[Name]=Oct[[#This Row],[Name]])*ISNUMBER(Overview[[April 
Weight (kg)]:[July 
Weight (kg) ]]))=0,"N/A",MAX(IF((Overview[Name]=Oct[[#This Row],[Name]])*ISNUMBER(Overview[[April 
Weight (kg)]:[July 
Weight (kg) ]]),Overview[[April 
Weight (kg)]:[July 
Weight (kg) ]]))))</f>
        <v/>
      </c>
      <c r="I29" s="57" t="str">
        <f>IF(Oct[[#This Row],[Name]]="","",IF(NOT(ISNUMBER(Oct[[#This Row],[Highest Weight in the Past 3 - 6 Months]])),"N/A",IF(Oct[[#This Row],[October Weight (kg)]]=Oct[[#This Row],[Highest Weight in the Past 3 - 6 Months]],0,Oct[[#This Row],[October Weight (kg)]]-Oct[[#This Row],[Highest Weight in the Past 3 - 6 Months]])))</f>
        <v/>
      </c>
      <c r="J29"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29" s="130"/>
      <c r="L29" s="131"/>
      <c r="M29"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29" s="64" t="str">
        <f>IF(Oct[[#This Row],[Name]]="","",IF(Oct[[#This Row],[October MUST Score ]]=0,"Low",IF(Oct[[#This Row],[October MUST Score ]]=1,"Medium","High")))</f>
        <v/>
      </c>
      <c r="O29" s="10"/>
      <c r="P29" s="70"/>
      <c r="Q29" s="12"/>
      <c r="R29" s="17"/>
      <c r="S29" s="10"/>
      <c r="T29" s="17"/>
      <c r="U29" s="70"/>
      <c r="V29" s="11"/>
      <c r="W29" s="94"/>
      <c r="X29" s="12"/>
      <c r="Y29" s="11"/>
    </row>
    <row r="30" spans="2:25" x14ac:dyDescent="0.25">
      <c r="B30" s="12"/>
      <c r="C30" s="129"/>
      <c r="D30" s="94"/>
      <c r="E30" s="58" t="str">
        <f>IF(Oct[[#This Row],[Name]]="","",Oct[[#This Row],[October Weight (kg)]]/(VLOOKUP(Oct[[#This Row],[Name]],Overview[],2,FALSE)/100)^2)</f>
        <v/>
      </c>
      <c r="F30" s="58" t="str">
        <f>IF(Oct[[#This Row],[Name]]="","",IF(VLOOKUP(Oct[[#This Row],[Name]],Overview[],17,FALSE)="","N/A",Oct[[#This Row],[October Weight (kg)]]-VLOOKUP(Oct[[#This Row],[Name]],Overview[],17,FALSE)))</f>
        <v/>
      </c>
      <c r="G30" s="175" t="str">
        <f>IF(Oct[[#This Row],[Name]]="","",IF(VLOOKUP(Oct[[#This Row],[Name]],Overview[],17,FALSE)="","N/A",(Oct[[#This Row],[October Weight (kg)]]-VLOOKUP(Oct[[#This Row],[Name]],Overview[],17,FALSE))/VLOOKUP(Oct[[#This Row],[Name]],Overview[],17,FALSE)))</f>
        <v/>
      </c>
      <c r="H30" s="61" t="str" cm="1">
        <f t="array" ref="H30">IF(Oct[[#This Row],[Name]]="","",IF(SUMPRODUCT((Overview[Name]=Oct[[#This Row],[Name]])*ISNUMBER(Overview[[April 
Weight (kg)]:[July 
Weight (kg) ]]))=0,"N/A",MAX(IF((Overview[Name]=Oct[[#This Row],[Name]])*ISNUMBER(Overview[[April 
Weight (kg)]:[July 
Weight (kg) ]]),Overview[[April 
Weight (kg)]:[July 
Weight (kg) ]]))))</f>
        <v/>
      </c>
      <c r="I30" s="57" t="str">
        <f>IF(Oct[[#This Row],[Name]]="","",IF(NOT(ISNUMBER(Oct[[#This Row],[Highest Weight in the Past 3 - 6 Months]])),"N/A",IF(Oct[[#This Row],[October Weight (kg)]]=Oct[[#This Row],[Highest Weight in the Past 3 - 6 Months]],0,Oct[[#This Row],[October Weight (kg)]]-Oct[[#This Row],[Highest Weight in the Past 3 - 6 Months]])))</f>
        <v/>
      </c>
      <c r="J30"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0" s="130"/>
      <c r="L30" s="131"/>
      <c r="M30"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0" s="64" t="str">
        <f>IF(Oct[[#This Row],[Name]]="","",IF(Oct[[#This Row],[October MUST Score ]]=0,"Low",IF(Oct[[#This Row],[October MUST Score ]]=1,"Medium","High")))</f>
        <v/>
      </c>
      <c r="O30" s="10"/>
      <c r="P30" s="70"/>
      <c r="Q30" s="12"/>
      <c r="R30" s="17"/>
      <c r="S30" s="10"/>
      <c r="T30" s="17"/>
      <c r="U30" s="70"/>
      <c r="V30" s="11"/>
      <c r="W30" s="94"/>
      <c r="X30" s="12"/>
      <c r="Y30" s="11"/>
    </row>
    <row r="31" spans="2:25" x14ac:dyDescent="0.25">
      <c r="B31" s="12"/>
      <c r="C31" s="129"/>
      <c r="D31" s="94"/>
      <c r="E31" s="58" t="str">
        <f>IF(Oct[[#This Row],[Name]]="","",Oct[[#This Row],[October Weight (kg)]]/(VLOOKUP(Oct[[#This Row],[Name]],Overview[],2,FALSE)/100)^2)</f>
        <v/>
      </c>
      <c r="F31" s="58" t="str">
        <f>IF(Oct[[#This Row],[Name]]="","",IF(VLOOKUP(Oct[[#This Row],[Name]],Overview[],17,FALSE)="","N/A",Oct[[#This Row],[October Weight (kg)]]-VLOOKUP(Oct[[#This Row],[Name]],Overview[],17,FALSE)))</f>
        <v/>
      </c>
      <c r="G31" s="175" t="str">
        <f>IF(Oct[[#This Row],[Name]]="","",IF(VLOOKUP(Oct[[#This Row],[Name]],Overview[],17,FALSE)="","N/A",(Oct[[#This Row],[October Weight (kg)]]-VLOOKUP(Oct[[#This Row],[Name]],Overview[],17,FALSE))/VLOOKUP(Oct[[#This Row],[Name]],Overview[],17,FALSE)))</f>
        <v/>
      </c>
      <c r="H31" s="61" t="str" cm="1">
        <f t="array" ref="H31">IF(Oct[[#This Row],[Name]]="","",IF(SUMPRODUCT((Overview[Name]=Oct[[#This Row],[Name]])*ISNUMBER(Overview[[April 
Weight (kg)]:[July 
Weight (kg) ]]))=0,"N/A",MAX(IF((Overview[Name]=Oct[[#This Row],[Name]])*ISNUMBER(Overview[[April 
Weight (kg)]:[July 
Weight (kg) ]]),Overview[[April 
Weight (kg)]:[July 
Weight (kg) ]]))))</f>
        <v/>
      </c>
      <c r="I31" s="57" t="str">
        <f>IF(Oct[[#This Row],[Name]]="","",IF(NOT(ISNUMBER(Oct[[#This Row],[Highest Weight in the Past 3 - 6 Months]])),"N/A",IF(Oct[[#This Row],[October Weight (kg)]]=Oct[[#This Row],[Highest Weight in the Past 3 - 6 Months]],0,Oct[[#This Row],[October Weight (kg)]]-Oct[[#This Row],[Highest Weight in the Past 3 - 6 Months]])))</f>
        <v/>
      </c>
      <c r="J31"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1" s="130"/>
      <c r="L31" s="131"/>
      <c r="M31"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1" s="64" t="str">
        <f>IF(Oct[[#This Row],[Name]]="","",IF(Oct[[#This Row],[October MUST Score ]]=0,"Low",IF(Oct[[#This Row],[October MUST Score ]]=1,"Medium","High")))</f>
        <v/>
      </c>
      <c r="O31" s="10"/>
      <c r="P31" s="70"/>
      <c r="Q31" s="12"/>
      <c r="R31" s="17"/>
      <c r="S31" s="10"/>
      <c r="T31" s="17"/>
      <c r="U31" s="70"/>
      <c r="V31" s="11"/>
      <c r="W31" s="94"/>
      <c r="X31" s="12"/>
      <c r="Y31" s="11"/>
    </row>
    <row r="32" spans="2:25" x14ac:dyDescent="0.25">
      <c r="B32" s="12"/>
      <c r="C32" s="129"/>
      <c r="D32" s="94"/>
      <c r="E32" s="58" t="str">
        <f>IF(Oct[[#This Row],[Name]]="","",Oct[[#This Row],[October Weight (kg)]]/(VLOOKUP(Oct[[#This Row],[Name]],Overview[],2,FALSE)/100)^2)</f>
        <v/>
      </c>
      <c r="F32" s="58" t="str">
        <f>IF(Oct[[#This Row],[Name]]="","",IF(VLOOKUP(Oct[[#This Row],[Name]],Overview[],17,FALSE)="","N/A",Oct[[#This Row],[October Weight (kg)]]-VLOOKUP(Oct[[#This Row],[Name]],Overview[],17,FALSE)))</f>
        <v/>
      </c>
      <c r="G32" s="175" t="str">
        <f>IF(Oct[[#This Row],[Name]]="","",IF(VLOOKUP(Oct[[#This Row],[Name]],Overview[],17,FALSE)="","N/A",(Oct[[#This Row],[October Weight (kg)]]-VLOOKUP(Oct[[#This Row],[Name]],Overview[],17,FALSE))/VLOOKUP(Oct[[#This Row],[Name]],Overview[],17,FALSE)))</f>
        <v/>
      </c>
      <c r="H32" s="61" t="str" cm="1">
        <f t="array" ref="H32">IF(Oct[[#This Row],[Name]]="","",IF(SUMPRODUCT((Overview[Name]=Oct[[#This Row],[Name]])*ISNUMBER(Overview[[April 
Weight (kg)]:[July 
Weight (kg) ]]))=0,"N/A",MAX(IF((Overview[Name]=Oct[[#This Row],[Name]])*ISNUMBER(Overview[[April 
Weight (kg)]:[July 
Weight (kg) ]]),Overview[[April 
Weight (kg)]:[July 
Weight (kg) ]]))))</f>
        <v/>
      </c>
      <c r="I32" s="57" t="str">
        <f>IF(Oct[[#This Row],[Name]]="","",IF(NOT(ISNUMBER(Oct[[#This Row],[Highest Weight in the Past 3 - 6 Months]])),"N/A",IF(Oct[[#This Row],[October Weight (kg)]]=Oct[[#This Row],[Highest Weight in the Past 3 - 6 Months]],0,Oct[[#This Row],[October Weight (kg)]]-Oct[[#This Row],[Highest Weight in the Past 3 - 6 Months]])))</f>
        <v/>
      </c>
      <c r="J32"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2" s="130"/>
      <c r="L32" s="131"/>
      <c r="M32"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2" s="64" t="str">
        <f>IF(Oct[[#This Row],[Name]]="","",IF(Oct[[#This Row],[October MUST Score ]]=0,"Low",IF(Oct[[#This Row],[October MUST Score ]]=1,"Medium","High")))</f>
        <v/>
      </c>
      <c r="O32" s="10"/>
      <c r="P32" s="70"/>
      <c r="Q32" s="12"/>
      <c r="R32" s="17"/>
      <c r="S32" s="10"/>
      <c r="T32" s="17"/>
      <c r="U32" s="70"/>
      <c r="V32" s="11"/>
      <c r="W32" s="94"/>
      <c r="X32" s="12"/>
      <c r="Y32" s="11"/>
    </row>
    <row r="33" spans="2:25" x14ac:dyDescent="0.25">
      <c r="B33" s="12"/>
      <c r="C33" s="129"/>
      <c r="D33" s="94"/>
      <c r="E33" s="58" t="str">
        <f>IF(Oct[[#This Row],[Name]]="","",Oct[[#This Row],[October Weight (kg)]]/(VLOOKUP(Oct[[#This Row],[Name]],Overview[],2,FALSE)/100)^2)</f>
        <v/>
      </c>
      <c r="F33" s="58" t="str">
        <f>IF(Oct[[#This Row],[Name]]="","",IF(VLOOKUP(Oct[[#This Row],[Name]],Overview[],17,FALSE)="","N/A",Oct[[#This Row],[October Weight (kg)]]-VLOOKUP(Oct[[#This Row],[Name]],Overview[],17,FALSE)))</f>
        <v/>
      </c>
      <c r="G33" s="175" t="str">
        <f>IF(Oct[[#This Row],[Name]]="","",IF(VLOOKUP(Oct[[#This Row],[Name]],Overview[],17,FALSE)="","N/A",(Oct[[#This Row],[October Weight (kg)]]-VLOOKUP(Oct[[#This Row],[Name]],Overview[],17,FALSE))/VLOOKUP(Oct[[#This Row],[Name]],Overview[],17,FALSE)))</f>
        <v/>
      </c>
      <c r="H33" s="61" t="str" cm="1">
        <f t="array" ref="H33">IF(Oct[[#This Row],[Name]]="","",IF(SUMPRODUCT((Overview[Name]=Oct[[#This Row],[Name]])*ISNUMBER(Overview[[April 
Weight (kg)]:[July 
Weight (kg) ]]))=0,"N/A",MAX(IF((Overview[Name]=Oct[[#This Row],[Name]])*ISNUMBER(Overview[[April 
Weight (kg)]:[July 
Weight (kg) ]]),Overview[[April 
Weight (kg)]:[July 
Weight (kg) ]]))))</f>
        <v/>
      </c>
      <c r="I33" s="57" t="str">
        <f>IF(Oct[[#This Row],[Name]]="","",IF(NOT(ISNUMBER(Oct[[#This Row],[Highest Weight in the Past 3 - 6 Months]])),"N/A",IF(Oct[[#This Row],[October Weight (kg)]]=Oct[[#This Row],[Highest Weight in the Past 3 - 6 Months]],0,Oct[[#This Row],[October Weight (kg)]]-Oct[[#This Row],[Highest Weight in the Past 3 - 6 Months]])))</f>
        <v/>
      </c>
      <c r="J33"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3" s="130"/>
      <c r="L33" s="131"/>
      <c r="M33"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3" s="64" t="str">
        <f>IF(Oct[[#This Row],[Name]]="","",IF(Oct[[#This Row],[October MUST Score ]]=0,"Low",IF(Oct[[#This Row],[October MUST Score ]]=1,"Medium","High")))</f>
        <v/>
      </c>
      <c r="O33" s="10"/>
      <c r="P33" s="70"/>
      <c r="Q33" s="12"/>
      <c r="R33" s="17"/>
      <c r="S33" s="10"/>
      <c r="T33" s="17"/>
      <c r="U33" s="70"/>
      <c r="V33" s="11"/>
      <c r="W33" s="94"/>
      <c r="X33" s="12"/>
      <c r="Y33" s="11"/>
    </row>
    <row r="34" spans="2:25" x14ac:dyDescent="0.25">
      <c r="B34" s="12"/>
      <c r="C34" s="129"/>
      <c r="D34" s="94"/>
      <c r="E34" s="58" t="str">
        <f>IF(Oct[[#This Row],[Name]]="","",Oct[[#This Row],[October Weight (kg)]]/(VLOOKUP(Oct[[#This Row],[Name]],Overview[],2,FALSE)/100)^2)</f>
        <v/>
      </c>
      <c r="F34" s="58" t="str">
        <f>IF(Oct[[#This Row],[Name]]="","",IF(VLOOKUP(Oct[[#This Row],[Name]],Overview[],17,FALSE)="","N/A",Oct[[#This Row],[October Weight (kg)]]-VLOOKUP(Oct[[#This Row],[Name]],Overview[],17,FALSE)))</f>
        <v/>
      </c>
      <c r="G34" s="175" t="str">
        <f>IF(Oct[[#This Row],[Name]]="","",IF(VLOOKUP(Oct[[#This Row],[Name]],Overview[],17,FALSE)="","N/A",(Oct[[#This Row],[October Weight (kg)]]-VLOOKUP(Oct[[#This Row],[Name]],Overview[],17,FALSE))/VLOOKUP(Oct[[#This Row],[Name]],Overview[],17,FALSE)))</f>
        <v/>
      </c>
      <c r="H34" s="61" t="str" cm="1">
        <f t="array" ref="H34">IF(Oct[[#This Row],[Name]]="","",IF(SUMPRODUCT((Overview[Name]=Oct[[#This Row],[Name]])*ISNUMBER(Overview[[April 
Weight (kg)]:[July 
Weight (kg) ]]))=0,"N/A",MAX(IF((Overview[Name]=Oct[[#This Row],[Name]])*ISNUMBER(Overview[[April 
Weight (kg)]:[July 
Weight (kg) ]]),Overview[[April 
Weight (kg)]:[July 
Weight (kg) ]]))))</f>
        <v/>
      </c>
      <c r="I34" s="57" t="str">
        <f>IF(Oct[[#This Row],[Name]]="","",IF(NOT(ISNUMBER(Oct[[#This Row],[Highest Weight in the Past 3 - 6 Months]])),"N/A",IF(Oct[[#This Row],[October Weight (kg)]]=Oct[[#This Row],[Highest Weight in the Past 3 - 6 Months]],0,Oct[[#This Row],[October Weight (kg)]]-Oct[[#This Row],[Highest Weight in the Past 3 - 6 Months]])))</f>
        <v/>
      </c>
      <c r="J34"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4" s="130"/>
      <c r="L34" s="131"/>
      <c r="M34"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4" s="64" t="str">
        <f>IF(Oct[[#This Row],[Name]]="","",IF(Oct[[#This Row],[October MUST Score ]]=0,"Low",IF(Oct[[#This Row],[October MUST Score ]]=1,"Medium","High")))</f>
        <v/>
      </c>
      <c r="O34" s="10"/>
      <c r="P34" s="70"/>
      <c r="Q34" s="12"/>
      <c r="R34" s="17"/>
      <c r="S34" s="10"/>
      <c r="T34" s="17"/>
      <c r="U34" s="70"/>
      <c r="V34" s="11"/>
      <c r="W34" s="94"/>
      <c r="X34" s="12"/>
      <c r="Y34" s="11"/>
    </row>
    <row r="35" spans="2:25" x14ac:dyDescent="0.25">
      <c r="B35" s="12"/>
      <c r="C35" s="129"/>
      <c r="D35" s="94"/>
      <c r="E35" s="58" t="str">
        <f>IF(Oct[[#This Row],[Name]]="","",Oct[[#This Row],[October Weight (kg)]]/(VLOOKUP(Oct[[#This Row],[Name]],Overview[],2,FALSE)/100)^2)</f>
        <v/>
      </c>
      <c r="F35" s="58" t="str">
        <f>IF(Oct[[#This Row],[Name]]="","",IF(VLOOKUP(Oct[[#This Row],[Name]],Overview[],17,FALSE)="","N/A",Oct[[#This Row],[October Weight (kg)]]-VLOOKUP(Oct[[#This Row],[Name]],Overview[],17,FALSE)))</f>
        <v/>
      </c>
      <c r="G35" s="175" t="str">
        <f>IF(Oct[[#This Row],[Name]]="","",IF(VLOOKUP(Oct[[#This Row],[Name]],Overview[],17,FALSE)="","N/A",(Oct[[#This Row],[October Weight (kg)]]-VLOOKUP(Oct[[#This Row],[Name]],Overview[],17,FALSE))/VLOOKUP(Oct[[#This Row],[Name]],Overview[],17,FALSE)))</f>
        <v/>
      </c>
      <c r="H35" s="61" t="str" cm="1">
        <f t="array" ref="H35">IF(Oct[[#This Row],[Name]]="","",IF(SUMPRODUCT((Overview[Name]=Oct[[#This Row],[Name]])*ISNUMBER(Overview[[April 
Weight (kg)]:[July 
Weight (kg) ]]))=0,"N/A",MAX(IF((Overview[Name]=Oct[[#This Row],[Name]])*ISNUMBER(Overview[[April 
Weight (kg)]:[July 
Weight (kg) ]]),Overview[[April 
Weight (kg)]:[July 
Weight (kg) ]]))))</f>
        <v/>
      </c>
      <c r="I35" s="57" t="str">
        <f>IF(Oct[[#This Row],[Name]]="","",IF(NOT(ISNUMBER(Oct[[#This Row],[Highest Weight in the Past 3 - 6 Months]])),"N/A",IF(Oct[[#This Row],[October Weight (kg)]]=Oct[[#This Row],[Highest Weight in the Past 3 - 6 Months]],0,Oct[[#This Row],[October Weight (kg)]]-Oct[[#This Row],[Highest Weight in the Past 3 - 6 Months]])))</f>
        <v/>
      </c>
      <c r="J35"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5" s="130"/>
      <c r="L35" s="131"/>
      <c r="M35"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5" s="64" t="str">
        <f>IF(Oct[[#This Row],[Name]]="","",IF(Oct[[#This Row],[October MUST Score ]]=0,"Low",IF(Oct[[#This Row],[October MUST Score ]]=1,"Medium","High")))</f>
        <v/>
      </c>
      <c r="O35" s="10"/>
      <c r="P35" s="70"/>
      <c r="Q35" s="12"/>
      <c r="R35" s="17"/>
      <c r="S35" s="10"/>
      <c r="T35" s="17"/>
      <c r="U35" s="70"/>
      <c r="V35" s="11"/>
      <c r="W35" s="94"/>
      <c r="X35" s="12"/>
      <c r="Y35" s="11"/>
    </row>
    <row r="36" spans="2:25" x14ac:dyDescent="0.25">
      <c r="B36" s="12"/>
      <c r="C36" s="129"/>
      <c r="D36" s="94"/>
      <c r="E36" s="58" t="str">
        <f>IF(Oct[[#This Row],[Name]]="","",Oct[[#This Row],[October Weight (kg)]]/(VLOOKUP(Oct[[#This Row],[Name]],Overview[],2,FALSE)/100)^2)</f>
        <v/>
      </c>
      <c r="F36" s="58" t="str">
        <f>IF(Oct[[#This Row],[Name]]="","",IF(VLOOKUP(Oct[[#This Row],[Name]],Overview[],17,FALSE)="","N/A",Oct[[#This Row],[October Weight (kg)]]-VLOOKUP(Oct[[#This Row],[Name]],Overview[],17,FALSE)))</f>
        <v/>
      </c>
      <c r="G36" s="175" t="str">
        <f>IF(Oct[[#This Row],[Name]]="","",IF(VLOOKUP(Oct[[#This Row],[Name]],Overview[],17,FALSE)="","N/A",(Oct[[#This Row],[October Weight (kg)]]-VLOOKUP(Oct[[#This Row],[Name]],Overview[],17,FALSE))/VLOOKUP(Oct[[#This Row],[Name]],Overview[],17,FALSE)))</f>
        <v/>
      </c>
      <c r="H36" s="61" t="str" cm="1">
        <f t="array" ref="H36">IF(Oct[[#This Row],[Name]]="","",IF(SUMPRODUCT((Overview[Name]=Oct[[#This Row],[Name]])*ISNUMBER(Overview[[April 
Weight (kg)]:[July 
Weight (kg) ]]))=0,"N/A",MAX(IF((Overview[Name]=Oct[[#This Row],[Name]])*ISNUMBER(Overview[[April 
Weight (kg)]:[July 
Weight (kg) ]]),Overview[[April 
Weight (kg)]:[July 
Weight (kg) ]]))))</f>
        <v/>
      </c>
      <c r="I36" s="57" t="str">
        <f>IF(Oct[[#This Row],[Name]]="","",IF(NOT(ISNUMBER(Oct[[#This Row],[Highest Weight in the Past 3 - 6 Months]])),"N/A",IF(Oct[[#This Row],[October Weight (kg)]]=Oct[[#This Row],[Highest Weight in the Past 3 - 6 Months]],0,Oct[[#This Row],[October Weight (kg)]]-Oct[[#This Row],[Highest Weight in the Past 3 - 6 Months]])))</f>
        <v/>
      </c>
      <c r="J36"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6" s="130"/>
      <c r="L36" s="131"/>
      <c r="M36"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6" s="64" t="str">
        <f>IF(Oct[[#This Row],[Name]]="","",IF(Oct[[#This Row],[October MUST Score ]]=0,"Low",IF(Oct[[#This Row],[October MUST Score ]]=1,"Medium","High")))</f>
        <v/>
      </c>
      <c r="O36" s="10"/>
      <c r="P36" s="70"/>
      <c r="Q36" s="12"/>
      <c r="R36" s="17"/>
      <c r="S36" s="10"/>
      <c r="T36" s="17"/>
      <c r="U36" s="70"/>
      <c r="V36" s="11"/>
      <c r="W36" s="94"/>
      <c r="X36" s="12"/>
      <c r="Y36" s="11"/>
    </row>
    <row r="37" spans="2:25" x14ac:dyDescent="0.25">
      <c r="B37" s="12"/>
      <c r="C37" s="129"/>
      <c r="D37" s="94"/>
      <c r="E37" s="58" t="str">
        <f>IF(Oct[[#This Row],[Name]]="","",Oct[[#This Row],[October Weight (kg)]]/(VLOOKUP(Oct[[#This Row],[Name]],Overview[],2,FALSE)/100)^2)</f>
        <v/>
      </c>
      <c r="F37" s="58" t="str">
        <f>IF(Oct[[#This Row],[Name]]="","",IF(VLOOKUP(Oct[[#This Row],[Name]],Overview[],17,FALSE)="","N/A",Oct[[#This Row],[October Weight (kg)]]-VLOOKUP(Oct[[#This Row],[Name]],Overview[],17,FALSE)))</f>
        <v/>
      </c>
      <c r="G37" s="175" t="str">
        <f>IF(Oct[[#This Row],[Name]]="","",IF(VLOOKUP(Oct[[#This Row],[Name]],Overview[],17,FALSE)="","N/A",(Oct[[#This Row],[October Weight (kg)]]-VLOOKUP(Oct[[#This Row],[Name]],Overview[],17,FALSE))/VLOOKUP(Oct[[#This Row],[Name]],Overview[],17,FALSE)))</f>
        <v/>
      </c>
      <c r="H37" s="61" t="str" cm="1">
        <f t="array" ref="H37">IF(Oct[[#This Row],[Name]]="","",IF(SUMPRODUCT((Overview[Name]=Oct[[#This Row],[Name]])*ISNUMBER(Overview[[April 
Weight (kg)]:[July 
Weight (kg) ]]))=0,"N/A",MAX(IF((Overview[Name]=Oct[[#This Row],[Name]])*ISNUMBER(Overview[[April 
Weight (kg)]:[July 
Weight (kg) ]]),Overview[[April 
Weight (kg)]:[July 
Weight (kg) ]]))))</f>
        <v/>
      </c>
      <c r="I37" s="57" t="str">
        <f>IF(Oct[[#This Row],[Name]]="","",IF(NOT(ISNUMBER(Oct[[#This Row],[Highest Weight in the Past 3 - 6 Months]])),"N/A",IF(Oct[[#This Row],[October Weight (kg)]]=Oct[[#This Row],[Highest Weight in the Past 3 - 6 Months]],0,Oct[[#This Row],[October Weight (kg)]]-Oct[[#This Row],[Highest Weight in the Past 3 - 6 Months]])))</f>
        <v/>
      </c>
      <c r="J37"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7" s="130"/>
      <c r="L37" s="131"/>
      <c r="M37"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7" s="64" t="str">
        <f>IF(Oct[[#This Row],[Name]]="","",IF(Oct[[#This Row],[October MUST Score ]]=0,"Low",IF(Oct[[#This Row],[October MUST Score ]]=1,"Medium","High")))</f>
        <v/>
      </c>
      <c r="O37" s="10"/>
      <c r="P37" s="70"/>
      <c r="Q37" s="12"/>
      <c r="R37" s="17"/>
      <c r="S37" s="10"/>
      <c r="T37" s="17"/>
      <c r="U37" s="70"/>
      <c r="V37" s="11"/>
      <c r="W37" s="94"/>
      <c r="X37" s="12"/>
      <c r="Y37" s="11"/>
    </row>
    <row r="38" spans="2:25" x14ac:dyDescent="0.25">
      <c r="B38" s="12"/>
      <c r="C38" s="129"/>
      <c r="D38" s="94"/>
      <c r="E38" s="58" t="str">
        <f>IF(Oct[[#This Row],[Name]]="","",Oct[[#This Row],[October Weight (kg)]]/(VLOOKUP(Oct[[#This Row],[Name]],Overview[],2,FALSE)/100)^2)</f>
        <v/>
      </c>
      <c r="F38" s="58" t="str">
        <f>IF(Oct[[#This Row],[Name]]="","",IF(VLOOKUP(Oct[[#This Row],[Name]],Overview[],17,FALSE)="","N/A",Oct[[#This Row],[October Weight (kg)]]-VLOOKUP(Oct[[#This Row],[Name]],Overview[],17,FALSE)))</f>
        <v/>
      </c>
      <c r="G38" s="175" t="str">
        <f>IF(Oct[[#This Row],[Name]]="","",IF(VLOOKUP(Oct[[#This Row],[Name]],Overview[],17,FALSE)="","N/A",(Oct[[#This Row],[October Weight (kg)]]-VLOOKUP(Oct[[#This Row],[Name]],Overview[],17,FALSE))/VLOOKUP(Oct[[#This Row],[Name]],Overview[],17,FALSE)))</f>
        <v/>
      </c>
      <c r="H38" s="61" t="str" cm="1">
        <f t="array" ref="H38">IF(Oct[[#This Row],[Name]]="","",IF(SUMPRODUCT((Overview[Name]=Oct[[#This Row],[Name]])*ISNUMBER(Overview[[April 
Weight (kg)]:[July 
Weight (kg) ]]))=0,"N/A",MAX(IF((Overview[Name]=Oct[[#This Row],[Name]])*ISNUMBER(Overview[[April 
Weight (kg)]:[July 
Weight (kg) ]]),Overview[[April 
Weight (kg)]:[July 
Weight (kg) ]]))))</f>
        <v/>
      </c>
      <c r="I38" s="57" t="str">
        <f>IF(Oct[[#This Row],[Name]]="","",IF(NOT(ISNUMBER(Oct[[#This Row],[Highest Weight in the Past 3 - 6 Months]])),"N/A",IF(Oct[[#This Row],[October Weight (kg)]]=Oct[[#This Row],[Highest Weight in the Past 3 - 6 Months]],0,Oct[[#This Row],[October Weight (kg)]]-Oct[[#This Row],[Highest Weight in the Past 3 - 6 Months]])))</f>
        <v/>
      </c>
      <c r="J38"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8" s="130"/>
      <c r="L38" s="131"/>
      <c r="M38"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8" s="64" t="str">
        <f>IF(Oct[[#This Row],[Name]]="","",IF(Oct[[#This Row],[October MUST Score ]]=0,"Low",IF(Oct[[#This Row],[October MUST Score ]]=1,"Medium","High")))</f>
        <v/>
      </c>
      <c r="O38" s="10"/>
      <c r="P38" s="70"/>
      <c r="Q38" s="12"/>
      <c r="R38" s="17"/>
      <c r="S38" s="10"/>
      <c r="T38" s="17"/>
      <c r="U38" s="70"/>
      <c r="V38" s="11"/>
      <c r="W38" s="94"/>
      <c r="X38" s="12"/>
      <c r="Y38" s="11"/>
    </row>
    <row r="39" spans="2:25" x14ac:dyDescent="0.25">
      <c r="B39" s="12"/>
      <c r="C39" s="129"/>
      <c r="D39" s="94"/>
      <c r="E39" s="58" t="str">
        <f>IF(Oct[[#This Row],[Name]]="","",Oct[[#This Row],[October Weight (kg)]]/(VLOOKUP(Oct[[#This Row],[Name]],Overview[],2,FALSE)/100)^2)</f>
        <v/>
      </c>
      <c r="F39" s="58" t="str">
        <f>IF(Oct[[#This Row],[Name]]="","",IF(VLOOKUP(Oct[[#This Row],[Name]],Overview[],17,FALSE)="","N/A",Oct[[#This Row],[October Weight (kg)]]-VLOOKUP(Oct[[#This Row],[Name]],Overview[],17,FALSE)))</f>
        <v/>
      </c>
      <c r="G39" s="175" t="str">
        <f>IF(Oct[[#This Row],[Name]]="","",IF(VLOOKUP(Oct[[#This Row],[Name]],Overview[],17,FALSE)="","N/A",(Oct[[#This Row],[October Weight (kg)]]-VLOOKUP(Oct[[#This Row],[Name]],Overview[],17,FALSE))/VLOOKUP(Oct[[#This Row],[Name]],Overview[],17,FALSE)))</f>
        <v/>
      </c>
      <c r="H39" s="61" t="str" cm="1">
        <f t="array" ref="H39">IF(Oct[[#This Row],[Name]]="","",IF(SUMPRODUCT((Overview[Name]=Oct[[#This Row],[Name]])*ISNUMBER(Overview[[April 
Weight (kg)]:[July 
Weight (kg) ]]))=0,"N/A",MAX(IF((Overview[Name]=Oct[[#This Row],[Name]])*ISNUMBER(Overview[[April 
Weight (kg)]:[July 
Weight (kg) ]]),Overview[[April 
Weight (kg)]:[July 
Weight (kg) ]]))))</f>
        <v/>
      </c>
      <c r="I39" s="57" t="str">
        <f>IF(Oct[[#This Row],[Name]]="","",IF(NOT(ISNUMBER(Oct[[#This Row],[Highest Weight in the Past 3 - 6 Months]])),"N/A",IF(Oct[[#This Row],[October Weight (kg)]]=Oct[[#This Row],[Highest Weight in the Past 3 - 6 Months]],0,Oct[[#This Row],[October Weight (kg)]]-Oct[[#This Row],[Highest Weight in the Past 3 - 6 Months]])))</f>
        <v/>
      </c>
      <c r="J39"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39" s="130"/>
      <c r="L39" s="131"/>
      <c r="M39"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39" s="64" t="str">
        <f>IF(Oct[[#This Row],[Name]]="","",IF(Oct[[#This Row],[October MUST Score ]]=0,"Low",IF(Oct[[#This Row],[October MUST Score ]]=1,"Medium","High")))</f>
        <v/>
      </c>
      <c r="O39" s="10"/>
      <c r="P39" s="70"/>
      <c r="Q39" s="12"/>
      <c r="R39" s="17"/>
      <c r="S39" s="10"/>
      <c r="T39" s="17"/>
      <c r="U39" s="70"/>
      <c r="V39" s="11"/>
      <c r="W39" s="94"/>
      <c r="X39" s="12"/>
      <c r="Y39" s="11"/>
    </row>
    <row r="40" spans="2:25" x14ac:dyDescent="0.25">
      <c r="B40" s="12"/>
      <c r="C40" s="129"/>
      <c r="D40" s="94"/>
      <c r="E40" s="58" t="str">
        <f>IF(Oct[[#This Row],[Name]]="","",Oct[[#This Row],[October Weight (kg)]]/(VLOOKUP(Oct[[#This Row],[Name]],Overview[],2,FALSE)/100)^2)</f>
        <v/>
      </c>
      <c r="F40" s="58" t="str">
        <f>IF(Oct[[#This Row],[Name]]="","",IF(VLOOKUP(Oct[[#This Row],[Name]],Overview[],17,FALSE)="","N/A",Oct[[#This Row],[October Weight (kg)]]-VLOOKUP(Oct[[#This Row],[Name]],Overview[],17,FALSE)))</f>
        <v/>
      </c>
      <c r="G40" s="175" t="str">
        <f>IF(Oct[[#This Row],[Name]]="","",IF(VLOOKUP(Oct[[#This Row],[Name]],Overview[],17,FALSE)="","N/A",(Oct[[#This Row],[October Weight (kg)]]-VLOOKUP(Oct[[#This Row],[Name]],Overview[],17,FALSE))/VLOOKUP(Oct[[#This Row],[Name]],Overview[],17,FALSE)))</f>
        <v/>
      </c>
      <c r="H40" s="61" t="str" cm="1">
        <f t="array" ref="H40">IF(Oct[[#This Row],[Name]]="","",IF(SUMPRODUCT((Overview[Name]=Oct[[#This Row],[Name]])*ISNUMBER(Overview[[April 
Weight (kg)]:[July 
Weight (kg) ]]))=0,"N/A",MAX(IF((Overview[Name]=Oct[[#This Row],[Name]])*ISNUMBER(Overview[[April 
Weight (kg)]:[July 
Weight (kg) ]]),Overview[[April 
Weight (kg)]:[July 
Weight (kg) ]]))))</f>
        <v/>
      </c>
      <c r="I40" s="57" t="str">
        <f>IF(Oct[[#This Row],[Name]]="","",IF(NOT(ISNUMBER(Oct[[#This Row],[Highest Weight in the Past 3 - 6 Months]])),"N/A",IF(Oct[[#This Row],[October Weight (kg)]]=Oct[[#This Row],[Highest Weight in the Past 3 - 6 Months]],0,Oct[[#This Row],[October Weight (kg)]]-Oct[[#This Row],[Highest Weight in the Past 3 - 6 Months]])))</f>
        <v/>
      </c>
      <c r="J40"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40" s="130"/>
      <c r="L40" s="131"/>
      <c r="M40"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40" s="64" t="str">
        <f>IF(Oct[[#This Row],[Name]]="","",IF(Oct[[#This Row],[October MUST Score ]]=0,"Low",IF(Oct[[#This Row],[October MUST Score ]]=1,"Medium","High")))</f>
        <v/>
      </c>
      <c r="O40" s="10"/>
      <c r="P40" s="70"/>
      <c r="Q40" s="12"/>
      <c r="R40" s="17"/>
      <c r="S40" s="10"/>
      <c r="T40" s="17"/>
      <c r="U40" s="70"/>
      <c r="V40" s="11"/>
      <c r="W40" s="94"/>
      <c r="X40" s="12"/>
      <c r="Y40" s="11"/>
    </row>
    <row r="41" spans="2:25" x14ac:dyDescent="0.25">
      <c r="B41" s="12"/>
      <c r="C41" s="129"/>
      <c r="D41" s="94"/>
      <c r="E41" s="58" t="str">
        <f>IF(Oct[[#This Row],[Name]]="","",Oct[[#This Row],[October Weight (kg)]]/(VLOOKUP(Oct[[#This Row],[Name]],Overview[],2,FALSE)/100)^2)</f>
        <v/>
      </c>
      <c r="F41" s="58" t="str">
        <f>IF(Oct[[#This Row],[Name]]="","",IF(VLOOKUP(Oct[[#This Row],[Name]],Overview[],17,FALSE)="","N/A",Oct[[#This Row],[October Weight (kg)]]-VLOOKUP(Oct[[#This Row],[Name]],Overview[],17,FALSE)))</f>
        <v/>
      </c>
      <c r="G41" s="175" t="str">
        <f>IF(Oct[[#This Row],[Name]]="","",IF(VLOOKUP(Oct[[#This Row],[Name]],Overview[],17,FALSE)="","N/A",(Oct[[#This Row],[October Weight (kg)]]-VLOOKUP(Oct[[#This Row],[Name]],Overview[],17,FALSE))/VLOOKUP(Oct[[#This Row],[Name]],Overview[],17,FALSE)))</f>
        <v/>
      </c>
      <c r="H41" s="61" t="str" cm="1">
        <f t="array" ref="H41">IF(Oct[[#This Row],[Name]]="","",IF(SUMPRODUCT((Overview[Name]=Oct[[#This Row],[Name]])*ISNUMBER(Overview[[April 
Weight (kg)]:[July 
Weight (kg) ]]))=0,"N/A",MAX(IF((Overview[Name]=Oct[[#This Row],[Name]])*ISNUMBER(Overview[[April 
Weight (kg)]:[July 
Weight (kg) ]]),Overview[[April 
Weight (kg)]:[July 
Weight (kg) ]]))))</f>
        <v/>
      </c>
      <c r="I41" s="57" t="str">
        <f>IF(Oct[[#This Row],[Name]]="","",IF(NOT(ISNUMBER(Oct[[#This Row],[Highest Weight in the Past 3 - 6 Months]])),"N/A",IF(Oct[[#This Row],[October Weight (kg)]]=Oct[[#This Row],[Highest Weight in the Past 3 - 6 Months]],0,Oct[[#This Row],[October Weight (kg)]]-Oct[[#This Row],[Highest Weight in the Past 3 - 6 Months]])))</f>
        <v/>
      </c>
      <c r="J41"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41" s="130"/>
      <c r="L41" s="131"/>
      <c r="M41" s="76"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41" s="64" t="str">
        <f>IF(Oct[[#This Row],[Name]]="","",IF(Oct[[#This Row],[October MUST Score ]]=0,"Low",IF(Oct[[#This Row],[October MUST Score ]]=1,"Medium","High")))</f>
        <v/>
      </c>
      <c r="O41" s="10"/>
      <c r="P41" s="70"/>
      <c r="Q41" s="12"/>
      <c r="R41" s="17"/>
      <c r="S41" s="10"/>
      <c r="T41" s="17"/>
      <c r="U41" s="70"/>
      <c r="V41" s="11"/>
      <c r="W41" s="94"/>
      <c r="X41" s="12"/>
      <c r="Y41" s="11"/>
    </row>
    <row r="42" spans="2:25" ht="15.75" thickBot="1" x14ac:dyDescent="0.3">
      <c r="B42" s="18"/>
      <c r="C42" s="132"/>
      <c r="D42" s="95"/>
      <c r="E42" s="60" t="str">
        <f>IF(Oct[[#This Row],[Name]]="","",Oct[[#This Row],[October Weight (kg)]]/(VLOOKUP(Oct[[#This Row],[Name]],Overview[],2,FALSE)/100)^2)</f>
        <v/>
      </c>
      <c r="F42" s="60" t="str">
        <f>IF(Oct[[#This Row],[Name]]="","",IF(VLOOKUP(Oct[[#This Row],[Name]],Overview[],17,FALSE)="","N/A",Oct[[#This Row],[October Weight (kg)]]-VLOOKUP(Oct[[#This Row],[Name]],Overview[],17,FALSE)))</f>
        <v/>
      </c>
      <c r="G42" s="176" t="str">
        <f>IF(Oct[[#This Row],[Name]]="","",IF(VLOOKUP(Oct[[#This Row],[Name]],Overview[],17,FALSE)="","N/A",(Oct[[#This Row],[October Weight (kg)]]-VLOOKUP(Oct[[#This Row],[Name]],Overview[],17,FALSE))/VLOOKUP(Oct[[#This Row],[Name]],Overview[],17,FALSE)))</f>
        <v/>
      </c>
      <c r="H42" s="61" t="str" cm="1">
        <f t="array" ref="H42">IF(Oct[[#This Row],[Name]]="","",IF(SUMPRODUCT((Overview[Name]=Oct[[#This Row],[Name]])*ISNUMBER(Overview[[April 
Weight (kg)]:[July 
Weight (kg) ]]))=0,"N/A",MAX(IF((Overview[Name]=Oct[[#This Row],[Name]])*ISNUMBER(Overview[[April 
Weight (kg)]:[July 
Weight (kg) ]]),Overview[[April 
Weight (kg)]:[July 
Weight (kg) ]]))))</f>
        <v/>
      </c>
      <c r="I42" s="57" t="str">
        <f>IF(Oct[[#This Row],[Name]]="","",IF(NOT(ISNUMBER(Oct[[#This Row],[Highest Weight in the Past 3 - 6 Months]])),"N/A",IF(Oct[[#This Row],[October Weight (kg)]]=Oct[[#This Row],[Highest Weight in the Past 3 - 6 Months]],0,Oct[[#This Row],[October Weight (kg)]]-Oct[[#This Row],[Highest Weight in the Past 3 - 6 Months]])))</f>
        <v/>
      </c>
      <c r="J42" s="179" t="str">
        <f>IF(Oct[[#This Row],[Name]]="","",IF(OR(Oct[[#This Row],[Highest Weight in the Past 3 - 6 Months]]="",Oct[[#This Row],[Highest Weight in the Past 3 - 6 Months]]="N/A"),"N/A",IFERROR(Oct[[#This Row],[Weight (kg) Difference from Highest Weight in Past 3 - 6 Months (Current Month - Highest Month)]]/Oct[[#This Row],[Highest Weight in the Past 3 - 6 Months]],"N/A")))</f>
        <v/>
      </c>
      <c r="K42" s="133"/>
      <c r="L42" s="134"/>
      <c r="M42" s="77" t="str">
        <f>IF(Oct[[#This Row],[Name]]="","",IFERROR(IF(Oct[[#This Row],[October BMI (kg/m2)]]&gt;20,0,IF(Oct[[#This Row],[October BMI (kg/m2)]]&gt;=18.5,1,2))+IF(Oct[[#This Row],[If Weight has been lost, is this Planned? (Yes/No)]]="Yes",0,IF(Oct[[#This Row],[Weight (kg) Difference from Highest Weight in 3 - 6 months as %]]&gt;-0.05,0,IF(Oct[[#This Row],[Weight (kg) Difference from Highest Weight in 3 - 6 months as %]]&gt;=-0.1,1,2))),""))</f>
        <v/>
      </c>
      <c r="N42" s="64" t="str">
        <f>IF(Oct[[#This Row],[Name]]="","",IF(Oct[[#This Row],[October MUST Score ]]=0,"Low",IF(Oct[[#This Row],[October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27" priority="6" operator="greaterThanOrEqual">
      <formula>2</formula>
    </cfRule>
    <cfRule type="cellIs" dxfId="26" priority="7" operator="equal">
      <formula>1</formula>
    </cfRule>
    <cfRule type="cellIs" dxfId="25" priority="8" operator="equal">
      <formula>0</formula>
    </cfRule>
  </conditionalFormatting>
  <conditionalFormatting sqref="N8:N42">
    <cfRule type="containsText" dxfId="24" priority="2" operator="containsText" text="High">
      <formula>NOT(ISERROR(SEARCH("High",N8)))</formula>
    </cfRule>
    <cfRule type="containsText" dxfId="23" priority="3" operator="containsText" text="Medium">
      <formula>NOT(ISERROR(SEARCH("Medium",N8)))</formula>
    </cfRule>
    <cfRule type="containsText" dxfId="22" priority="4" operator="containsText" text="Low">
      <formula>NOT(ISERROR(SEARCH("Low",N8)))</formula>
    </cfRule>
  </conditionalFormatting>
  <conditionalFormatting sqref="W8:X42">
    <cfRule type="containsText" dxfId="21"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D4A61109-CCA3-4EEC-8F45-FF3453D9AB55}">
          <x14:formula1>
            <xm:f>Validation!$A$2:$A$3</xm:f>
          </x14:formula1>
          <xm:sqref>O8:O42 K8:L42 W8:W42 Q8:Q42 S8:S42</xm:sqref>
        </x14:dataValidation>
        <x14:dataValidation type="list" allowBlank="1" showInputMessage="1" showErrorMessage="1" xr:uid="{59A011A0-134C-4A64-943B-109E8FD13E59}">
          <x14:formula1>
            <xm:f>'Weight Overview'!$B$4:$B$38</xm:f>
          </x14:formula1>
          <xm:sqref>B8:B42</xm:sqref>
        </x14:dataValidation>
        <x14:dataValidation type="list" allowBlank="1" showInputMessage="1" showErrorMessage="1" xr:uid="{170545E0-96A0-45F4-A869-74898BBD49BC}">
          <x14:formula1>
            <xm:f>Validation!$A$27:$A$31</xm:f>
          </x14:formula1>
          <xm:sqref>U8:U42</xm:sqref>
        </x14:dataValidation>
        <x14:dataValidation type="list" allowBlank="1" showInputMessage="1" showErrorMessage="1" xr:uid="{899E66BD-1743-4C79-A4E8-EF4EF58B0EDC}">
          <x14:formula1>
            <xm:f>Validation!$A$33:$A$37</xm:f>
          </x14:formula1>
          <xm:sqref>V8:V42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E2A8-6C71-42F7-ACEB-D3B8525BF843}">
  <sheetPr>
    <tabColor rgb="FF00B0F0"/>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22" t="s">
        <v>1</v>
      </c>
      <c r="C4" s="90" t="s">
        <v>4</v>
      </c>
      <c r="D4" s="123" t="s">
        <v>2</v>
      </c>
      <c r="E4" s="88" t="s">
        <v>3</v>
      </c>
      <c r="Y4" s="62"/>
      <c r="Z4" s="2"/>
    </row>
    <row r="5" spans="2:26" ht="15.75" thickBot="1" x14ac:dyDescent="0.3">
      <c r="B5" s="74"/>
      <c r="C5" s="73"/>
      <c r="D5" s="73"/>
      <c r="E5" s="65"/>
      <c r="P5" s="81"/>
      <c r="W5" s="74"/>
      <c r="X5" s="62"/>
      <c r="Y5" s="62"/>
      <c r="Z5" s="2"/>
    </row>
    <row r="6" spans="2:26" ht="15.75" thickBot="1" x14ac:dyDescent="0.3">
      <c r="C6" s="319" t="s">
        <v>85</v>
      </c>
      <c r="D6" s="320"/>
      <c r="E6" s="320"/>
      <c r="F6" s="320"/>
      <c r="G6" s="321"/>
      <c r="H6" s="304" t="s">
        <v>68</v>
      </c>
      <c r="I6" s="305"/>
      <c r="J6" s="305"/>
      <c r="K6" s="306"/>
      <c r="L6" s="319" t="s">
        <v>69</v>
      </c>
      <c r="M6" s="320"/>
      <c r="N6" s="321"/>
      <c r="O6" s="304" t="s">
        <v>83</v>
      </c>
      <c r="P6" s="305"/>
      <c r="Q6" s="305"/>
      <c r="R6" s="305"/>
      <c r="S6" s="319" t="s">
        <v>84</v>
      </c>
      <c r="T6" s="320"/>
      <c r="U6" s="320"/>
      <c r="V6" s="321"/>
      <c r="Y6" s="63"/>
    </row>
    <row r="7" spans="2:26" ht="105.75" thickBot="1" x14ac:dyDescent="0.3">
      <c r="B7" s="121" t="s">
        <v>0</v>
      </c>
      <c r="C7" s="103" t="s">
        <v>99</v>
      </c>
      <c r="D7" s="101" t="s">
        <v>193</v>
      </c>
      <c r="E7" s="104" t="s">
        <v>163</v>
      </c>
      <c r="F7" s="104" t="s">
        <v>194</v>
      </c>
      <c r="G7" s="102" t="s">
        <v>164</v>
      </c>
      <c r="H7" s="71" t="s">
        <v>72</v>
      </c>
      <c r="I7" s="72" t="s">
        <v>70</v>
      </c>
      <c r="J7" s="67" t="s">
        <v>71</v>
      </c>
      <c r="K7" s="80" t="s">
        <v>64</v>
      </c>
      <c r="L7" s="121" t="s">
        <v>67</v>
      </c>
      <c r="M7" s="104" t="s">
        <v>165</v>
      </c>
      <c r="N7" s="102" t="s">
        <v>166</v>
      </c>
      <c r="O7" s="71" t="s">
        <v>65</v>
      </c>
      <c r="P7" s="68" t="s">
        <v>66</v>
      </c>
      <c r="Q7" s="92" t="s">
        <v>88</v>
      </c>
      <c r="R7" s="67" t="s">
        <v>86</v>
      </c>
      <c r="S7" s="103" t="s">
        <v>89</v>
      </c>
      <c r="T7" s="101" t="s">
        <v>87</v>
      </c>
      <c r="U7" s="101" t="s">
        <v>90</v>
      </c>
      <c r="V7" s="124" t="s">
        <v>91</v>
      </c>
      <c r="W7" s="68" t="s">
        <v>63</v>
      </c>
      <c r="X7" s="67" t="s">
        <v>59</v>
      </c>
      <c r="Y7" s="80" t="s">
        <v>18</v>
      </c>
    </row>
    <row r="8" spans="2:26" x14ac:dyDescent="0.25">
      <c r="B8" s="20"/>
      <c r="C8" s="125"/>
      <c r="D8" s="126"/>
      <c r="E8" s="57" t="str">
        <f>IF(Nov[[#This Row],[Name]]="","",Nov[[#This Row],[November Weight (kg)]]/(VLOOKUP(Nov[[#This Row],[Name]],Overview[],2,FALSE)/100)^2)</f>
        <v/>
      </c>
      <c r="F8" s="57" t="str">
        <f>IF(Nov[[#This Row],[Name]]="","",IF(VLOOKUP(Nov[[#This Row],[Name]],Overview[],18,FALSE)="","N/A",Nov[[#This Row],[November Weight (kg)]]-VLOOKUP(Nov[[#This Row],[Name]],Overview[],18,FALSE)))</f>
        <v/>
      </c>
      <c r="G8" s="174" t="str">
        <f>IF(Nov[[#This Row],[Name]]="","",IF(VLOOKUP(Nov[[#This Row],[Name]],Overview[],18,FALSE)="","N/A",(Nov[[#This Row],[November Weight (kg)]]-VLOOKUP(Nov[[#This Row],[Name]],Overview[],18,FALSE))/VLOOKUP(Nov[[#This Row],[Name]],Overview[],18,FALSE)))</f>
        <v/>
      </c>
      <c r="H8" s="61" t="str" cm="1">
        <f t="array" ref="H8">IF(Nov[[#This Row],[Name]]="","",IF(SUMPRODUCT((Overview[Name]=Nov[[#This Row],[Name]])*ISNUMBER(Overview[[May 
Weight (kg)]:[August 
Weight (kg) ]]))=0,"N/A",MAX(IF((Overview[Name]=Nov[[#This Row],[Name]])*ISNUMBER(Overview[[May 
Weight (kg)]:[August 
Weight (kg) ]]),Overview[[May 
Weight (kg)]:[August 
Weight (kg) ]]))))</f>
        <v/>
      </c>
      <c r="I8" s="57" t="str">
        <f>IF(Nov[[#This Row],[Name]]="","",IF(NOT(ISNUMBER(Nov[[#This Row],[Highest Weight in the Past 3 - 6 Months]])),"N/A",IF(Nov[[#This Row],[November Weight (kg)]]=Nov[[#This Row],[Highest Weight in the Past 3 - 6 Months]],0,Nov[[#This Row],[November Weight (kg)]]-Nov[[#This Row],[Highest Weight in the Past 3 - 6 Months]])))</f>
        <v/>
      </c>
      <c r="J8"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8" s="127"/>
      <c r="L8" s="128"/>
      <c r="M8" s="75"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8" s="64" t="str">
        <f>IF(Nov[[#This Row],[Name]]="","",IF(Nov[[#This Row],[November MUST Score ]]=0,"Low",IF(Nov[[#This Row],[November MUST Score ]]=1,"Medium","High")))</f>
        <v/>
      </c>
      <c r="O8" s="7"/>
      <c r="P8" s="69"/>
      <c r="Q8" s="20"/>
      <c r="R8" s="22"/>
      <c r="S8" s="44"/>
      <c r="T8" s="16"/>
      <c r="U8" s="69"/>
      <c r="V8" s="8"/>
      <c r="W8" s="93"/>
      <c r="X8" s="9"/>
      <c r="Y8" s="8"/>
    </row>
    <row r="9" spans="2:26" x14ac:dyDescent="0.25">
      <c r="B9" s="12"/>
      <c r="C9" s="129"/>
      <c r="D9" s="94"/>
      <c r="E9" s="58" t="str">
        <f>IF(Nov[[#This Row],[Name]]="","",Nov[[#This Row],[November Weight (kg)]]/(VLOOKUP(Nov[[#This Row],[Name]],Overview[],2,FALSE)/100)^2)</f>
        <v/>
      </c>
      <c r="F9" s="58" t="str">
        <f>IF(Nov[[#This Row],[Name]]="","",IF(VLOOKUP(Nov[[#This Row],[Name]],Overview[],18,FALSE)="","N/A",Nov[[#This Row],[November Weight (kg)]]-VLOOKUP(Nov[[#This Row],[Name]],Overview[],18,FALSE)))</f>
        <v/>
      </c>
      <c r="G9" s="175" t="str">
        <f>IF(Nov[[#This Row],[Name]]="","",IF(VLOOKUP(Nov[[#This Row],[Name]],Overview[],18,FALSE)="","N/A",(Nov[[#This Row],[November Weight (kg)]]-VLOOKUP(Nov[[#This Row],[Name]],Overview[],18,FALSE))/VLOOKUP(Nov[[#This Row],[Name]],Overview[],18,FALSE)))</f>
        <v/>
      </c>
      <c r="H9" s="61" t="str" cm="1">
        <f t="array" ref="H9">IF(Nov[[#This Row],[Name]]="","",IF(SUMPRODUCT((Overview[Name]=Nov[[#This Row],[Name]])*ISNUMBER(Overview[[May 
Weight (kg)]:[August 
Weight (kg) ]]))=0,"N/A",MAX(IF((Overview[Name]=Nov[[#This Row],[Name]])*ISNUMBER(Overview[[May 
Weight (kg)]:[August 
Weight (kg) ]]),Overview[[May 
Weight (kg)]:[August 
Weight (kg) ]]))))</f>
        <v/>
      </c>
      <c r="I9" s="57" t="str">
        <f>IF(Nov[[#This Row],[Name]]="","",IF(NOT(ISNUMBER(Nov[[#This Row],[Highest Weight in the Past 3 - 6 Months]])),"N/A",IF(Nov[[#This Row],[November Weight (kg)]]=Nov[[#This Row],[Highest Weight in the Past 3 - 6 Months]],0,Nov[[#This Row],[November Weight (kg)]]-Nov[[#This Row],[Highest Weight in the Past 3 - 6 Months]])))</f>
        <v/>
      </c>
      <c r="J9"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9" s="130"/>
      <c r="L9" s="131"/>
      <c r="M9"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9" s="64" t="str">
        <f>IF(Nov[[#This Row],[Name]]="","",IF(Nov[[#This Row],[November MUST Score ]]=0,"Low",IF(Nov[[#This Row],[November MUST Score ]]=1,"Medium","High")))</f>
        <v/>
      </c>
      <c r="O9" s="44"/>
      <c r="P9" s="66"/>
      <c r="Q9" s="20"/>
      <c r="R9" s="17"/>
      <c r="S9" s="44"/>
      <c r="T9" s="22"/>
      <c r="U9" s="66"/>
      <c r="V9" s="21"/>
      <c r="W9" s="94"/>
      <c r="X9" s="12"/>
      <c r="Y9" s="11"/>
    </row>
    <row r="10" spans="2:26" x14ac:dyDescent="0.25">
      <c r="B10" s="12"/>
      <c r="C10" s="129"/>
      <c r="D10" s="94"/>
      <c r="E10" s="58" t="str">
        <f>IF(Nov[[#This Row],[Name]]="","",Nov[[#This Row],[November Weight (kg)]]/(VLOOKUP(Nov[[#This Row],[Name]],Overview[],2,FALSE)/100)^2)</f>
        <v/>
      </c>
      <c r="F10" s="58" t="str">
        <f>IF(Nov[[#This Row],[Name]]="","",IF(VLOOKUP(Nov[[#This Row],[Name]],Overview[],18,FALSE)="","N/A",Nov[[#This Row],[November Weight (kg)]]-VLOOKUP(Nov[[#This Row],[Name]],Overview[],18,FALSE)))</f>
        <v/>
      </c>
      <c r="G10" s="175" t="str">
        <f>IF(Nov[[#This Row],[Name]]="","",IF(VLOOKUP(Nov[[#This Row],[Name]],Overview[],18,FALSE)="","N/A",(Nov[[#This Row],[November Weight (kg)]]-VLOOKUP(Nov[[#This Row],[Name]],Overview[],18,FALSE))/VLOOKUP(Nov[[#This Row],[Name]],Overview[],18,FALSE)))</f>
        <v/>
      </c>
      <c r="H10" s="61" t="str" cm="1">
        <f t="array" ref="H10">IF(Nov[[#This Row],[Name]]="","",IF(SUMPRODUCT((Overview[Name]=Nov[[#This Row],[Name]])*ISNUMBER(Overview[[May 
Weight (kg)]:[August 
Weight (kg) ]]))=0,"N/A",MAX(IF((Overview[Name]=Nov[[#This Row],[Name]])*ISNUMBER(Overview[[May 
Weight (kg)]:[August 
Weight (kg) ]]),Overview[[May 
Weight (kg)]:[August 
Weight (kg) ]]))))</f>
        <v/>
      </c>
      <c r="I10" s="57" t="str">
        <f>IF(Nov[[#This Row],[Name]]="","",IF(NOT(ISNUMBER(Nov[[#This Row],[Highest Weight in the Past 3 - 6 Months]])),"N/A",IF(Nov[[#This Row],[November Weight (kg)]]=Nov[[#This Row],[Highest Weight in the Past 3 - 6 Months]],0,Nov[[#This Row],[November Weight (kg)]]-Nov[[#This Row],[Highest Weight in the Past 3 - 6 Months]])))</f>
        <v/>
      </c>
      <c r="J10"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0" s="130"/>
      <c r="L10" s="131"/>
      <c r="M10"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0" s="64" t="str">
        <f>IF(Nov[[#This Row],[Name]]="","",IF(Nov[[#This Row],[November MUST Score ]]=0,"Low",IF(Nov[[#This Row],[November MUST Score ]]=1,"Medium","High")))</f>
        <v/>
      </c>
      <c r="O10" s="10"/>
      <c r="P10" s="70"/>
      <c r="Q10" s="12"/>
      <c r="R10" s="17"/>
      <c r="S10" s="10"/>
      <c r="T10" s="17"/>
      <c r="U10" s="70"/>
      <c r="V10" s="11"/>
      <c r="W10" s="94"/>
      <c r="X10" s="12"/>
      <c r="Y10" s="11"/>
    </row>
    <row r="11" spans="2:26" x14ac:dyDescent="0.25">
      <c r="B11" s="12"/>
      <c r="C11" s="129"/>
      <c r="D11" s="94"/>
      <c r="E11" s="58" t="str">
        <f>IF(Nov[[#This Row],[Name]]="","",Nov[[#This Row],[November Weight (kg)]]/(VLOOKUP(Nov[[#This Row],[Name]],Overview[],2,FALSE)/100)^2)</f>
        <v/>
      </c>
      <c r="F11" s="58" t="str">
        <f>IF(Nov[[#This Row],[Name]]="","",IF(VLOOKUP(Nov[[#This Row],[Name]],Overview[],18,FALSE)="","N/A",Nov[[#This Row],[November Weight (kg)]]-VLOOKUP(Nov[[#This Row],[Name]],Overview[],18,FALSE)))</f>
        <v/>
      </c>
      <c r="G11" s="175" t="str">
        <f>IF(Nov[[#This Row],[Name]]="","",IF(VLOOKUP(Nov[[#This Row],[Name]],Overview[],18,FALSE)="","N/A",(Nov[[#This Row],[November Weight (kg)]]-VLOOKUP(Nov[[#This Row],[Name]],Overview[],18,FALSE))/VLOOKUP(Nov[[#This Row],[Name]],Overview[],18,FALSE)))</f>
        <v/>
      </c>
      <c r="H11" s="61" t="str" cm="1">
        <f t="array" ref="H11">IF(Nov[[#This Row],[Name]]="","",IF(SUMPRODUCT((Overview[Name]=Nov[[#This Row],[Name]])*ISNUMBER(Overview[[May 
Weight (kg)]:[August 
Weight (kg) ]]))=0,"N/A",MAX(IF((Overview[Name]=Nov[[#This Row],[Name]])*ISNUMBER(Overview[[May 
Weight (kg)]:[August 
Weight (kg) ]]),Overview[[May 
Weight (kg)]:[August 
Weight (kg) ]]))))</f>
        <v/>
      </c>
      <c r="I11" s="57" t="str">
        <f>IF(Nov[[#This Row],[Name]]="","",IF(NOT(ISNUMBER(Nov[[#This Row],[Highest Weight in the Past 3 - 6 Months]])),"N/A",IF(Nov[[#This Row],[November Weight (kg)]]=Nov[[#This Row],[Highest Weight in the Past 3 - 6 Months]],0,Nov[[#This Row],[November Weight (kg)]]-Nov[[#This Row],[Highest Weight in the Past 3 - 6 Months]])))</f>
        <v/>
      </c>
      <c r="J11"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1" s="130"/>
      <c r="L11" s="131"/>
      <c r="M11"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1" s="64" t="str">
        <f>IF(Nov[[#This Row],[Name]]="","",IF(Nov[[#This Row],[November MUST Score ]]=0,"Low",IF(Nov[[#This Row],[November MUST Score ]]=1,"Medium","High")))</f>
        <v/>
      </c>
      <c r="O11" s="10"/>
      <c r="P11" s="70"/>
      <c r="Q11" s="12"/>
      <c r="R11" s="17"/>
      <c r="S11" s="10"/>
      <c r="T11" s="17"/>
      <c r="U11" s="70"/>
      <c r="V11" s="11"/>
      <c r="W11" s="94"/>
      <c r="X11" s="12"/>
      <c r="Y11" s="11"/>
    </row>
    <row r="12" spans="2:26" x14ac:dyDescent="0.25">
      <c r="B12" s="12"/>
      <c r="C12" s="129"/>
      <c r="D12" s="94"/>
      <c r="E12" s="58" t="str">
        <f>IF(Nov[[#This Row],[Name]]="","",Nov[[#This Row],[November Weight (kg)]]/(VLOOKUP(Nov[[#This Row],[Name]],Overview[],2,FALSE)/100)^2)</f>
        <v/>
      </c>
      <c r="F12" s="58" t="str">
        <f>IF(Nov[[#This Row],[Name]]="","",IF(VLOOKUP(Nov[[#This Row],[Name]],Overview[],18,FALSE)="","N/A",Nov[[#This Row],[November Weight (kg)]]-VLOOKUP(Nov[[#This Row],[Name]],Overview[],18,FALSE)))</f>
        <v/>
      </c>
      <c r="G12" s="175" t="str">
        <f>IF(Nov[[#This Row],[Name]]="","",IF(VLOOKUP(Nov[[#This Row],[Name]],Overview[],18,FALSE)="","N/A",(Nov[[#This Row],[November Weight (kg)]]-VLOOKUP(Nov[[#This Row],[Name]],Overview[],18,FALSE))/VLOOKUP(Nov[[#This Row],[Name]],Overview[],18,FALSE)))</f>
        <v/>
      </c>
      <c r="H12" s="61" t="str" cm="1">
        <f t="array" ref="H12">IF(Nov[[#This Row],[Name]]="","",IF(SUMPRODUCT((Overview[Name]=Nov[[#This Row],[Name]])*ISNUMBER(Overview[[May 
Weight (kg)]:[August 
Weight (kg) ]]))=0,"N/A",MAX(IF((Overview[Name]=Nov[[#This Row],[Name]])*ISNUMBER(Overview[[May 
Weight (kg)]:[August 
Weight (kg) ]]),Overview[[May 
Weight (kg)]:[August 
Weight (kg) ]]))))</f>
        <v/>
      </c>
      <c r="I12" s="57" t="str">
        <f>IF(Nov[[#This Row],[Name]]="","",IF(NOT(ISNUMBER(Nov[[#This Row],[Highest Weight in the Past 3 - 6 Months]])),"N/A",IF(Nov[[#This Row],[November Weight (kg)]]=Nov[[#This Row],[Highest Weight in the Past 3 - 6 Months]],0,Nov[[#This Row],[November Weight (kg)]]-Nov[[#This Row],[Highest Weight in the Past 3 - 6 Months]])))</f>
        <v/>
      </c>
      <c r="J12"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2" s="130"/>
      <c r="L12" s="131"/>
      <c r="M12"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2" s="64" t="str">
        <f>IF(Nov[[#This Row],[Name]]="","",IF(Nov[[#This Row],[November MUST Score ]]=0,"Low",IF(Nov[[#This Row],[November MUST Score ]]=1,"Medium","High")))</f>
        <v/>
      </c>
      <c r="O12" s="10"/>
      <c r="P12" s="70"/>
      <c r="Q12" s="12"/>
      <c r="R12" s="17"/>
      <c r="S12" s="10"/>
      <c r="T12" s="17"/>
      <c r="U12" s="70"/>
      <c r="V12" s="11"/>
      <c r="W12" s="94"/>
      <c r="X12" s="12"/>
      <c r="Y12" s="11"/>
    </row>
    <row r="13" spans="2:26" x14ac:dyDescent="0.25">
      <c r="B13" s="12"/>
      <c r="C13" s="129"/>
      <c r="D13" s="94"/>
      <c r="E13" s="58" t="str">
        <f>IF(Nov[[#This Row],[Name]]="","",Nov[[#This Row],[November Weight (kg)]]/(VLOOKUP(Nov[[#This Row],[Name]],Overview[],2,FALSE)/100)^2)</f>
        <v/>
      </c>
      <c r="F13" s="58" t="str">
        <f>IF(Nov[[#This Row],[Name]]="","",IF(VLOOKUP(Nov[[#This Row],[Name]],Overview[],18,FALSE)="","N/A",Nov[[#This Row],[November Weight (kg)]]-VLOOKUP(Nov[[#This Row],[Name]],Overview[],18,FALSE)))</f>
        <v/>
      </c>
      <c r="G13" s="175" t="str">
        <f>IF(Nov[[#This Row],[Name]]="","",IF(VLOOKUP(Nov[[#This Row],[Name]],Overview[],18,FALSE)="","N/A",(Nov[[#This Row],[November Weight (kg)]]-VLOOKUP(Nov[[#This Row],[Name]],Overview[],18,FALSE))/VLOOKUP(Nov[[#This Row],[Name]],Overview[],18,FALSE)))</f>
        <v/>
      </c>
      <c r="H13" s="61" t="str" cm="1">
        <f t="array" ref="H13">IF(Nov[[#This Row],[Name]]="","",IF(SUMPRODUCT((Overview[Name]=Nov[[#This Row],[Name]])*ISNUMBER(Overview[[May 
Weight (kg)]:[August 
Weight (kg) ]]))=0,"N/A",MAX(IF((Overview[Name]=Nov[[#This Row],[Name]])*ISNUMBER(Overview[[May 
Weight (kg)]:[August 
Weight (kg) ]]),Overview[[May 
Weight (kg)]:[August 
Weight (kg) ]]))))</f>
        <v/>
      </c>
      <c r="I13" s="57" t="str">
        <f>IF(Nov[[#This Row],[Name]]="","",IF(NOT(ISNUMBER(Nov[[#This Row],[Highest Weight in the Past 3 - 6 Months]])),"N/A",IF(Nov[[#This Row],[November Weight (kg)]]=Nov[[#This Row],[Highest Weight in the Past 3 - 6 Months]],0,Nov[[#This Row],[November Weight (kg)]]-Nov[[#This Row],[Highest Weight in the Past 3 - 6 Months]])))</f>
        <v/>
      </c>
      <c r="J13"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3" s="130"/>
      <c r="L13" s="131"/>
      <c r="M13"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3" s="64" t="str">
        <f>IF(Nov[[#This Row],[Name]]="","",IF(Nov[[#This Row],[November MUST Score ]]=0,"Low",IF(Nov[[#This Row],[November MUST Score ]]=1,"Medium","High")))</f>
        <v/>
      </c>
      <c r="O13" s="10"/>
      <c r="P13" s="70"/>
      <c r="Q13" s="12"/>
      <c r="R13" s="17"/>
      <c r="S13" s="10"/>
      <c r="T13" s="17"/>
      <c r="U13" s="70"/>
      <c r="V13" s="11"/>
      <c r="W13" s="94"/>
      <c r="X13" s="12"/>
      <c r="Y13" s="11"/>
    </row>
    <row r="14" spans="2:26" x14ac:dyDescent="0.25">
      <c r="B14" s="12"/>
      <c r="C14" s="129"/>
      <c r="D14" s="94"/>
      <c r="E14" s="58" t="str">
        <f>IF(Nov[[#This Row],[Name]]="","",Nov[[#This Row],[November Weight (kg)]]/(VLOOKUP(Nov[[#This Row],[Name]],Overview[],2,FALSE)/100)^2)</f>
        <v/>
      </c>
      <c r="F14" s="58" t="str">
        <f>IF(Nov[[#This Row],[Name]]="","",IF(VLOOKUP(Nov[[#This Row],[Name]],Overview[],18,FALSE)="","N/A",Nov[[#This Row],[November Weight (kg)]]-VLOOKUP(Nov[[#This Row],[Name]],Overview[],18,FALSE)))</f>
        <v/>
      </c>
      <c r="G14" s="175" t="str">
        <f>IF(Nov[[#This Row],[Name]]="","",IF(VLOOKUP(Nov[[#This Row],[Name]],Overview[],18,FALSE)="","N/A",(Nov[[#This Row],[November Weight (kg)]]-VLOOKUP(Nov[[#This Row],[Name]],Overview[],18,FALSE))/VLOOKUP(Nov[[#This Row],[Name]],Overview[],18,FALSE)))</f>
        <v/>
      </c>
      <c r="H14" s="61" t="str" cm="1">
        <f t="array" ref="H14">IF(Nov[[#This Row],[Name]]="","",IF(SUMPRODUCT((Overview[Name]=Nov[[#This Row],[Name]])*ISNUMBER(Overview[[May 
Weight (kg)]:[August 
Weight (kg) ]]))=0,"N/A",MAX(IF((Overview[Name]=Nov[[#This Row],[Name]])*ISNUMBER(Overview[[May 
Weight (kg)]:[August 
Weight (kg) ]]),Overview[[May 
Weight (kg)]:[August 
Weight (kg) ]]))))</f>
        <v/>
      </c>
      <c r="I14" s="57" t="str">
        <f>IF(Nov[[#This Row],[Name]]="","",IF(NOT(ISNUMBER(Nov[[#This Row],[Highest Weight in the Past 3 - 6 Months]])),"N/A",IF(Nov[[#This Row],[November Weight (kg)]]=Nov[[#This Row],[Highest Weight in the Past 3 - 6 Months]],0,Nov[[#This Row],[November Weight (kg)]]-Nov[[#This Row],[Highest Weight in the Past 3 - 6 Months]])))</f>
        <v/>
      </c>
      <c r="J14"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4" s="130"/>
      <c r="L14" s="131"/>
      <c r="M14"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4" s="64" t="str">
        <f>IF(Nov[[#This Row],[Name]]="","",IF(Nov[[#This Row],[November MUST Score ]]=0,"Low",IF(Nov[[#This Row],[November MUST Score ]]=1,"Medium","High")))</f>
        <v/>
      </c>
      <c r="O14" s="10"/>
      <c r="P14" s="70"/>
      <c r="Q14" s="12"/>
      <c r="R14" s="17"/>
      <c r="S14" s="10"/>
      <c r="T14" s="17"/>
      <c r="U14" s="70"/>
      <c r="V14" s="11"/>
      <c r="W14" s="94"/>
      <c r="X14" s="12"/>
      <c r="Y14" s="11"/>
    </row>
    <row r="15" spans="2:26" x14ac:dyDescent="0.25">
      <c r="B15" s="12"/>
      <c r="C15" s="129"/>
      <c r="D15" s="94"/>
      <c r="E15" s="58" t="str">
        <f>IF(Nov[[#This Row],[Name]]="","",Nov[[#This Row],[November Weight (kg)]]/(VLOOKUP(Nov[[#This Row],[Name]],Overview[],2,FALSE)/100)^2)</f>
        <v/>
      </c>
      <c r="F15" s="58" t="str">
        <f>IF(Nov[[#This Row],[Name]]="","",IF(VLOOKUP(Nov[[#This Row],[Name]],Overview[],18,FALSE)="","N/A",Nov[[#This Row],[November Weight (kg)]]-VLOOKUP(Nov[[#This Row],[Name]],Overview[],18,FALSE)))</f>
        <v/>
      </c>
      <c r="G15" s="175" t="str">
        <f>IF(Nov[[#This Row],[Name]]="","",IF(VLOOKUP(Nov[[#This Row],[Name]],Overview[],18,FALSE)="","N/A",(Nov[[#This Row],[November Weight (kg)]]-VLOOKUP(Nov[[#This Row],[Name]],Overview[],18,FALSE))/VLOOKUP(Nov[[#This Row],[Name]],Overview[],18,FALSE)))</f>
        <v/>
      </c>
      <c r="H15" s="61" t="str" cm="1">
        <f t="array" ref="H15">IF(Nov[[#This Row],[Name]]="","",IF(SUMPRODUCT((Overview[Name]=Nov[[#This Row],[Name]])*ISNUMBER(Overview[[May 
Weight (kg)]:[August 
Weight (kg) ]]))=0,"N/A",MAX(IF((Overview[Name]=Nov[[#This Row],[Name]])*ISNUMBER(Overview[[May 
Weight (kg)]:[August 
Weight (kg) ]]),Overview[[May 
Weight (kg)]:[August 
Weight (kg) ]]))))</f>
        <v/>
      </c>
      <c r="I15" s="57" t="str">
        <f>IF(Nov[[#This Row],[Name]]="","",IF(NOT(ISNUMBER(Nov[[#This Row],[Highest Weight in the Past 3 - 6 Months]])),"N/A",IF(Nov[[#This Row],[November Weight (kg)]]=Nov[[#This Row],[Highest Weight in the Past 3 - 6 Months]],0,Nov[[#This Row],[November Weight (kg)]]-Nov[[#This Row],[Highest Weight in the Past 3 - 6 Months]])))</f>
        <v/>
      </c>
      <c r="J15"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5" s="130"/>
      <c r="L15" s="131"/>
      <c r="M15"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5" s="64" t="str">
        <f>IF(Nov[[#This Row],[Name]]="","",IF(Nov[[#This Row],[November MUST Score ]]=0,"Low",IF(Nov[[#This Row],[November MUST Score ]]=1,"Medium","High")))</f>
        <v/>
      </c>
      <c r="O15" s="10"/>
      <c r="P15" s="70"/>
      <c r="Q15" s="12"/>
      <c r="R15" s="17"/>
      <c r="S15" s="10"/>
      <c r="T15" s="17"/>
      <c r="U15" s="70"/>
      <c r="V15" s="11"/>
      <c r="W15" s="94"/>
      <c r="X15" s="12"/>
      <c r="Y15" s="11"/>
    </row>
    <row r="16" spans="2:26" x14ac:dyDescent="0.25">
      <c r="B16" s="12"/>
      <c r="C16" s="129"/>
      <c r="D16" s="94"/>
      <c r="E16" s="58" t="str">
        <f>IF(Nov[[#This Row],[Name]]="","",Nov[[#This Row],[November Weight (kg)]]/(VLOOKUP(Nov[[#This Row],[Name]],Overview[],2,FALSE)/100)^2)</f>
        <v/>
      </c>
      <c r="F16" s="58" t="str">
        <f>IF(Nov[[#This Row],[Name]]="","",IF(VLOOKUP(Nov[[#This Row],[Name]],Overview[],18,FALSE)="","N/A",Nov[[#This Row],[November Weight (kg)]]-VLOOKUP(Nov[[#This Row],[Name]],Overview[],18,FALSE)))</f>
        <v/>
      </c>
      <c r="G16" s="175" t="str">
        <f>IF(Nov[[#This Row],[Name]]="","",IF(VLOOKUP(Nov[[#This Row],[Name]],Overview[],18,FALSE)="","N/A",(Nov[[#This Row],[November Weight (kg)]]-VLOOKUP(Nov[[#This Row],[Name]],Overview[],18,FALSE))/VLOOKUP(Nov[[#This Row],[Name]],Overview[],18,FALSE)))</f>
        <v/>
      </c>
      <c r="H16" s="61" t="str" cm="1">
        <f t="array" ref="H16">IF(Nov[[#This Row],[Name]]="","",IF(SUMPRODUCT((Overview[Name]=Nov[[#This Row],[Name]])*ISNUMBER(Overview[[May 
Weight (kg)]:[August 
Weight (kg) ]]))=0,"N/A",MAX(IF((Overview[Name]=Nov[[#This Row],[Name]])*ISNUMBER(Overview[[May 
Weight (kg)]:[August 
Weight (kg) ]]),Overview[[May 
Weight (kg)]:[August 
Weight (kg) ]]))))</f>
        <v/>
      </c>
      <c r="I16" s="57" t="str">
        <f>IF(Nov[[#This Row],[Name]]="","",IF(NOT(ISNUMBER(Nov[[#This Row],[Highest Weight in the Past 3 - 6 Months]])),"N/A",IF(Nov[[#This Row],[November Weight (kg)]]=Nov[[#This Row],[Highest Weight in the Past 3 - 6 Months]],0,Nov[[#This Row],[November Weight (kg)]]-Nov[[#This Row],[Highest Weight in the Past 3 - 6 Months]])))</f>
        <v/>
      </c>
      <c r="J16"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6" s="130"/>
      <c r="L16" s="131"/>
      <c r="M16"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6" s="64" t="str">
        <f>IF(Nov[[#This Row],[Name]]="","",IF(Nov[[#This Row],[November MUST Score ]]=0,"Low",IF(Nov[[#This Row],[November MUST Score ]]=1,"Medium","High")))</f>
        <v/>
      </c>
      <c r="O16" s="10"/>
      <c r="P16" s="70"/>
      <c r="Q16" s="12"/>
      <c r="R16" s="17"/>
      <c r="S16" s="10"/>
      <c r="T16" s="17"/>
      <c r="U16" s="70"/>
      <c r="V16" s="11"/>
      <c r="W16" s="94"/>
      <c r="X16" s="12"/>
      <c r="Y16" s="11"/>
    </row>
    <row r="17" spans="2:25" x14ac:dyDescent="0.25">
      <c r="B17" s="12"/>
      <c r="C17" s="129"/>
      <c r="D17" s="94"/>
      <c r="E17" s="58" t="str">
        <f>IF(Nov[[#This Row],[Name]]="","",Nov[[#This Row],[November Weight (kg)]]/(VLOOKUP(Nov[[#This Row],[Name]],Overview[],2,FALSE)/100)^2)</f>
        <v/>
      </c>
      <c r="F17" s="58" t="str">
        <f>IF(Nov[[#This Row],[Name]]="","",IF(VLOOKUP(Nov[[#This Row],[Name]],Overview[],18,FALSE)="","N/A",Nov[[#This Row],[November Weight (kg)]]-VLOOKUP(Nov[[#This Row],[Name]],Overview[],18,FALSE)))</f>
        <v/>
      </c>
      <c r="G17" s="175" t="str">
        <f>IF(Nov[[#This Row],[Name]]="","",IF(VLOOKUP(Nov[[#This Row],[Name]],Overview[],18,FALSE)="","N/A",(Nov[[#This Row],[November Weight (kg)]]-VLOOKUP(Nov[[#This Row],[Name]],Overview[],18,FALSE))/VLOOKUP(Nov[[#This Row],[Name]],Overview[],18,FALSE)))</f>
        <v/>
      </c>
      <c r="H17" s="61" t="str" cm="1">
        <f t="array" ref="H17">IF(Nov[[#This Row],[Name]]="","",IF(SUMPRODUCT((Overview[Name]=Nov[[#This Row],[Name]])*ISNUMBER(Overview[[May 
Weight (kg)]:[August 
Weight (kg) ]]))=0,"N/A",MAX(IF((Overview[Name]=Nov[[#This Row],[Name]])*ISNUMBER(Overview[[May 
Weight (kg)]:[August 
Weight (kg) ]]),Overview[[May 
Weight (kg)]:[August 
Weight (kg) ]]))))</f>
        <v/>
      </c>
      <c r="I17" s="57" t="str">
        <f>IF(Nov[[#This Row],[Name]]="","",IF(NOT(ISNUMBER(Nov[[#This Row],[Highest Weight in the Past 3 - 6 Months]])),"N/A",IF(Nov[[#This Row],[November Weight (kg)]]=Nov[[#This Row],[Highest Weight in the Past 3 - 6 Months]],0,Nov[[#This Row],[November Weight (kg)]]-Nov[[#This Row],[Highest Weight in the Past 3 - 6 Months]])))</f>
        <v/>
      </c>
      <c r="J17"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7" s="130"/>
      <c r="L17" s="131"/>
      <c r="M17"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7" s="64" t="str">
        <f>IF(Nov[[#This Row],[Name]]="","",IF(Nov[[#This Row],[November MUST Score ]]=0,"Low",IF(Nov[[#This Row],[November MUST Score ]]=1,"Medium","High")))</f>
        <v/>
      </c>
      <c r="O17" s="10"/>
      <c r="P17" s="70"/>
      <c r="Q17" s="12"/>
      <c r="R17" s="17"/>
      <c r="S17" s="10"/>
      <c r="T17" s="17"/>
      <c r="U17" s="70"/>
      <c r="V17" s="11"/>
      <c r="W17" s="94"/>
      <c r="X17" s="12"/>
      <c r="Y17" s="11"/>
    </row>
    <row r="18" spans="2:25" x14ac:dyDescent="0.25">
      <c r="B18" s="12"/>
      <c r="C18" s="129"/>
      <c r="D18" s="94"/>
      <c r="E18" s="58" t="str">
        <f>IF(Nov[[#This Row],[Name]]="","",Nov[[#This Row],[November Weight (kg)]]/(VLOOKUP(Nov[[#This Row],[Name]],Overview[],2,FALSE)/100)^2)</f>
        <v/>
      </c>
      <c r="F18" s="58" t="str">
        <f>IF(Nov[[#This Row],[Name]]="","",IF(VLOOKUP(Nov[[#This Row],[Name]],Overview[],18,FALSE)="","N/A",Nov[[#This Row],[November Weight (kg)]]-VLOOKUP(Nov[[#This Row],[Name]],Overview[],18,FALSE)))</f>
        <v/>
      </c>
      <c r="G18" s="175" t="str">
        <f>IF(Nov[[#This Row],[Name]]="","",IF(VLOOKUP(Nov[[#This Row],[Name]],Overview[],18,FALSE)="","N/A",(Nov[[#This Row],[November Weight (kg)]]-VLOOKUP(Nov[[#This Row],[Name]],Overview[],18,FALSE))/VLOOKUP(Nov[[#This Row],[Name]],Overview[],18,FALSE)))</f>
        <v/>
      </c>
      <c r="H18" s="61" t="str" cm="1">
        <f t="array" ref="H18">IF(Nov[[#This Row],[Name]]="","",IF(SUMPRODUCT((Overview[Name]=Nov[[#This Row],[Name]])*ISNUMBER(Overview[[May 
Weight (kg)]:[August 
Weight (kg) ]]))=0,"N/A",MAX(IF((Overview[Name]=Nov[[#This Row],[Name]])*ISNUMBER(Overview[[May 
Weight (kg)]:[August 
Weight (kg) ]]),Overview[[May 
Weight (kg)]:[August 
Weight (kg) ]]))))</f>
        <v/>
      </c>
      <c r="I18" s="57" t="str">
        <f>IF(Nov[[#This Row],[Name]]="","",IF(NOT(ISNUMBER(Nov[[#This Row],[Highest Weight in the Past 3 - 6 Months]])),"N/A",IF(Nov[[#This Row],[November Weight (kg)]]=Nov[[#This Row],[Highest Weight in the Past 3 - 6 Months]],0,Nov[[#This Row],[November Weight (kg)]]-Nov[[#This Row],[Highest Weight in the Past 3 - 6 Months]])))</f>
        <v/>
      </c>
      <c r="J18"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8" s="130"/>
      <c r="L18" s="131"/>
      <c r="M18"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8" s="64" t="str">
        <f>IF(Nov[[#This Row],[Name]]="","",IF(Nov[[#This Row],[November MUST Score ]]=0,"Low",IF(Nov[[#This Row],[November MUST Score ]]=1,"Medium","High")))</f>
        <v/>
      </c>
      <c r="O18" s="10"/>
      <c r="P18" s="70"/>
      <c r="Q18" s="12"/>
      <c r="R18" s="17"/>
      <c r="S18" s="10"/>
      <c r="T18" s="17"/>
      <c r="U18" s="70"/>
      <c r="V18" s="11"/>
      <c r="W18" s="94"/>
      <c r="X18" s="12"/>
      <c r="Y18" s="11"/>
    </row>
    <row r="19" spans="2:25" x14ac:dyDescent="0.25">
      <c r="B19" s="12"/>
      <c r="C19" s="129"/>
      <c r="D19" s="94"/>
      <c r="E19" s="58" t="str">
        <f>IF(Nov[[#This Row],[Name]]="","",Nov[[#This Row],[November Weight (kg)]]/(VLOOKUP(Nov[[#This Row],[Name]],Overview[],2,FALSE)/100)^2)</f>
        <v/>
      </c>
      <c r="F19" s="58" t="str">
        <f>IF(Nov[[#This Row],[Name]]="","",IF(VLOOKUP(Nov[[#This Row],[Name]],Overview[],18,FALSE)="","N/A",Nov[[#This Row],[November Weight (kg)]]-VLOOKUP(Nov[[#This Row],[Name]],Overview[],18,FALSE)))</f>
        <v/>
      </c>
      <c r="G19" s="175" t="str">
        <f>IF(Nov[[#This Row],[Name]]="","",IF(VLOOKUP(Nov[[#This Row],[Name]],Overview[],18,FALSE)="","N/A",(Nov[[#This Row],[November Weight (kg)]]-VLOOKUP(Nov[[#This Row],[Name]],Overview[],18,FALSE))/VLOOKUP(Nov[[#This Row],[Name]],Overview[],18,FALSE)))</f>
        <v/>
      </c>
      <c r="H19" s="61" t="str" cm="1">
        <f t="array" ref="H19">IF(Nov[[#This Row],[Name]]="","",IF(SUMPRODUCT((Overview[Name]=Nov[[#This Row],[Name]])*ISNUMBER(Overview[[May 
Weight (kg)]:[August 
Weight (kg) ]]))=0,"N/A",MAX(IF((Overview[Name]=Nov[[#This Row],[Name]])*ISNUMBER(Overview[[May 
Weight (kg)]:[August 
Weight (kg) ]]),Overview[[May 
Weight (kg)]:[August 
Weight (kg) ]]))))</f>
        <v/>
      </c>
      <c r="I19" s="57" t="str">
        <f>IF(Nov[[#This Row],[Name]]="","",IF(NOT(ISNUMBER(Nov[[#This Row],[Highest Weight in the Past 3 - 6 Months]])),"N/A",IF(Nov[[#This Row],[November Weight (kg)]]=Nov[[#This Row],[Highest Weight in the Past 3 - 6 Months]],0,Nov[[#This Row],[November Weight (kg)]]-Nov[[#This Row],[Highest Weight in the Past 3 - 6 Months]])))</f>
        <v/>
      </c>
      <c r="J19"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19" s="130"/>
      <c r="L19" s="131"/>
      <c r="M19"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19" s="64" t="str">
        <f>IF(Nov[[#This Row],[Name]]="","",IF(Nov[[#This Row],[November MUST Score ]]=0,"Low",IF(Nov[[#This Row],[November MUST Score ]]=1,"Medium","High")))</f>
        <v/>
      </c>
      <c r="O19" s="10"/>
      <c r="P19" s="70"/>
      <c r="Q19" s="12"/>
      <c r="R19" s="17"/>
      <c r="S19" s="10"/>
      <c r="T19" s="17"/>
      <c r="U19" s="70"/>
      <c r="V19" s="11"/>
      <c r="W19" s="94"/>
      <c r="X19" s="12"/>
      <c r="Y19" s="11"/>
    </row>
    <row r="20" spans="2:25" x14ac:dyDescent="0.25">
      <c r="B20" s="12"/>
      <c r="C20" s="129"/>
      <c r="D20" s="94"/>
      <c r="E20" s="58" t="str">
        <f>IF(Nov[[#This Row],[Name]]="","",Nov[[#This Row],[November Weight (kg)]]/(VLOOKUP(Nov[[#This Row],[Name]],Overview[],2,FALSE)/100)^2)</f>
        <v/>
      </c>
      <c r="F20" s="58" t="str">
        <f>IF(Nov[[#This Row],[Name]]="","",IF(VLOOKUP(Nov[[#This Row],[Name]],Overview[],18,FALSE)="","N/A",Nov[[#This Row],[November Weight (kg)]]-VLOOKUP(Nov[[#This Row],[Name]],Overview[],18,FALSE)))</f>
        <v/>
      </c>
      <c r="G20" s="175" t="str">
        <f>IF(Nov[[#This Row],[Name]]="","",IF(VLOOKUP(Nov[[#This Row],[Name]],Overview[],18,FALSE)="","N/A",(Nov[[#This Row],[November Weight (kg)]]-VLOOKUP(Nov[[#This Row],[Name]],Overview[],18,FALSE))/VLOOKUP(Nov[[#This Row],[Name]],Overview[],18,FALSE)))</f>
        <v/>
      </c>
      <c r="H20" s="61" t="str" cm="1">
        <f t="array" ref="H20">IF(Nov[[#This Row],[Name]]="","",IF(SUMPRODUCT((Overview[Name]=Nov[[#This Row],[Name]])*ISNUMBER(Overview[[May 
Weight (kg)]:[August 
Weight (kg) ]]))=0,"N/A",MAX(IF((Overview[Name]=Nov[[#This Row],[Name]])*ISNUMBER(Overview[[May 
Weight (kg)]:[August 
Weight (kg) ]]),Overview[[May 
Weight (kg)]:[August 
Weight (kg) ]]))))</f>
        <v/>
      </c>
      <c r="I20" s="57" t="str">
        <f>IF(Nov[[#This Row],[Name]]="","",IF(NOT(ISNUMBER(Nov[[#This Row],[Highest Weight in the Past 3 - 6 Months]])),"N/A",IF(Nov[[#This Row],[November Weight (kg)]]=Nov[[#This Row],[Highest Weight in the Past 3 - 6 Months]],0,Nov[[#This Row],[November Weight (kg)]]-Nov[[#This Row],[Highest Weight in the Past 3 - 6 Months]])))</f>
        <v/>
      </c>
      <c r="J20"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0" s="130"/>
      <c r="L20" s="131"/>
      <c r="M20"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0" s="64" t="str">
        <f>IF(Nov[[#This Row],[Name]]="","",IF(Nov[[#This Row],[November MUST Score ]]=0,"Low",IF(Nov[[#This Row],[November MUST Score ]]=1,"Medium","High")))</f>
        <v/>
      </c>
      <c r="O20" s="10"/>
      <c r="P20" s="70"/>
      <c r="Q20" s="12"/>
      <c r="R20" s="17"/>
      <c r="S20" s="10"/>
      <c r="T20" s="17"/>
      <c r="U20" s="70"/>
      <c r="V20" s="11"/>
      <c r="W20" s="94"/>
      <c r="X20" s="12"/>
      <c r="Y20" s="11"/>
    </row>
    <row r="21" spans="2:25" x14ac:dyDescent="0.25">
      <c r="B21" s="12"/>
      <c r="C21" s="129"/>
      <c r="D21" s="94"/>
      <c r="E21" s="58" t="str">
        <f>IF(Nov[[#This Row],[Name]]="","",Nov[[#This Row],[November Weight (kg)]]/(VLOOKUP(Nov[[#This Row],[Name]],Overview[],2,FALSE)/100)^2)</f>
        <v/>
      </c>
      <c r="F21" s="58" t="str">
        <f>IF(Nov[[#This Row],[Name]]="","",IF(VLOOKUP(Nov[[#This Row],[Name]],Overview[],18,FALSE)="","N/A",Nov[[#This Row],[November Weight (kg)]]-VLOOKUP(Nov[[#This Row],[Name]],Overview[],18,FALSE)))</f>
        <v/>
      </c>
      <c r="G21" s="175" t="str">
        <f>IF(Nov[[#This Row],[Name]]="","",IF(VLOOKUP(Nov[[#This Row],[Name]],Overview[],18,FALSE)="","N/A",(Nov[[#This Row],[November Weight (kg)]]-VLOOKUP(Nov[[#This Row],[Name]],Overview[],18,FALSE))/VLOOKUP(Nov[[#This Row],[Name]],Overview[],18,FALSE)))</f>
        <v/>
      </c>
      <c r="H21" s="61" t="str" cm="1">
        <f t="array" ref="H21">IF(Nov[[#This Row],[Name]]="","",IF(SUMPRODUCT((Overview[Name]=Nov[[#This Row],[Name]])*ISNUMBER(Overview[[May 
Weight (kg)]:[August 
Weight (kg) ]]))=0,"N/A",MAX(IF((Overview[Name]=Nov[[#This Row],[Name]])*ISNUMBER(Overview[[May 
Weight (kg)]:[August 
Weight (kg) ]]),Overview[[May 
Weight (kg)]:[August 
Weight (kg) ]]))))</f>
        <v/>
      </c>
      <c r="I21" s="57" t="str">
        <f>IF(Nov[[#This Row],[Name]]="","",IF(NOT(ISNUMBER(Nov[[#This Row],[Highest Weight in the Past 3 - 6 Months]])),"N/A",IF(Nov[[#This Row],[November Weight (kg)]]=Nov[[#This Row],[Highest Weight in the Past 3 - 6 Months]],0,Nov[[#This Row],[November Weight (kg)]]-Nov[[#This Row],[Highest Weight in the Past 3 - 6 Months]])))</f>
        <v/>
      </c>
      <c r="J21"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1" s="130"/>
      <c r="L21" s="131"/>
      <c r="M21"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1" s="64" t="str">
        <f>IF(Nov[[#This Row],[Name]]="","",IF(Nov[[#This Row],[November MUST Score ]]=0,"Low",IF(Nov[[#This Row],[November MUST Score ]]=1,"Medium","High")))</f>
        <v/>
      </c>
      <c r="O21" s="10"/>
      <c r="P21" s="70"/>
      <c r="Q21" s="12"/>
      <c r="R21" s="17"/>
      <c r="S21" s="10"/>
      <c r="T21" s="17"/>
      <c r="U21" s="70"/>
      <c r="V21" s="11"/>
      <c r="W21" s="94"/>
      <c r="X21" s="12"/>
      <c r="Y21" s="11"/>
    </row>
    <row r="22" spans="2:25" x14ac:dyDescent="0.25">
      <c r="B22" s="12"/>
      <c r="C22" s="129"/>
      <c r="D22" s="94"/>
      <c r="E22" s="58" t="str">
        <f>IF(Nov[[#This Row],[Name]]="","",Nov[[#This Row],[November Weight (kg)]]/(VLOOKUP(Nov[[#This Row],[Name]],Overview[],2,FALSE)/100)^2)</f>
        <v/>
      </c>
      <c r="F22" s="58" t="str">
        <f>IF(Nov[[#This Row],[Name]]="","",IF(VLOOKUP(Nov[[#This Row],[Name]],Overview[],18,FALSE)="","N/A",Nov[[#This Row],[November Weight (kg)]]-VLOOKUP(Nov[[#This Row],[Name]],Overview[],18,FALSE)))</f>
        <v/>
      </c>
      <c r="G22" s="175" t="str">
        <f>IF(Nov[[#This Row],[Name]]="","",IF(VLOOKUP(Nov[[#This Row],[Name]],Overview[],18,FALSE)="","N/A",(Nov[[#This Row],[November Weight (kg)]]-VLOOKUP(Nov[[#This Row],[Name]],Overview[],18,FALSE))/VLOOKUP(Nov[[#This Row],[Name]],Overview[],18,FALSE)))</f>
        <v/>
      </c>
      <c r="H22" s="61" t="str" cm="1">
        <f t="array" ref="H22">IF(Nov[[#This Row],[Name]]="","",IF(SUMPRODUCT((Overview[Name]=Nov[[#This Row],[Name]])*ISNUMBER(Overview[[May 
Weight (kg)]:[August 
Weight (kg) ]]))=0,"N/A",MAX(IF((Overview[Name]=Nov[[#This Row],[Name]])*ISNUMBER(Overview[[May 
Weight (kg)]:[August 
Weight (kg) ]]),Overview[[May 
Weight (kg)]:[August 
Weight (kg) ]]))))</f>
        <v/>
      </c>
      <c r="I22" s="57" t="str">
        <f>IF(Nov[[#This Row],[Name]]="","",IF(NOT(ISNUMBER(Nov[[#This Row],[Highest Weight in the Past 3 - 6 Months]])),"N/A",IF(Nov[[#This Row],[November Weight (kg)]]=Nov[[#This Row],[Highest Weight in the Past 3 - 6 Months]],0,Nov[[#This Row],[November Weight (kg)]]-Nov[[#This Row],[Highest Weight in the Past 3 - 6 Months]])))</f>
        <v/>
      </c>
      <c r="J22"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2" s="130"/>
      <c r="L22" s="131"/>
      <c r="M22"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2" s="64" t="str">
        <f>IF(Nov[[#This Row],[Name]]="","",IF(Nov[[#This Row],[November MUST Score ]]=0,"Low",IF(Nov[[#This Row],[November MUST Score ]]=1,"Medium","High")))</f>
        <v/>
      </c>
      <c r="O22" s="10"/>
      <c r="P22" s="70"/>
      <c r="Q22" s="12"/>
      <c r="R22" s="17"/>
      <c r="S22" s="10"/>
      <c r="T22" s="17"/>
      <c r="U22" s="70"/>
      <c r="V22" s="11"/>
      <c r="W22" s="94"/>
      <c r="X22" s="12"/>
      <c r="Y22" s="11"/>
    </row>
    <row r="23" spans="2:25" x14ac:dyDescent="0.25">
      <c r="B23" s="12"/>
      <c r="C23" s="129"/>
      <c r="D23" s="94"/>
      <c r="E23" s="58" t="str">
        <f>IF(Nov[[#This Row],[Name]]="","",Nov[[#This Row],[November Weight (kg)]]/(VLOOKUP(Nov[[#This Row],[Name]],Overview[],2,FALSE)/100)^2)</f>
        <v/>
      </c>
      <c r="F23" s="58" t="str">
        <f>IF(Nov[[#This Row],[Name]]="","",IF(VLOOKUP(Nov[[#This Row],[Name]],Overview[],18,FALSE)="","N/A",Nov[[#This Row],[November Weight (kg)]]-VLOOKUP(Nov[[#This Row],[Name]],Overview[],18,FALSE)))</f>
        <v/>
      </c>
      <c r="G23" s="175" t="str">
        <f>IF(Nov[[#This Row],[Name]]="","",IF(VLOOKUP(Nov[[#This Row],[Name]],Overview[],18,FALSE)="","N/A",(Nov[[#This Row],[November Weight (kg)]]-VLOOKUP(Nov[[#This Row],[Name]],Overview[],18,FALSE))/VLOOKUP(Nov[[#This Row],[Name]],Overview[],18,FALSE)))</f>
        <v/>
      </c>
      <c r="H23" s="61" t="str" cm="1">
        <f t="array" ref="H23">IF(Nov[[#This Row],[Name]]="","",IF(SUMPRODUCT((Overview[Name]=Nov[[#This Row],[Name]])*ISNUMBER(Overview[[May 
Weight (kg)]:[August 
Weight (kg) ]]))=0,"N/A",MAX(IF((Overview[Name]=Nov[[#This Row],[Name]])*ISNUMBER(Overview[[May 
Weight (kg)]:[August 
Weight (kg) ]]),Overview[[May 
Weight (kg)]:[August 
Weight (kg) ]]))))</f>
        <v/>
      </c>
      <c r="I23" s="57" t="str">
        <f>IF(Nov[[#This Row],[Name]]="","",IF(NOT(ISNUMBER(Nov[[#This Row],[Highest Weight in the Past 3 - 6 Months]])),"N/A",IF(Nov[[#This Row],[November Weight (kg)]]=Nov[[#This Row],[Highest Weight in the Past 3 - 6 Months]],0,Nov[[#This Row],[November Weight (kg)]]-Nov[[#This Row],[Highest Weight in the Past 3 - 6 Months]])))</f>
        <v/>
      </c>
      <c r="J23"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3" s="130"/>
      <c r="L23" s="131"/>
      <c r="M23"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3" s="64" t="str">
        <f>IF(Nov[[#This Row],[Name]]="","",IF(Nov[[#This Row],[November MUST Score ]]=0,"Low",IF(Nov[[#This Row],[November MUST Score ]]=1,"Medium","High")))</f>
        <v/>
      </c>
      <c r="O23" s="10"/>
      <c r="P23" s="70"/>
      <c r="Q23" s="12"/>
      <c r="R23" s="17"/>
      <c r="S23" s="10"/>
      <c r="T23" s="17"/>
      <c r="U23" s="70"/>
      <c r="V23" s="11"/>
      <c r="W23" s="94"/>
      <c r="X23" s="12"/>
      <c r="Y23" s="11"/>
    </row>
    <row r="24" spans="2:25" x14ac:dyDescent="0.25">
      <c r="B24" s="12"/>
      <c r="C24" s="129"/>
      <c r="D24" s="94"/>
      <c r="E24" s="58" t="str">
        <f>IF(Nov[[#This Row],[Name]]="","",Nov[[#This Row],[November Weight (kg)]]/(VLOOKUP(Nov[[#This Row],[Name]],Overview[],2,FALSE)/100)^2)</f>
        <v/>
      </c>
      <c r="F24" s="58" t="str">
        <f>IF(Nov[[#This Row],[Name]]="","",IF(VLOOKUP(Nov[[#This Row],[Name]],Overview[],18,FALSE)="","N/A",Nov[[#This Row],[November Weight (kg)]]-VLOOKUP(Nov[[#This Row],[Name]],Overview[],18,FALSE)))</f>
        <v/>
      </c>
      <c r="G24" s="175" t="str">
        <f>IF(Nov[[#This Row],[Name]]="","",IF(VLOOKUP(Nov[[#This Row],[Name]],Overview[],18,FALSE)="","N/A",(Nov[[#This Row],[November Weight (kg)]]-VLOOKUP(Nov[[#This Row],[Name]],Overview[],18,FALSE))/VLOOKUP(Nov[[#This Row],[Name]],Overview[],18,FALSE)))</f>
        <v/>
      </c>
      <c r="H24" s="61" t="str" cm="1">
        <f t="array" ref="H24">IF(Nov[[#This Row],[Name]]="","",IF(SUMPRODUCT((Overview[Name]=Nov[[#This Row],[Name]])*ISNUMBER(Overview[[May 
Weight (kg)]:[August 
Weight (kg) ]]))=0,"N/A",MAX(IF((Overview[Name]=Nov[[#This Row],[Name]])*ISNUMBER(Overview[[May 
Weight (kg)]:[August 
Weight (kg) ]]),Overview[[May 
Weight (kg)]:[August 
Weight (kg) ]]))))</f>
        <v/>
      </c>
      <c r="I24" s="57" t="str">
        <f>IF(Nov[[#This Row],[Name]]="","",IF(NOT(ISNUMBER(Nov[[#This Row],[Highest Weight in the Past 3 - 6 Months]])),"N/A",IF(Nov[[#This Row],[November Weight (kg)]]=Nov[[#This Row],[Highest Weight in the Past 3 - 6 Months]],0,Nov[[#This Row],[November Weight (kg)]]-Nov[[#This Row],[Highest Weight in the Past 3 - 6 Months]])))</f>
        <v/>
      </c>
      <c r="J24"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4" s="130"/>
      <c r="L24" s="131"/>
      <c r="M24"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4" s="64" t="str">
        <f>IF(Nov[[#This Row],[Name]]="","",IF(Nov[[#This Row],[November MUST Score ]]=0,"Low",IF(Nov[[#This Row],[November MUST Score ]]=1,"Medium","High")))</f>
        <v/>
      </c>
      <c r="O24" s="10"/>
      <c r="P24" s="70"/>
      <c r="Q24" s="12"/>
      <c r="R24" s="17"/>
      <c r="S24" s="10"/>
      <c r="T24" s="17"/>
      <c r="U24" s="70"/>
      <c r="V24" s="11"/>
      <c r="W24" s="94"/>
      <c r="X24" s="12"/>
      <c r="Y24" s="11"/>
    </row>
    <row r="25" spans="2:25" x14ac:dyDescent="0.25">
      <c r="B25" s="12"/>
      <c r="C25" s="129"/>
      <c r="D25" s="94"/>
      <c r="E25" s="58" t="str">
        <f>IF(Nov[[#This Row],[Name]]="","",Nov[[#This Row],[November Weight (kg)]]/(VLOOKUP(Nov[[#This Row],[Name]],Overview[],2,FALSE)/100)^2)</f>
        <v/>
      </c>
      <c r="F25" s="58" t="str">
        <f>IF(Nov[[#This Row],[Name]]="","",IF(VLOOKUP(Nov[[#This Row],[Name]],Overview[],18,FALSE)="","N/A",Nov[[#This Row],[November Weight (kg)]]-VLOOKUP(Nov[[#This Row],[Name]],Overview[],18,FALSE)))</f>
        <v/>
      </c>
      <c r="G25" s="175" t="str">
        <f>IF(Nov[[#This Row],[Name]]="","",IF(VLOOKUP(Nov[[#This Row],[Name]],Overview[],18,FALSE)="","N/A",(Nov[[#This Row],[November Weight (kg)]]-VLOOKUP(Nov[[#This Row],[Name]],Overview[],18,FALSE))/VLOOKUP(Nov[[#This Row],[Name]],Overview[],18,FALSE)))</f>
        <v/>
      </c>
      <c r="H25" s="61" t="str" cm="1">
        <f t="array" ref="H25">IF(Nov[[#This Row],[Name]]="","",IF(SUMPRODUCT((Overview[Name]=Nov[[#This Row],[Name]])*ISNUMBER(Overview[[May 
Weight (kg)]:[August 
Weight (kg) ]]))=0,"N/A",MAX(IF((Overview[Name]=Nov[[#This Row],[Name]])*ISNUMBER(Overview[[May 
Weight (kg)]:[August 
Weight (kg) ]]),Overview[[May 
Weight (kg)]:[August 
Weight (kg) ]]))))</f>
        <v/>
      </c>
      <c r="I25" s="57" t="str">
        <f>IF(Nov[[#This Row],[Name]]="","",IF(NOT(ISNUMBER(Nov[[#This Row],[Highest Weight in the Past 3 - 6 Months]])),"N/A",IF(Nov[[#This Row],[November Weight (kg)]]=Nov[[#This Row],[Highest Weight in the Past 3 - 6 Months]],0,Nov[[#This Row],[November Weight (kg)]]-Nov[[#This Row],[Highest Weight in the Past 3 - 6 Months]])))</f>
        <v/>
      </c>
      <c r="J25"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5" s="130"/>
      <c r="L25" s="131"/>
      <c r="M25"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5" s="64" t="str">
        <f>IF(Nov[[#This Row],[Name]]="","",IF(Nov[[#This Row],[November MUST Score ]]=0,"Low",IF(Nov[[#This Row],[November MUST Score ]]=1,"Medium","High")))</f>
        <v/>
      </c>
      <c r="O25" s="10"/>
      <c r="P25" s="70"/>
      <c r="Q25" s="12"/>
      <c r="R25" s="17"/>
      <c r="S25" s="10"/>
      <c r="T25" s="17"/>
      <c r="U25" s="70"/>
      <c r="V25" s="11"/>
      <c r="W25" s="94"/>
      <c r="X25" s="12"/>
      <c r="Y25" s="11"/>
    </row>
    <row r="26" spans="2:25" x14ac:dyDescent="0.25">
      <c r="B26" s="12"/>
      <c r="C26" s="129"/>
      <c r="D26" s="94"/>
      <c r="E26" s="58" t="str">
        <f>IF(Nov[[#This Row],[Name]]="","",Nov[[#This Row],[November Weight (kg)]]/(VLOOKUP(Nov[[#This Row],[Name]],Overview[],2,FALSE)/100)^2)</f>
        <v/>
      </c>
      <c r="F26" s="58" t="str">
        <f>IF(Nov[[#This Row],[Name]]="","",IF(VLOOKUP(Nov[[#This Row],[Name]],Overview[],18,FALSE)="","N/A",Nov[[#This Row],[November Weight (kg)]]-VLOOKUP(Nov[[#This Row],[Name]],Overview[],18,FALSE)))</f>
        <v/>
      </c>
      <c r="G26" s="175" t="str">
        <f>IF(Nov[[#This Row],[Name]]="","",IF(VLOOKUP(Nov[[#This Row],[Name]],Overview[],18,FALSE)="","N/A",(Nov[[#This Row],[November Weight (kg)]]-VLOOKUP(Nov[[#This Row],[Name]],Overview[],18,FALSE))/VLOOKUP(Nov[[#This Row],[Name]],Overview[],18,FALSE)))</f>
        <v/>
      </c>
      <c r="H26" s="61" t="str" cm="1">
        <f t="array" ref="H26">IF(Nov[[#This Row],[Name]]="","",IF(SUMPRODUCT((Overview[Name]=Nov[[#This Row],[Name]])*ISNUMBER(Overview[[May 
Weight (kg)]:[August 
Weight (kg) ]]))=0,"N/A",MAX(IF((Overview[Name]=Nov[[#This Row],[Name]])*ISNUMBER(Overview[[May 
Weight (kg)]:[August 
Weight (kg) ]]),Overview[[May 
Weight (kg)]:[August 
Weight (kg) ]]))))</f>
        <v/>
      </c>
      <c r="I26" s="57" t="str">
        <f>IF(Nov[[#This Row],[Name]]="","",IF(NOT(ISNUMBER(Nov[[#This Row],[Highest Weight in the Past 3 - 6 Months]])),"N/A",IF(Nov[[#This Row],[November Weight (kg)]]=Nov[[#This Row],[Highest Weight in the Past 3 - 6 Months]],0,Nov[[#This Row],[November Weight (kg)]]-Nov[[#This Row],[Highest Weight in the Past 3 - 6 Months]])))</f>
        <v/>
      </c>
      <c r="J26"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6" s="130"/>
      <c r="L26" s="131"/>
      <c r="M26"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6" s="64" t="str">
        <f>IF(Nov[[#This Row],[Name]]="","",IF(Nov[[#This Row],[November MUST Score ]]=0,"Low",IF(Nov[[#This Row],[November MUST Score ]]=1,"Medium","High")))</f>
        <v/>
      </c>
      <c r="O26" s="10"/>
      <c r="P26" s="70"/>
      <c r="Q26" s="12"/>
      <c r="R26" s="17"/>
      <c r="S26" s="10"/>
      <c r="T26" s="17"/>
      <c r="U26" s="70"/>
      <c r="V26" s="11"/>
      <c r="W26" s="94"/>
      <c r="X26" s="12"/>
      <c r="Y26" s="11"/>
    </row>
    <row r="27" spans="2:25" x14ac:dyDescent="0.25">
      <c r="B27" s="12"/>
      <c r="C27" s="129"/>
      <c r="D27" s="94"/>
      <c r="E27" s="58" t="str">
        <f>IF(Nov[[#This Row],[Name]]="","",Nov[[#This Row],[November Weight (kg)]]/(VLOOKUP(Nov[[#This Row],[Name]],Overview[],2,FALSE)/100)^2)</f>
        <v/>
      </c>
      <c r="F27" s="58" t="str">
        <f>IF(Nov[[#This Row],[Name]]="","",IF(VLOOKUP(Nov[[#This Row],[Name]],Overview[],18,FALSE)="","N/A",Nov[[#This Row],[November Weight (kg)]]-VLOOKUP(Nov[[#This Row],[Name]],Overview[],18,FALSE)))</f>
        <v/>
      </c>
      <c r="G27" s="175" t="str">
        <f>IF(Nov[[#This Row],[Name]]="","",IF(VLOOKUP(Nov[[#This Row],[Name]],Overview[],18,FALSE)="","N/A",(Nov[[#This Row],[November Weight (kg)]]-VLOOKUP(Nov[[#This Row],[Name]],Overview[],18,FALSE))/VLOOKUP(Nov[[#This Row],[Name]],Overview[],18,FALSE)))</f>
        <v/>
      </c>
      <c r="H27" s="61" t="str" cm="1">
        <f t="array" ref="H27">IF(Nov[[#This Row],[Name]]="","",IF(SUMPRODUCT((Overview[Name]=Nov[[#This Row],[Name]])*ISNUMBER(Overview[[May 
Weight (kg)]:[August 
Weight (kg) ]]))=0,"N/A",MAX(IF((Overview[Name]=Nov[[#This Row],[Name]])*ISNUMBER(Overview[[May 
Weight (kg)]:[August 
Weight (kg) ]]),Overview[[May 
Weight (kg)]:[August 
Weight (kg) ]]))))</f>
        <v/>
      </c>
      <c r="I27" s="57" t="str">
        <f>IF(Nov[[#This Row],[Name]]="","",IF(NOT(ISNUMBER(Nov[[#This Row],[Highest Weight in the Past 3 - 6 Months]])),"N/A",IF(Nov[[#This Row],[November Weight (kg)]]=Nov[[#This Row],[Highest Weight in the Past 3 - 6 Months]],0,Nov[[#This Row],[November Weight (kg)]]-Nov[[#This Row],[Highest Weight in the Past 3 - 6 Months]])))</f>
        <v/>
      </c>
      <c r="J27"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7" s="130"/>
      <c r="L27" s="131"/>
      <c r="M27"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7" s="64" t="str">
        <f>IF(Nov[[#This Row],[Name]]="","",IF(Nov[[#This Row],[November MUST Score ]]=0,"Low",IF(Nov[[#This Row],[November MUST Score ]]=1,"Medium","High")))</f>
        <v/>
      </c>
      <c r="O27" s="10"/>
      <c r="P27" s="70"/>
      <c r="Q27" s="12"/>
      <c r="R27" s="17"/>
      <c r="S27" s="10"/>
      <c r="T27" s="17"/>
      <c r="U27" s="70"/>
      <c r="V27" s="11"/>
      <c r="W27" s="94"/>
      <c r="X27" s="12"/>
      <c r="Y27" s="11"/>
    </row>
    <row r="28" spans="2:25" x14ac:dyDescent="0.25">
      <c r="B28" s="12"/>
      <c r="C28" s="129"/>
      <c r="D28" s="94"/>
      <c r="E28" s="58" t="str">
        <f>IF(Nov[[#This Row],[Name]]="","",Nov[[#This Row],[November Weight (kg)]]/(VLOOKUP(Nov[[#This Row],[Name]],Overview[],2,FALSE)/100)^2)</f>
        <v/>
      </c>
      <c r="F28" s="58" t="str">
        <f>IF(Nov[[#This Row],[Name]]="","",IF(VLOOKUP(Nov[[#This Row],[Name]],Overview[],18,FALSE)="","N/A",Nov[[#This Row],[November Weight (kg)]]-VLOOKUP(Nov[[#This Row],[Name]],Overview[],18,FALSE)))</f>
        <v/>
      </c>
      <c r="G28" s="175" t="str">
        <f>IF(Nov[[#This Row],[Name]]="","",IF(VLOOKUP(Nov[[#This Row],[Name]],Overview[],18,FALSE)="","N/A",(Nov[[#This Row],[November Weight (kg)]]-VLOOKUP(Nov[[#This Row],[Name]],Overview[],18,FALSE))/VLOOKUP(Nov[[#This Row],[Name]],Overview[],18,FALSE)))</f>
        <v/>
      </c>
      <c r="H28" s="61" t="str" cm="1">
        <f t="array" ref="H28">IF(Nov[[#This Row],[Name]]="","",IF(SUMPRODUCT((Overview[Name]=Nov[[#This Row],[Name]])*ISNUMBER(Overview[[May 
Weight (kg)]:[August 
Weight (kg) ]]))=0,"N/A",MAX(IF((Overview[Name]=Nov[[#This Row],[Name]])*ISNUMBER(Overview[[May 
Weight (kg)]:[August 
Weight (kg) ]]),Overview[[May 
Weight (kg)]:[August 
Weight (kg) ]]))))</f>
        <v/>
      </c>
      <c r="I28" s="57" t="str">
        <f>IF(Nov[[#This Row],[Name]]="","",IF(NOT(ISNUMBER(Nov[[#This Row],[Highest Weight in the Past 3 - 6 Months]])),"N/A",IF(Nov[[#This Row],[November Weight (kg)]]=Nov[[#This Row],[Highest Weight in the Past 3 - 6 Months]],0,Nov[[#This Row],[November Weight (kg)]]-Nov[[#This Row],[Highest Weight in the Past 3 - 6 Months]])))</f>
        <v/>
      </c>
      <c r="J28"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8" s="130"/>
      <c r="L28" s="131"/>
      <c r="M28"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8" s="64" t="str">
        <f>IF(Nov[[#This Row],[Name]]="","",IF(Nov[[#This Row],[November MUST Score ]]=0,"Low",IF(Nov[[#This Row],[November MUST Score ]]=1,"Medium","High")))</f>
        <v/>
      </c>
      <c r="O28" s="10"/>
      <c r="P28" s="70"/>
      <c r="Q28" s="12"/>
      <c r="R28" s="17"/>
      <c r="S28" s="10"/>
      <c r="T28" s="17"/>
      <c r="U28" s="70"/>
      <c r="V28" s="11"/>
      <c r="W28" s="94"/>
      <c r="X28" s="12"/>
      <c r="Y28" s="11"/>
    </row>
    <row r="29" spans="2:25" x14ac:dyDescent="0.25">
      <c r="B29" s="12"/>
      <c r="C29" s="129"/>
      <c r="D29" s="94"/>
      <c r="E29" s="58" t="str">
        <f>IF(Nov[[#This Row],[Name]]="","",Nov[[#This Row],[November Weight (kg)]]/(VLOOKUP(Nov[[#This Row],[Name]],Overview[],2,FALSE)/100)^2)</f>
        <v/>
      </c>
      <c r="F29" s="58" t="str">
        <f>IF(Nov[[#This Row],[Name]]="","",IF(VLOOKUP(Nov[[#This Row],[Name]],Overview[],18,FALSE)="","N/A",Nov[[#This Row],[November Weight (kg)]]-VLOOKUP(Nov[[#This Row],[Name]],Overview[],18,FALSE)))</f>
        <v/>
      </c>
      <c r="G29" s="175" t="str">
        <f>IF(Nov[[#This Row],[Name]]="","",IF(VLOOKUP(Nov[[#This Row],[Name]],Overview[],18,FALSE)="","N/A",(Nov[[#This Row],[November Weight (kg)]]-VLOOKUP(Nov[[#This Row],[Name]],Overview[],18,FALSE))/VLOOKUP(Nov[[#This Row],[Name]],Overview[],18,FALSE)))</f>
        <v/>
      </c>
      <c r="H29" s="61" t="str" cm="1">
        <f t="array" ref="H29">IF(Nov[[#This Row],[Name]]="","",IF(SUMPRODUCT((Overview[Name]=Nov[[#This Row],[Name]])*ISNUMBER(Overview[[May 
Weight (kg)]:[August 
Weight (kg) ]]))=0,"N/A",MAX(IF((Overview[Name]=Nov[[#This Row],[Name]])*ISNUMBER(Overview[[May 
Weight (kg)]:[August 
Weight (kg) ]]),Overview[[May 
Weight (kg)]:[August 
Weight (kg) ]]))))</f>
        <v/>
      </c>
      <c r="I29" s="57" t="str">
        <f>IF(Nov[[#This Row],[Name]]="","",IF(NOT(ISNUMBER(Nov[[#This Row],[Highest Weight in the Past 3 - 6 Months]])),"N/A",IF(Nov[[#This Row],[November Weight (kg)]]=Nov[[#This Row],[Highest Weight in the Past 3 - 6 Months]],0,Nov[[#This Row],[November Weight (kg)]]-Nov[[#This Row],[Highest Weight in the Past 3 - 6 Months]])))</f>
        <v/>
      </c>
      <c r="J29"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29" s="130"/>
      <c r="L29" s="131"/>
      <c r="M29"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29" s="64" t="str">
        <f>IF(Nov[[#This Row],[Name]]="","",IF(Nov[[#This Row],[November MUST Score ]]=0,"Low",IF(Nov[[#This Row],[November MUST Score ]]=1,"Medium","High")))</f>
        <v/>
      </c>
      <c r="O29" s="10"/>
      <c r="P29" s="70"/>
      <c r="Q29" s="12"/>
      <c r="R29" s="17"/>
      <c r="S29" s="10"/>
      <c r="T29" s="17"/>
      <c r="U29" s="70"/>
      <c r="V29" s="11"/>
      <c r="W29" s="94"/>
      <c r="X29" s="12"/>
      <c r="Y29" s="11"/>
    </row>
    <row r="30" spans="2:25" x14ac:dyDescent="0.25">
      <c r="B30" s="12"/>
      <c r="C30" s="129"/>
      <c r="D30" s="94"/>
      <c r="E30" s="58" t="str">
        <f>IF(Nov[[#This Row],[Name]]="","",Nov[[#This Row],[November Weight (kg)]]/(VLOOKUP(Nov[[#This Row],[Name]],Overview[],2,FALSE)/100)^2)</f>
        <v/>
      </c>
      <c r="F30" s="58" t="str">
        <f>IF(Nov[[#This Row],[Name]]="","",IF(VLOOKUP(Nov[[#This Row],[Name]],Overview[],18,FALSE)="","N/A",Nov[[#This Row],[November Weight (kg)]]-VLOOKUP(Nov[[#This Row],[Name]],Overview[],18,FALSE)))</f>
        <v/>
      </c>
      <c r="G30" s="175" t="str">
        <f>IF(Nov[[#This Row],[Name]]="","",IF(VLOOKUP(Nov[[#This Row],[Name]],Overview[],18,FALSE)="","N/A",(Nov[[#This Row],[November Weight (kg)]]-VLOOKUP(Nov[[#This Row],[Name]],Overview[],18,FALSE))/VLOOKUP(Nov[[#This Row],[Name]],Overview[],18,FALSE)))</f>
        <v/>
      </c>
      <c r="H30" s="61" t="str" cm="1">
        <f t="array" ref="H30">IF(Nov[[#This Row],[Name]]="","",IF(SUMPRODUCT((Overview[Name]=Nov[[#This Row],[Name]])*ISNUMBER(Overview[[May 
Weight (kg)]:[August 
Weight (kg) ]]))=0,"N/A",MAX(IF((Overview[Name]=Nov[[#This Row],[Name]])*ISNUMBER(Overview[[May 
Weight (kg)]:[August 
Weight (kg) ]]),Overview[[May 
Weight (kg)]:[August 
Weight (kg) ]]))))</f>
        <v/>
      </c>
      <c r="I30" s="57" t="str">
        <f>IF(Nov[[#This Row],[Name]]="","",IF(NOT(ISNUMBER(Nov[[#This Row],[Highest Weight in the Past 3 - 6 Months]])),"N/A",IF(Nov[[#This Row],[November Weight (kg)]]=Nov[[#This Row],[Highest Weight in the Past 3 - 6 Months]],0,Nov[[#This Row],[November Weight (kg)]]-Nov[[#This Row],[Highest Weight in the Past 3 - 6 Months]])))</f>
        <v/>
      </c>
      <c r="J30"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0" s="130"/>
      <c r="L30" s="131"/>
      <c r="M30"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0" s="64" t="str">
        <f>IF(Nov[[#This Row],[Name]]="","",IF(Nov[[#This Row],[November MUST Score ]]=0,"Low",IF(Nov[[#This Row],[November MUST Score ]]=1,"Medium","High")))</f>
        <v/>
      </c>
      <c r="O30" s="10"/>
      <c r="P30" s="70"/>
      <c r="Q30" s="12"/>
      <c r="R30" s="17"/>
      <c r="S30" s="10"/>
      <c r="T30" s="17"/>
      <c r="U30" s="70"/>
      <c r="V30" s="11"/>
      <c r="W30" s="94"/>
      <c r="X30" s="12"/>
      <c r="Y30" s="11"/>
    </row>
    <row r="31" spans="2:25" x14ac:dyDescent="0.25">
      <c r="B31" s="12"/>
      <c r="C31" s="129"/>
      <c r="D31" s="94"/>
      <c r="E31" s="58" t="str">
        <f>IF(Nov[[#This Row],[Name]]="","",Nov[[#This Row],[November Weight (kg)]]/(VLOOKUP(Nov[[#This Row],[Name]],Overview[],2,FALSE)/100)^2)</f>
        <v/>
      </c>
      <c r="F31" s="58" t="str">
        <f>IF(Nov[[#This Row],[Name]]="","",IF(VLOOKUP(Nov[[#This Row],[Name]],Overview[],18,FALSE)="","N/A",Nov[[#This Row],[November Weight (kg)]]-VLOOKUP(Nov[[#This Row],[Name]],Overview[],18,FALSE)))</f>
        <v/>
      </c>
      <c r="G31" s="175" t="str">
        <f>IF(Nov[[#This Row],[Name]]="","",IF(VLOOKUP(Nov[[#This Row],[Name]],Overview[],18,FALSE)="","N/A",(Nov[[#This Row],[November Weight (kg)]]-VLOOKUP(Nov[[#This Row],[Name]],Overview[],18,FALSE))/VLOOKUP(Nov[[#This Row],[Name]],Overview[],18,FALSE)))</f>
        <v/>
      </c>
      <c r="H31" s="61" t="str" cm="1">
        <f t="array" ref="H31">IF(Nov[[#This Row],[Name]]="","",IF(SUMPRODUCT((Overview[Name]=Nov[[#This Row],[Name]])*ISNUMBER(Overview[[May 
Weight (kg)]:[August 
Weight (kg) ]]))=0,"N/A",MAX(IF((Overview[Name]=Nov[[#This Row],[Name]])*ISNUMBER(Overview[[May 
Weight (kg)]:[August 
Weight (kg) ]]),Overview[[May 
Weight (kg)]:[August 
Weight (kg) ]]))))</f>
        <v/>
      </c>
      <c r="I31" s="57" t="str">
        <f>IF(Nov[[#This Row],[Name]]="","",IF(NOT(ISNUMBER(Nov[[#This Row],[Highest Weight in the Past 3 - 6 Months]])),"N/A",IF(Nov[[#This Row],[November Weight (kg)]]=Nov[[#This Row],[Highest Weight in the Past 3 - 6 Months]],0,Nov[[#This Row],[November Weight (kg)]]-Nov[[#This Row],[Highest Weight in the Past 3 - 6 Months]])))</f>
        <v/>
      </c>
      <c r="J31"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1" s="130"/>
      <c r="L31" s="131"/>
      <c r="M31"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1" s="64" t="str">
        <f>IF(Nov[[#This Row],[Name]]="","",IF(Nov[[#This Row],[November MUST Score ]]=0,"Low",IF(Nov[[#This Row],[November MUST Score ]]=1,"Medium","High")))</f>
        <v/>
      </c>
      <c r="O31" s="10"/>
      <c r="P31" s="70"/>
      <c r="Q31" s="12"/>
      <c r="R31" s="17"/>
      <c r="S31" s="10"/>
      <c r="T31" s="17"/>
      <c r="U31" s="70"/>
      <c r="V31" s="11"/>
      <c r="W31" s="94"/>
      <c r="X31" s="12"/>
      <c r="Y31" s="11"/>
    </row>
    <row r="32" spans="2:25" x14ac:dyDescent="0.25">
      <c r="B32" s="12"/>
      <c r="C32" s="129"/>
      <c r="D32" s="94"/>
      <c r="E32" s="58" t="str">
        <f>IF(Nov[[#This Row],[Name]]="","",Nov[[#This Row],[November Weight (kg)]]/(VLOOKUP(Nov[[#This Row],[Name]],Overview[],2,FALSE)/100)^2)</f>
        <v/>
      </c>
      <c r="F32" s="58" t="str">
        <f>IF(Nov[[#This Row],[Name]]="","",IF(VLOOKUP(Nov[[#This Row],[Name]],Overview[],18,FALSE)="","N/A",Nov[[#This Row],[November Weight (kg)]]-VLOOKUP(Nov[[#This Row],[Name]],Overview[],18,FALSE)))</f>
        <v/>
      </c>
      <c r="G32" s="175" t="str">
        <f>IF(Nov[[#This Row],[Name]]="","",IF(VLOOKUP(Nov[[#This Row],[Name]],Overview[],18,FALSE)="","N/A",(Nov[[#This Row],[November Weight (kg)]]-VLOOKUP(Nov[[#This Row],[Name]],Overview[],18,FALSE))/VLOOKUP(Nov[[#This Row],[Name]],Overview[],18,FALSE)))</f>
        <v/>
      </c>
      <c r="H32" s="61" t="str" cm="1">
        <f t="array" ref="H32">IF(Nov[[#This Row],[Name]]="","",IF(SUMPRODUCT((Overview[Name]=Nov[[#This Row],[Name]])*ISNUMBER(Overview[[May 
Weight (kg)]:[August 
Weight (kg) ]]))=0,"N/A",MAX(IF((Overview[Name]=Nov[[#This Row],[Name]])*ISNUMBER(Overview[[May 
Weight (kg)]:[August 
Weight (kg) ]]),Overview[[May 
Weight (kg)]:[August 
Weight (kg) ]]))))</f>
        <v/>
      </c>
      <c r="I32" s="57" t="str">
        <f>IF(Nov[[#This Row],[Name]]="","",IF(NOT(ISNUMBER(Nov[[#This Row],[Highest Weight in the Past 3 - 6 Months]])),"N/A",IF(Nov[[#This Row],[November Weight (kg)]]=Nov[[#This Row],[Highest Weight in the Past 3 - 6 Months]],0,Nov[[#This Row],[November Weight (kg)]]-Nov[[#This Row],[Highest Weight in the Past 3 - 6 Months]])))</f>
        <v/>
      </c>
      <c r="J32"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2" s="130"/>
      <c r="L32" s="131"/>
      <c r="M32"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2" s="64" t="str">
        <f>IF(Nov[[#This Row],[Name]]="","",IF(Nov[[#This Row],[November MUST Score ]]=0,"Low",IF(Nov[[#This Row],[November MUST Score ]]=1,"Medium","High")))</f>
        <v/>
      </c>
      <c r="O32" s="10"/>
      <c r="P32" s="70"/>
      <c r="Q32" s="12"/>
      <c r="R32" s="17"/>
      <c r="S32" s="10"/>
      <c r="T32" s="17"/>
      <c r="U32" s="70"/>
      <c r="V32" s="11"/>
      <c r="W32" s="94"/>
      <c r="X32" s="12"/>
      <c r="Y32" s="11"/>
    </row>
    <row r="33" spans="2:25" x14ac:dyDescent="0.25">
      <c r="B33" s="12"/>
      <c r="C33" s="129"/>
      <c r="D33" s="94"/>
      <c r="E33" s="58" t="str">
        <f>IF(Nov[[#This Row],[Name]]="","",Nov[[#This Row],[November Weight (kg)]]/(VLOOKUP(Nov[[#This Row],[Name]],Overview[],2,FALSE)/100)^2)</f>
        <v/>
      </c>
      <c r="F33" s="58" t="str">
        <f>IF(Nov[[#This Row],[Name]]="","",IF(VLOOKUP(Nov[[#This Row],[Name]],Overview[],18,FALSE)="","N/A",Nov[[#This Row],[November Weight (kg)]]-VLOOKUP(Nov[[#This Row],[Name]],Overview[],18,FALSE)))</f>
        <v/>
      </c>
      <c r="G33" s="175" t="str">
        <f>IF(Nov[[#This Row],[Name]]="","",IF(VLOOKUP(Nov[[#This Row],[Name]],Overview[],18,FALSE)="","N/A",(Nov[[#This Row],[November Weight (kg)]]-VLOOKUP(Nov[[#This Row],[Name]],Overview[],18,FALSE))/VLOOKUP(Nov[[#This Row],[Name]],Overview[],18,FALSE)))</f>
        <v/>
      </c>
      <c r="H33" s="61" t="str" cm="1">
        <f t="array" ref="H33">IF(Nov[[#This Row],[Name]]="","",IF(SUMPRODUCT((Overview[Name]=Nov[[#This Row],[Name]])*ISNUMBER(Overview[[May 
Weight (kg)]:[August 
Weight (kg) ]]))=0,"N/A",MAX(IF((Overview[Name]=Nov[[#This Row],[Name]])*ISNUMBER(Overview[[May 
Weight (kg)]:[August 
Weight (kg) ]]),Overview[[May 
Weight (kg)]:[August 
Weight (kg) ]]))))</f>
        <v/>
      </c>
      <c r="I33" s="57" t="str">
        <f>IF(Nov[[#This Row],[Name]]="","",IF(NOT(ISNUMBER(Nov[[#This Row],[Highest Weight in the Past 3 - 6 Months]])),"N/A",IF(Nov[[#This Row],[November Weight (kg)]]=Nov[[#This Row],[Highest Weight in the Past 3 - 6 Months]],0,Nov[[#This Row],[November Weight (kg)]]-Nov[[#This Row],[Highest Weight in the Past 3 - 6 Months]])))</f>
        <v/>
      </c>
      <c r="J33"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3" s="130"/>
      <c r="L33" s="131"/>
      <c r="M33"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3" s="64" t="str">
        <f>IF(Nov[[#This Row],[Name]]="","",IF(Nov[[#This Row],[November MUST Score ]]=0,"Low",IF(Nov[[#This Row],[November MUST Score ]]=1,"Medium","High")))</f>
        <v/>
      </c>
      <c r="O33" s="10"/>
      <c r="P33" s="70"/>
      <c r="Q33" s="12"/>
      <c r="R33" s="17"/>
      <c r="S33" s="10"/>
      <c r="T33" s="17"/>
      <c r="U33" s="70"/>
      <c r="V33" s="11"/>
      <c r="W33" s="94"/>
      <c r="X33" s="12"/>
      <c r="Y33" s="11"/>
    </row>
    <row r="34" spans="2:25" x14ac:dyDescent="0.25">
      <c r="B34" s="12"/>
      <c r="C34" s="129"/>
      <c r="D34" s="94"/>
      <c r="E34" s="58" t="str">
        <f>IF(Nov[[#This Row],[Name]]="","",Nov[[#This Row],[November Weight (kg)]]/(VLOOKUP(Nov[[#This Row],[Name]],Overview[],2,FALSE)/100)^2)</f>
        <v/>
      </c>
      <c r="F34" s="58" t="str">
        <f>IF(Nov[[#This Row],[Name]]="","",IF(VLOOKUP(Nov[[#This Row],[Name]],Overview[],18,FALSE)="","N/A",Nov[[#This Row],[November Weight (kg)]]-VLOOKUP(Nov[[#This Row],[Name]],Overview[],18,FALSE)))</f>
        <v/>
      </c>
      <c r="G34" s="175" t="str">
        <f>IF(Nov[[#This Row],[Name]]="","",IF(VLOOKUP(Nov[[#This Row],[Name]],Overview[],18,FALSE)="","N/A",(Nov[[#This Row],[November Weight (kg)]]-VLOOKUP(Nov[[#This Row],[Name]],Overview[],18,FALSE))/VLOOKUP(Nov[[#This Row],[Name]],Overview[],18,FALSE)))</f>
        <v/>
      </c>
      <c r="H34" s="61" t="str" cm="1">
        <f t="array" ref="H34">IF(Nov[[#This Row],[Name]]="","",IF(SUMPRODUCT((Overview[Name]=Nov[[#This Row],[Name]])*ISNUMBER(Overview[[May 
Weight (kg)]:[August 
Weight (kg) ]]))=0,"N/A",MAX(IF((Overview[Name]=Nov[[#This Row],[Name]])*ISNUMBER(Overview[[May 
Weight (kg)]:[August 
Weight (kg) ]]),Overview[[May 
Weight (kg)]:[August 
Weight (kg) ]]))))</f>
        <v/>
      </c>
      <c r="I34" s="57" t="str">
        <f>IF(Nov[[#This Row],[Name]]="","",IF(NOT(ISNUMBER(Nov[[#This Row],[Highest Weight in the Past 3 - 6 Months]])),"N/A",IF(Nov[[#This Row],[November Weight (kg)]]=Nov[[#This Row],[Highest Weight in the Past 3 - 6 Months]],0,Nov[[#This Row],[November Weight (kg)]]-Nov[[#This Row],[Highest Weight in the Past 3 - 6 Months]])))</f>
        <v/>
      </c>
      <c r="J34"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4" s="130"/>
      <c r="L34" s="131"/>
      <c r="M34"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4" s="64" t="str">
        <f>IF(Nov[[#This Row],[Name]]="","",IF(Nov[[#This Row],[November MUST Score ]]=0,"Low",IF(Nov[[#This Row],[November MUST Score ]]=1,"Medium","High")))</f>
        <v/>
      </c>
      <c r="O34" s="10"/>
      <c r="P34" s="70"/>
      <c r="Q34" s="12"/>
      <c r="R34" s="17"/>
      <c r="S34" s="10"/>
      <c r="T34" s="17"/>
      <c r="U34" s="70"/>
      <c r="V34" s="11"/>
      <c r="W34" s="94"/>
      <c r="X34" s="12"/>
      <c r="Y34" s="11"/>
    </row>
    <row r="35" spans="2:25" x14ac:dyDescent="0.25">
      <c r="B35" s="12"/>
      <c r="C35" s="129"/>
      <c r="D35" s="94"/>
      <c r="E35" s="58" t="str">
        <f>IF(Nov[[#This Row],[Name]]="","",Nov[[#This Row],[November Weight (kg)]]/(VLOOKUP(Nov[[#This Row],[Name]],Overview[],2,FALSE)/100)^2)</f>
        <v/>
      </c>
      <c r="F35" s="58" t="str">
        <f>IF(Nov[[#This Row],[Name]]="","",IF(VLOOKUP(Nov[[#This Row],[Name]],Overview[],18,FALSE)="","N/A",Nov[[#This Row],[November Weight (kg)]]-VLOOKUP(Nov[[#This Row],[Name]],Overview[],18,FALSE)))</f>
        <v/>
      </c>
      <c r="G35" s="175" t="str">
        <f>IF(Nov[[#This Row],[Name]]="","",IF(VLOOKUP(Nov[[#This Row],[Name]],Overview[],18,FALSE)="","N/A",(Nov[[#This Row],[November Weight (kg)]]-VLOOKUP(Nov[[#This Row],[Name]],Overview[],18,FALSE))/VLOOKUP(Nov[[#This Row],[Name]],Overview[],18,FALSE)))</f>
        <v/>
      </c>
      <c r="H35" s="61" t="str" cm="1">
        <f t="array" ref="H35">IF(Nov[[#This Row],[Name]]="","",IF(SUMPRODUCT((Overview[Name]=Nov[[#This Row],[Name]])*ISNUMBER(Overview[[May 
Weight (kg)]:[August 
Weight (kg) ]]))=0,"N/A",MAX(IF((Overview[Name]=Nov[[#This Row],[Name]])*ISNUMBER(Overview[[May 
Weight (kg)]:[August 
Weight (kg) ]]),Overview[[May 
Weight (kg)]:[August 
Weight (kg) ]]))))</f>
        <v/>
      </c>
      <c r="I35" s="57" t="str">
        <f>IF(Nov[[#This Row],[Name]]="","",IF(NOT(ISNUMBER(Nov[[#This Row],[Highest Weight in the Past 3 - 6 Months]])),"N/A",IF(Nov[[#This Row],[November Weight (kg)]]=Nov[[#This Row],[Highest Weight in the Past 3 - 6 Months]],0,Nov[[#This Row],[November Weight (kg)]]-Nov[[#This Row],[Highest Weight in the Past 3 - 6 Months]])))</f>
        <v/>
      </c>
      <c r="J35"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5" s="130"/>
      <c r="L35" s="131"/>
      <c r="M35"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5" s="64" t="str">
        <f>IF(Nov[[#This Row],[Name]]="","",IF(Nov[[#This Row],[November MUST Score ]]=0,"Low",IF(Nov[[#This Row],[November MUST Score ]]=1,"Medium","High")))</f>
        <v/>
      </c>
      <c r="O35" s="10"/>
      <c r="P35" s="70"/>
      <c r="Q35" s="12"/>
      <c r="R35" s="17"/>
      <c r="S35" s="10"/>
      <c r="T35" s="17"/>
      <c r="U35" s="70"/>
      <c r="V35" s="11"/>
      <c r="W35" s="94"/>
      <c r="X35" s="12"/>
      <c r="Y35" s="11"/>
    </row>
    <row r="36" spans="2:25" x14ac:dyDescent="0.25">
      <c r="B36" s="12"/>
      <c r="C36" s="129"/>
      <c r="D36" s="94"/>
      <c r="E36" s="58" t="str">
        <f>IF(Nov[[#This Row],[Name]]="","",Nov[[#This Row],[November Weight (kg)]]/(VLOOKUP(Nov[[#This Row],[Name]],Overview[],2,FALSE)/100)^2)</f>
        <v/>
      </c>
      <c r="F36" s="58" t="str">
        <f>IF(Nov[[#This Row],[Name]]="","",IF(VLOOKUP(Nov[[#This Row],[Name]],Overview[],18,FALSE)="","N/A",Nov[[#This Row],[November Weight (kg)]]-VLOOKUP(Nov[[#This Row],[Name]],Overview[],18,FALSE)))</f>
        <v/>
      </c>
      <c r="G36" s="175" t="str">
        <f>IF(Nov[[#This Row],[Name]]="","",IF(VLOOKUP(Nov[[#This Row],[Name]],Overview[],18,FALSE)="","N/A",(Nov[[#This Row],[November Weight (kg)]]-VLOOKUP(Nov[[#This Row],[Name]],Overview[],18,FALSE))/VLOOKUP(Nov[[#This Row],[Name]],Overview[],18,FALSE)))</f>
        <v/>
      </c>
      <c r="H36" s="61" t="str" cm="1">
        <f t="array" ref="H36">IF(Nov[[#This Row],[Name]]="","",IF(SUMPRODUCT((Overview[Name]=Nov[[#This Row],[Name]])*ISNUMBER(Overview[[May 
Weight (kg)]:[August 
Weight (kg) ]]))=0,"N/A",MAX(IF((Overview[Name]=Nov[[#This Row],[Name]])*ISNUMBER(Overview[[May 
Weight (kg)]:[August 
Weight (kg) ]]),Overview[[May 
Weight (kg)]:[August 
Weight (kg) ]]))))</f>
        <v/>
      </c>
      <c r="I36" s="57" t="str">
        <f>IF(Nov[[#This Row],[Name]]="","",IF(NOT(ISNUMBER(Nov[[#This Row],[Highest Weight in the Past 3 - 6 Months]])),"N/A",IF(Nov[[#This Row],[November Weight (kg)]]=Nov[[#This Row],[Highest Weight in the Past 3 - 6 Months]],0,Nov[[#This Row],[November Weight (kg)]]-Nov[[#This Row],[Highest Weight in the Past 3 - 6 Months]])))</f>
        <v/>
      </c>
      <c r="J36"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6" s="130"/>
      <c r="L36" s="131"/>
      <c r="M36"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6" s="64" t="str">
        <f>IF(Nov[[#This Row],[Name]]="","",IF(Nov[[#This Row],[November MUST Score ]]=0,"Low",IF(Nov[[#This Row],[November MUST Score ]]=1,"Medium","High")))</f>
        <v/>
      </c>
      <c r="O36" s="10"/>
      <c r="P36" s="70"/>
      <c r="Q36" s="12"/>
      <c r="R36" s="17"/>
      <c r="S36" s="10"/>
      <c r="T36" s="17"/>
      <c r="U36" s="70"/>
      <c r="V36" s="11"/>
      <c r="W36" s="94"/>
      <c r="X36" s="12"/>
      <c r="Y36" s="11"/>
    </row>
    <row r="37" spans="2:25" x14ac:dyDescent="0.25">
      <c r="B37" s="12"/>
      <c r="C37" s="129"/>
      <c r="D37" s="94"/>
      <c r="E37" s="58" t="str">
        <f>IF(Nov[[#This Row],[Name]]="","",Nov[[#This Row],[November Weight (kg)]]/(VLOOKUP(Nov[[#This Row],[Name]],Overview[],2,FALSE)/100)^2)</f>
        <v/>
      </c>
      <c r="F37" s="58" t="str">
        <f>IF(Nov[[#This Row],[Name]]="","",IF(VLOOKUP(Nov[[#This Row],[Name]],Overview[],18,FALSE)="","N/A",Nov[[#This Row],[November Weight (kg)]]-VLOOKUP(Nov[[#This Row],[Name]],Overview[],18,FALSE)))</f>
        <v/>
      </c>
      <c r="G37" s="175" t="str">
        <f>IF(Nov[[#This Row],[Name]]="","",IF(VLOOKUP(Nov[[#This Row],[Name]],Overview[],18,FALSE)="","N/A",(Nov[[#This Row],[November Weight (kg)]]-VLOOKUP(Nov[[#This Row],[Name]],Overview[],18,FALSE))/VLOOKUP(Nov[[#This Row],[Name]],Overview[],18,FALSE)))</f>
        <v/>
      </c>
      <c r="H37" s="61" t="str" cm="1">
        <f t="array" ref="H37">IF(Nov[[#This Row],[Name]]="","",IF(SUMPRODUCT((Overview[Name]=Nov[[#This Row],[Name]])*ISNUMBER(Overview[[May 
Weight (kg)]:[August 
Weight (kg) ]]))=0,"N/A",MAX(IF((Overview[Name]=Nov[[#This Row],[Name]])*ISNUMBER(Overview[[May 
Weight (kg)]:[August 
Weight (kg) ]]),Overview[[May 
Weight (kg)]:[August 
Weight (kg) ]]))))</f>
        <v/>
      </c>
      <c r="I37" s="57" t="str">
        <f>IF(Nov[[#This Row],[Name]]="","",IF(NOT(ISNUMBER(Nov[[#This Row],[Highest Weight in the Past 3 - 6 Months]])),"N/A",IF(Nov[[#This Row],[November Weight (kg)]]=Nov[[#This Row],[Highest Weight in the Past 3 - 6 Months]],0,Nov[[#This Row],[November Weight (kg)]]-Nov[[#This Row],[Highest Weight in the Past 3 - 6 Months]])))</f>
        <v/>
      </c>
      <c r="J37"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7" s="130"/>
      <c r="L37" s="131"/>
      <c r="M37"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7" s="64" t="str">
        <f>IF(Nov[[#This Row],[Name]]="","",IF(Nov[[#This Row],[November MUST Score ]]=0,"Low",IF(Nov[[#This Row],[November MUST Score ]]=1,"Medium","High")))</f>
        <v/>
      </c>
      <c r="O37" s="10"/>
      <c r="P37" s="70"/>
      <c r="Q37" s="12"/>
      <c r="R37" s="17"/>
      <c r="S37" s="10"/>
      <c r="T37" s="17"/>
      <c r="U37" s="70"/>
      <c r="V37" s="11"/>
      <c r="W37" s="94"/>
      <c r="X37" s="12"/>
      <c r="Y37" s="11"/>
    </row>
    <row r="38" spans="2:25" x14ac:dyDescent="0.25">
      <c r="B38" s="12"/>
      <c r="C38" s="129"/>
      <c r="D38" s="94"/>
      <c r="E38" s="58" t="str">
        <f>IF(Nov[[#This Row],[Name]]="","",Nov[[#This Row],[November Weight (kg)]]/(VLOOKUP(Nov[[#This Row],[Name]],Overview[],2,FALSE)/100)^2)</f>
        <v/>
      </c>
      <c r="F38" s="58" t="str">
        <f>IF(Nov[[#This Row],[Name]]="","",IF(VLOOKUP(Nov[[#This Row],[Name]],Overview[],18,FALSE)="","N/A",Nov[[#This Row],[November Weight (kg)]]-VLOOKUP(Nov[[#This Row],[Name]],Overview[],18,FALSE)))</f>
        <v/>
      </c>
      <c r="G38" s="175" t="str">
        <f>IF(Nov[[#This Row],[Name]]="","",IF(VLOOKUP(Nov[[#This Row],[Name]],Overview[],18,FALSE)="","N/A",(Nov[[#This Row],[November Weight (kg)]]-VLOOKUP(Nov[[#This Row],[Name]],Overview[],18,FALSE))/VLOOKUP(Nov[[#This Row],[Name]],Overview[],18,FALSE)))</f>
        <v/>
      </c>
      <c r="H38" s="61" t="str" cm="1">
        <f t="array" ref="H38">IF(Nov[[#This Row],[Name]]="","",IF(SUMPRODUCT((Overview[Name]=Nov[[#This Row],[Name]])*ISNUMBER(Overview[[May 
Weight (kg)]:[August 
Weight (kg) ]]))=0,"N/A",MAX(IF((Overview[Name]=Nov[[#This Row],[Name]])*ISNUMBER(Overview[[May 
Weight (kg)]:[August 
Weight (kg) ]]),Overview[[May 
Weight (kg)]:[August 
Weight (kg) ]]))))</f>
        <v/>
      </c>
      <c r="I38" s="57" t="str">
        <f>IF(Nov[[#This Row],[Name]]="","",IF(NOT(ISNUMBER(Nov[[#This Row],[Highest Weight in the Past 3 - 6 Months]])),"N/A",IF(Nov[[#This Row],[November Weight (kg)]]=Nov[[#This Row],[Highest Weight in the Past 3 - 6 Months]],0,Nov[[#This Row],[November Weight (kg)]]-Nov[[#This Row],[Highest Weight in the Past 3 - 6 Months]])))</f>
        <v/>
      </c>
      <c r="J38"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8" s="130"/>
      <c r="L38" s="131"/>
      <c r="M38"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8" s="64" t="str">
        <f>IF(Nov[[#This Row],[Name]]="","",IF(Nov[[#This Row],[November MUST Score ]]=0,"Low",IF(Nov[[#This Row],[November MUST Score ]]=1,"Medium","High")))</f>
        <v/>
      </c>
      <c r="O38" s="10"/>
      <c r="P38" s="70"/>
      <c r="Q38" s="12"/>
      <c r="R38" s="17"/>
      <c r="S38" s="10"/>
      <c r="T38" s="17"/>
      <c r="U38" s="70"/>
      <c r="V38" s="11"/>
      <c r="W38" s="94"/>
      <c r="X38" s="12"/>
      <c r="Y38" s="11"/>
    </row>
    <row r="39" spans="2:25" x14ac:dyDescent="0.25">
      <c r="B39" s="12"/>
      <c r="C39" s="129"/>
      <c r="D39" s="94"/>
      <c r="E39" s="58" t="str">
        <f>IF(Nov[[#This Row],[Name]]="","",Nov[[#This Row],[November Weight (kg)]]/(VLOOKUP(Nov[[#This Row],[Name]],Overview[],2,FALSE)/100)^2)</f>
        <v/>
      </c>
      <c r="F39" s="58" t="str">
        <f>IF(Nov[[#This Row],[Name]]="","",IF(VLOOKUP(Nov[[#This Row],[Name]],Overview[],18,FALSE)="","N/A",Nov[[#This Row],[November Weight (kg)]]-VLOOKUP(Nov[[#This Row],[Name]],Overview[],18,FALSE)))</f>
        <v/>
      </c>
      <c r="G39" s="175" t="str">
        <f>IF(Nov[[#This Row],[Name]]="","",IF(VLOOKUP(Nov[[#This Row],[Name]],Overview[],18,FALSE)="","N/A",(Nov[[#This Row],[November Weight (kg)]]-VLOOKUP(Nov[[#This Row],[Name]],Overview[],18,FALSE))/VLOOKUP(Nov[[#This Row],[Name]],Overview[],18,FALSE)))</f>
        <v/>
      </c>
      <c r="H39" s="61" t="str" cm="1">
        <f t="array" ref="H39">IF(Nov[[#This Row],[Name]]="","",IF(SUMPRODUCT((Overview[Name]=Nov[[#This Row],[Name]])*ISNUMBER(Overview[[May 
Weight (kg)]:[August 
Weight (kg) ]]))=0,"N/A",MAX(IF((Overview[Name]=Nov[[#This Row],[Name]])*ISNUMBER(Overview[[May 
Weight (kg)]:[August 
Weight (kg) ]]),Overview[[May 
Weight (kg)]:[August 
Weight (kg) ]]))))</f>
        <v/>
      </c>
      <c r="I39" s="57" t="str">
        <f>IF(Nov[[#This Row],[Name]]="","",IF(NOT(ISNUMBER(Nov[[#This Row],[Highest Weight in the Past 3 - 6 Months]])),"N/A",IF(Nov[[#This Row],[November Weight (kg)]]=Nov[[#This Row],[Highest Weight in the Past 3 - 6 Months]],0,Nov[[#This Row],[November Weight (kg)]]-Nov[[#This Row],[Highest Weight in the Past 3 - 6 Months]])))</f>
        <v/>
      </c>
      <c r="J39"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39" s="130"/>
      <c r="L39" s="131"/>
      <c r="M39"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39" s="64" t="str">
        <f>IF(Nov[[#This Row],[Name]]="","",IF(Nov[[#This Row],[November MUST Score ]]=0,"Low",IF(Nov[[#This Row],[November MUST Score ]]=1,"Medium","High")))</f>
        <v/>
      </c>
      <c r="O39" s="10"/>
      <c r="P39" s="70"/>
      <c r="Q39" s="12"/>
      <c r="R39" s="17"/>
      <c r="S39" s="10"/>
      <c r="T39" s="17"/>
      <c r="U39" s="70"/>
      <c r="V39" s="11"/>
      <c r="W39" s="94"/>
      <c r="X39" s="12"/>
      <c r="Y39" s="11"/>
    </row>
    <row r="40" spans="2:25" x14ac:dyDescent="0.25">
      <c r="B40" s="12"/>
      <c r="C40" s="129"/>
      <c r="D40" s="94"/>
      <c r="E40" s="58" t="str">
        <f>IF(Nov[[#This Row],[Name]]="","",Nov[[#This Row],[November Weight (kg)]]/(VLOOKUP(Nov[[#This Row],[Name]],Overview[],2,FALSE)/100)^2)</f>
        <v/>
      </c>
      <c r="F40" s="58" t="str">
        <f>IF(Nov[[#This Row],[Name]]="","",IF(VLOOKUP(Nov[[#This Row],[Name]],Overview[],18,FALSE)="","N/A",Nov[[#This Row],[November Weight (kg)]]-VLOOKUP(Nov[[#This Row],[Name]],Overview[],18,FALSE)))</f>
        <v/>
      </c>
      <c r="G40" s="175" t="str">
        <f>IF(Nov[[#This Row],[Name]]="","",IF(VLOOKUP(Nov[[#This Row],[Name]],Overview[],18,FALSE)="","N/A",(Nov[[#This Row],[November Weight (kg)]]-VLOOKUP(Nov[[#This Row],[Name]],Overview[],18,FALSE))/VLOOKUP(Nov[[#This Row],[Name]],Overview[],18,FALSE)))</f>
        <v/>
      </c>
      <c r="H40" s="61" t="str" cm="1">
        <f t="array" ref="H40">IF(Nov[[#This Row],[Name]]="","",IF(SUMPRODUCT((Overview[Name]=Nov[[#This Row],[Name]])*ISNUMBER(Overview[[May 
Weight (kg)]:[August 
Weight (kg) ]]))=0,"N/A",MAX(IF((Overview[Name]=Nov[[#This Row],[Name]])*ISNUMBER(Overview[[May 
Weight (kg)]:[August 
Weight (kg) ]]),Overview[[May 
Weight (kg)]:[August 
Weight (kg) ]]))))</f>
        <v/>
      </c>
      <c r="I40" s="57" t="str">
        <f>IF(Nov[[#This Row],[Name]]="","",IF(NOT(ISNUMBER(Nov[[#This Row],[Highest Weight in the Past 3 - 6 Months]])),"N/A",IF(Nov[[#This Row],[November Weight (kg)]]=Nov[[#This Row],[Highest Weight in the Past 3 - 6 Months]],0,Nov[[#This Row],[November Weight (kg)]]-Nov[[#This Row],[Highest Weight in the Past 3 - 6 Months]])))</f>
        <v/>
      </c>
      <c r="J40"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40" s="130"/>
      <c r="L40" s="131"/>
      <c r="M40"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40" s="64" t="str">
        <f>IF(Nov[[#This Row],[Name]]="","",IF(Nov[[#This Row],[November MUST Score ]]=0,"Low",IF(Nov[[#This Row],[November MUST Score ]]=1,"Medium","High")))</f>
        <v/>
      </c>
      <c r="O40" s="10"/>
      <c r="P40" s="70"/>
      <c r="Q40" s="12"/>
      <c r="R40" s="17"/>
      <c r="S40" s="10"/>
      <c r="T40" s="17"/>
      <c r="U40" s="70"/>
      <c r="V40" s="11"/>
      <c r="W40" s="94"/>
      <c r="X40" s="12"/>
      <c r="Y40" s="11"/>
    </row>
    <row r="41" spans="2:25" x14ac:dyDescent="0.25">
      <c r="B41" s="12"/>
      <c r="C41" s="129"/>
      <c r="D41" s="94"/>
      <c r="E41" s="58" t="str">
        <f>IF(Nov[[#This Row],[Name]]="","",Nov[[#This Row],[November Weight (kg)]]/(VLOOKUP(Nov[[#This Row],[Name]],Overview[],2,FALSE)/100)^2)</f>
        <v/>
      </c>
      <c r="F41" s="58" t="str">
        <f>IF(Nov[[#This Row],[Name]]="","",IF(VLOOKUP(Nov[[#This Row],[Name]],Overview[],18,FALSE)="","N/A",Nov[[#This Row],[November Weight (kg)]]-VLOOKUP(Nov[[#This Row],[Name]],Overview[],18,FALSE)))</f>
        <v/>
      </c>
      <c r="G41" s="175" t="str">
        <f>IF(Nov[[#This Row],[Name]]="","",IF(VLOOKUP(Nov[[#This Row],[Name]],Overview[],18,FALSE)="","N/A",(Nov[[#This Row],[November Weight (kg)]]-VLOOKUP(Nov[[#This Row],[Name]],Overview[],18,FALSE))/VLOOKUP(Nov[[#This Row],[Name]],Overview[],18,FALSE)))</f>
        <v/>
      </c>
      <c r="H41" s="61" t="str" cm="1">
        <f t="array" ref="H41">IF(Nov[[#This Row],[Name]]="","",IF(SUMPRODUCT((Overview[Name]=Nov[[#This Row],[Name]])*ISNUMBER(Overview[[May 
Weight (kg)]:[August 
Weight (kg) ]]))=0,"N/A",MAX(IF((Overview[Name]=Nov[[#This Row],[Name]])*ISNUMBER(Overview[[May 
Weight (kg)]:[August 
Weight (kg) ]]),Overview[[May 
Weight (kg)]:[August 
Weight (kg) ]]))))</f>
        <v/>
      </c>
      <c r="I41" s="57" t="str">
        <f>IF(Nov[[#This Row],[Name]]="","",IF(NOT(ISNUMBER(Nov[[#This Row],[Highest Weight in the Past 3 - 6 Months]])),"N/A",IF(Nov[[#This Row],[November Weight (kg)]]=Nov[[#This Row],[Highest Weight in the Past 3 - 6 Months]],0,Nov[[#This Row],[November Weight (kg)]]-Nov[[#This Row],[Highest Weight in the Past 3 - 6 Months]])))</f>
        <v/>
      </c>
      <c r="J41"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41" s="130"/>
      <c r="L41" s="131"/>
      <c r="M41" s="76"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41" s="64" t="str">
        <f>IF(Nov[[#This Row],[Name]]="","",IF(Nov[[#This Row],[November MUST Score ]]=0,"Low",IF(Nov[[#This Row],[November MUST Score ]]=1,"Medium","High")))</f>
        <v/>
      </c>
      <c r="O41" s="10"/>
      <c r="P41" s="70"/>
      <c r="Q41" s="12"/>
      <c r="R41" s="17"/>
      <c r="S41" s="10"/>
      <c r="T41" s="17"/>
      <c r="U41" s="70"/>
      <c r="V41" s="11"/>
      <c r="W41" s="94"/>
      <c r="X41" s="12"/>
      <c r="Y41" s="11"/>
    </row>
    <row r="42" spans="2:25" ht="15.75" thickBot="1" x14ac:dyDescent="0.3">
      <c r="B42" s="18"/>
      <c r="C42" s="132"/>
      <c r="D42" s="95"/>
      <c r="E42" s="60" t="str">
        <f>IF(Nov[[#This Row],[Name]]="","",Nov[[#This Row],[November Weight (kg)]]/(VLOOKUP(Nov[[#This Row],[Name]],Overview[],2,FALSE)/100)^2)</f>
        <v/>
      </c>
      <c r="F42" s="60" t="str">
        <f>IF(Nov[[#This Row],[Name]]="","",IF(VLOOKUP(Nov[[#This Row],[Name]],Overview[],18,FALSE)="","N/A",Nov[[#This Row],[November Weight (kg)]]-VLOOKUP(Nov[[#This Row],[Name]],Overview[],18,FALSE)))</f>
        <v/>
      </c>
      <c r="G42" s="176" t="str">
        <f>IF(Nov[[#This Row],[Name]]="","",IF(VLOOKUP(Nov[[#This Row],[Name]],Overview[],18,FALSE)="","N/A",(Nov[[#This Row],[November Weight (kg)]]-VLOOKUP(Nov[[#This Row],[Name]],Overview[],18,FALSE))/VLOOKUP(Nov[[#This Row],[Name]],Overview[],18,FALSE)))</f>
        <v/>
      </c>
      <c r="H42" s="61" t="str" cm="1">
        <f t="array" ref="H42">IF(Nov[[#This Row],[Name]]="","",IF(SUMPRODUCT((Overview[Name]=Nov[[#This Row],[Name]])*ISNUMBER(Overview[[May 
Weight (kg)]:[August 
Weight (kg) ]]))=0,"N/A",MAX(IF((Overview[Name]=Nov[[#This Row],[Name]])*ISNUMBER(Overview[[May 
Weight (kg)]:[August 
Weight (kg) ]]),Overview[[May 
Weight (kg)]:[August 
Weight (kg) ]]))))</f>
        <v/>
      </c>
      <c r="I42" s="57" t="str">
        <f>IF(Nov[[#This Row],[Name]]="","",IF(NOT(ISNUMBER(Nov[[#This Row],[Highest Weight in the Past 3 - 6 Months]])),"N/A",IF(Nov[[#This Row],[November Weight (kg)]]=Nov[[#This Row],[Highest Weight in the Past 3 - 6 Months]],0,Nov[[#This Row],[November Weight (kg)]]-Nov[[#This Row],[Highest Weight in the Past 3 - 6 Months]])))</f>
        <v/>
      </c>
      <c r="J42" s="173" t="str">
        <f>IF(Nov[[#This Row],[Name]]="","",IF(OR(Nov[[#This Row],[Highest Weight in the Past 3 - 6 Months]]="",Nov[[#This Row],[Highest Weight in the Past 3 - 6 Months]]="N/A"),"N/A",IFERROR(Nov[[#This Row],[Weight (kg) Difference from Highest Weight in Past 3 - 6 Months (Current Month - Highest Month)]]/Nov[[#This Row],[Highest Weight in the Past 3 - 6 Months]],"N/A")))</f>
        <v/>
      </c>
      <c r="K42" s="133"/>
      <c r="L42" s="134"/>
      <c r="M42" s="77" t="str">
        <f>IF(Nov[[#This Row],[Name]]="","",IFERROR(IF(Nov[[#This Row],[November BMI (kg/m2)]]&gt;20,0,IF(Nov[[#This Row],[November BMI (kg/m2)]]&gt;=18.5,1,2))+IF(Nov[[#This Row],[If Weight has been lost, is this Planned? (Yes/No)]]="Yes",0,IF(Nov[[#This Row],[Weight (kg) Difference from Highest Weight in 3 - 6 months as %]]&gt;-0.05,0,IF(Nov[[#This Row],[Weight (kg) Difference from Highest Weight in 3 - 6 months as %]]&gt;=-0.1,1,2))),""))</f>
        <v/>
      </c>
      <c r="N42" s="64" t="str">
        <f>IF(Nov[[#This Row],[Name]]="","",IF(Nov[[#This Row],[November MUST Score ]]=0,"Low",IF(Nov[[#This Row],[November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20" priority="6" operator="greaterThanOrEqual">
      <formula>2</formula>
    </cfRule>
    <cfRule type="cellIs" dxfId="19" priority="7" operator="equal">
      <formula>1</formula>
    </cfRule>
    <cfRule type="cellIs" dxfId="18" priority="8" operator="equal">
      <formula>0</formula>
    </cfRule>
  </conditionalFormatting>
  <conditionalFormatting sqref="N8:N42">
    <cfRule type="containsText" dxfId="17" priority="2" operator="containsText" text="High">
      <formula>NOT(ISERROR(SEARCH("High",N8)))</formula>
    </cfRule>
    <cfRule type="containsText" dxfId="16" priority="3" operator="containsText" text="Medium">
      <formula>NOT(ISERROR(SEARCH("Medium",N8)))</formula>
    </cfRule>
    <cfRule type="containsText" dxfId="15" priority="4" operator="containsText" text="Low">
      <formula>NOT(ISERROR(SEARCH("Low",N8)))</formula>
    </cfRule>
  </conditionalFormatting>
  <conditionalFormatting sqref="W8:X42">
    <cfRule type="containsText" dxfId="14"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F4C6BDF5-08E0-4642-87B9-94D9FAC5CD51}">
          <x14:formula1>
            <xm:f>Validation!$A$2:$A$3</xm:f>
          </x14:formula1>
          <xm:sqref>O8:O42 K8:L42 W8:W42 Q8:Q42 S8:S42</xm:sqref>
        </x14:dataValidation>
        <x14:dataValidation type="list" allowBlank="1" showInputMessage="1" showErrorMessage="1" xr:uid="{B73CA168-F687-472C-B7D7-2DAD8EE75230}">
          <x14:formula1>
            <xm:f>'Weight Overview'!$B$4:$B$38</xm:f>
          </x14:formula1>
          <xm:sqref>B8:B42</xm:sqref>
        </x14:dataValidation>
        <x14:dataValidation type="list" allowBlank="1" showInputMessage="1" showErrorMessage="1" xr:uid="{5428E8B6-AF77-437E-BD1B-32A09C5BFD20}">
          <x14:formula1>
            <xm:f>Validation!$A$27:$A$31</xm:f>
          </x14:formula1>
          <xm:sqref>U8:U42</xm:sqref>
        </x14:dataValidation>
        <x14:dataValidation type="list" allowBlank="1" showInputMessage="1" showErrorMessage="1" xr:uid="{9AFD446E-0A23-4D14-9412-9117045ACAF6}">
          <x14:formula1>
            <xm:f>Validation!$A$33:$A$37</xm:f>
          </x14:formula1>
          <xm:sqref>V8:V42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C89E-D8A7-4C5F-9C4A-3BFD6758235C}">
  <sheetPr>
    <tabColor rgb="FFFF66CC"/>
  </sheetPr>
  <dimension ref="B2:Z42"/>
  <sheetViews>
    <sheetView zoomScaleNormal="100" workbookViewId="0">
      <pane xSplit="2" ySplit="7" topLeftCell="C8" activePane="bottomRight" state="frozen"/>
      <selection activeCell="E4" sqref="E4"/>
      <selection pane="topRight" activeCell="E4" sqref="E4"/>
      <selection pane="bottomLeft" activeCell="E4" sqref="E4"/>
      <selection pane="bottomRight" activeCell="B8" sqref="B8"/>
    </sheetView>
  </sheetViews>
  <sheetFormatPr defaultRowHeight="15" x14ac:dyDescent="0.25"/>
  <cols>
    <col min="1" max="1" width="4" style="1" customWidth="1"/>
    <col min="2" max="3" width="20.7109375" style="1" customWidth="1"/>
    <col min="4" max="12" width="15.7109375" style="1" customWidth="1"/>
    <col min="13" max="14" width="19.85546875" style="1" customWidth="1"/>
    <col min="15" max="15" width="19.42578125" style="1" customWidth="1"/>
    <col min="16" max="16" width="33" style="1" customWidth="1"/>
    <col min="17" max="22" width="19.42578125" style="1" customWidth="1"/>
    <col min="23" max="24" width="15.7109375" style="1" customWidth="1"/>
    <col min="25" max="25" width="36" style="1" customWidth="1"/>
    <col min="26" max="26" width="42.140625" style="1" customWidth="1"/>
    <col min="27" max="16384" width="9.140625" style="1"/>
  </cols>
  <sheetData>
    <row r="2" spans="2:26" x14ac:dyDescent="0.25">
      <c r="B2" s="312" t="s">
        <v>36</v>
      </c>
      <c r="C2" s="312"/>
      <c r="D2" s="312"/>
      <c r="E2" s="312"/>
      <c r="F2" s="312"/>
      <c r="G2" s="312"/>
      <c r="H2" s="312"/>
      <c r="I2" s="312"/>
      <c r="J2" s="312"/>
      <c r="K2" s="312"/>
      <c r="L2" s="312"/>
      <c r="M2" s="312"/>
      <c r="N2" s="312"/>
      <c r="O2" s="312"/>
      <c r="P2" s="312"/>
      <c r="Q2" s="312"/>
      <c r="R2" s="312"/>
      <c r="S2" s="312"/>
      <c r="T2" s="312"/>
      <c r="U2" s="312"/>
      <c r="V2" s="312"/>
      <c r="W2" s="312"/>
      <c r="X2" s="312"/>
      <c r="Y2" s="312"/>
      <c r="Z2" s="91"/>
    </row>
    <row r="3" spans="2:26" ht="15.75" thickBot="1" x14ac:dyDescent="0.3">
      <c r="B3" s="23"/>
      <c r="C3" s="23"/>
      <c r="D3" s="23"/>
      <c r="E3" s="23"/>
      <c r="F3" s="23"/>
      <c r="G3" s="23"/>
      <c r="H3" s="23"/>
      <c r="I3" s="23"/>
      <c r="J3" s="23"/>
      <c r="K3" s="23"/>
      <c r="L3" s="23"/>
      <c r="M3" s="23"/>
      <c r="N3" s="23"/>
      <c r="O3" s="23"/>
      <c r="P3" s="23"/>
      <c r="Q3" s="23"/>
      <c r="R3" s="23"/>
      <c r="S3" s="23"/>
      <c r="T3" s="23"/>
      <c r="U3" s="23"/>
      <c r="V3" s="23"/>
      <c r="W3" s="23"/>
      <c r="X3" s="23"/>
      <c r="Y3" s="86"/>
    </row>
    <row r="4" spans="2:26" ht="15.75" thickBot="1" x14ac:dyDescent="0.3">
      <c r="B4" s="100" t="s">
        <v>1</v>
      </c>
      <c r="C4" s="90" t="s">
        <v>15</v>
      </c>
      <c r="D4" s="99" t="s">
        <v>2</v>
      </c>
      <c r="E4" s="88" t="s">
        <v>3</v>
      </c>
      <c r="Y4" s="62"/>
      <c r="Z4" s="2"/>
    </row>
    <row r="5" spans="2:26" ht="15.75" thickBot="1" x14ac:dyDescent="0.3">
      <c r="B5" s="74"/>
      <c r="C5" s="73"/>
      <c r="D5" s="73"/>
      <c r="E5" s="65"/>
      <c r="P5" s="81"/>
      <c r="W5" s="74"/>
      <c r="X5" s="62"/>
      <c r="Y5" s="62"/>
      <c r="Z5" s="2"/>
    </row>
    <row r="6" spans="2:26" ht="15.75" thickBot="1" x14ac:dyDescent="0.3">
      <c r="C6" s="322" t="s">
        <v>85</v>
      </c>
      <c r="D6" s="323"/>
      <c r="E6" s="323"/>
      <c r="F6" s="323"/>
      <c r="G6" s="324"/>
      <c r="H6" s="304" t="s">
        <v>68</v>
      </c>
      <c r="I6" s="305"/>
      <c r="J6" s="305"/>
      <c r="K6" s="306"/>
      <c r="L6" s="322" t="s">
        <v>69</v>
      </c>
      <c r="M6" s="323"/>
      <c r="N6" s="324"/>
      <c r="O6" s="304" t="s">
        <v>83</v>
      </c>
      <c r="P6" s="305"/>
      <c r="Q6" s="305"/>
      <c r="R6" s="305"/>
      <c r="S6" s="322" t="s">
        <v>84</v>
      </c>
      <c r="T6" s="323"/>
      <c r="U6" s="323"/>
      <c r="V6" s="324"/>
      <c r="Y6" s="63"/>
    </row>
    <row r="7" spans="2:26" ht="105.75" thickBot="1" x14ac:dyDescent="0.3">
      <c r="B7" s="97" t="s">
        <v>0</v>
      </c>
      <c r="C7" s="53" t="s">
        <v>167</v>
      </c>
      <c r="D7" s="56" t="s">
        <v>168</v>
      </c>
      <c r="E7" s="54" t="s">
        <v>169</v>
      </c>
      <c r="F7" s="54" t="s">
        <v>170</v>
      </c>
      <c r="G7" s="55" t="s">
        <v>171</v>
      </c>
      <c r="H7" s="71" t="s">
        <v>72</v>
      </c>
      <c r="I7" s="72" t="s">
        <v>70</v>
      </c>
      <c r="J7" s="67" t="s">
        <v>71</v>
      </c>
      <c r="K7" s="80" t="s">
        <v>64</v>
      </c>
      <c r="L7" s="97" t="s">
        <v>67</v>
      </c>
      <c r="M7" s="54" t="s">
        <v>172</v>
      </c>
      <c r="N7" s="55" t="s">
        <v>173</v>
      </c>
      <c r="O7" s="71" t="s">
        <v>65</v>
      </c>
      <c r="P7" s="68" t="s">
        <v>66</v>
      </c>
      <c r="Q7" s="92" t="s">
        <v>88</v>
      </c>
      <c r="R7" s="67" t="s">
        <v>86</v>
      </c>
      <c r="S7" s="53" t="s">
        <v>89</v>
      </c>
      <c r="T7" s="56" t="s">
        <v>87</v>
      </c>
      <c r="U7" s="56" t="s">
        <v>90</v>
      </c>
      <c r="V7" s="98" t="s">
        <v>91</v>
      </c>
      <c r="W7" s="68" t="s">
        <v>63</v>
      </c>
      <c r="X7" s="67" t="s">
        <v>59</v>
      </c>
      <c r="Y7" s="80" t="s">
        <v>18</v>
      </c>
    </row>
    <row r="8" spans="2:26" x14ac:dyDescent="0.25">
      <c r="B8" s="20"/>
      <c r="C8" s="125"/>
      <c r="D8" s="126"/>
      <c r="E8" s="57" t="str">
        <f>IF(Dec[[#This Row],[Name]]="","",Dec[[#This Row],[December Weight (kg)]]/(VLOOKUP(Dec[[#This Row],[Name]],Overview[],2,FALSE)/100)^2)</f>
        <v/>
      </c>
      <c r="F8" s="57" t="str">
        <f>IF(Dec[[#This Row],[Name]]="","",IF(VLOOKUP(Dec[[#This Row],[Name]],Overview[],19,FALSE)="","N/A",Dec[[#This Row],[December Weight (kg)]]-VLOOKUP(Dec[[#This Row],[Name]],Overview[],19,FALSE)))</f>
        <v/>
      </c>
      <c r="G8" s="174" t="str">
        <f>IF(Dec[[#This Row],[Name]]="","",IF(VLOOKUP(Dec[[#This Row],[Name]],Overview[],19,FALSE)="","N/A",(Dec[[#This Row],[December Weight (kg)]]-VLOOKUP(Dec[[#This Row],[Name]],Overview[],19,FALSE))/VLOOKUP(Dec[[#This Row],[Name]],Overview[],19,FALSE)))</f>
        <v/>
      </c>
      <c r="H8" s="61" t="str" cm="1">
        <f t="array" ref="H8">IF(Dec[[#This Row],[Name]]="","",IF(SUMPRODUCT((Overview[Name]=Dec[[#This Row],[Name]])*ISNUMBER(Overview[[June 
Weight (kg)]:[September Weight (kg) ]]))=0,"N/A",MAX(IF((Overview[Name]=Dec[[#This Row],[Name]])*ISNUMBER(Overview[[June 
Weight (kg)]:[September Weight (kg) ]]),Overview[[June 
Weight (kg)]:[September Weight (kg) ]]))))</f>
        <v/>
      </c>
      <c r="I8" s="57" t="str">
        <f>IF(Dec[[#This Row],[Name]]="","",IF(NOT(ISNUMBER(Dec[[#This Row],[Highest Weight in the Past 3 - 6 Months]])),"N/A",IF(Dec[[#This Row],[December Weight (kg)]]=Dec[[#This Row],[Highest Weight in the Past 3 - 6 Months]],0,Dec[[#This Row],[December Weight (kg)]]-Dec[[#This Row],[Highest Weight in the Past 3 - 6 Months]])))</f>
        <v/>
      </c>
      <c r="J8"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8" s="127"/>
      <c r="L8" s="128"/>
      <c r="M8" s="75"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8" s="64" t="str">
        <f>IF(Dec[[#This Row],[Name]]="","",IF(Dec[[#This Row],[December MUST Score ]]=0,"Low",IF(Dec[[#This Row],[December MUST Score ]]=1,"Medium","High")))</f>
        <v/>
      </c>
      <c r="O8" s="7"/>
      <c r="P8" s="69"/>
      <c r="Q8" s="20"/>
      <c r="R8" s="22"/>
      <c r="S8" s="44"/>
      <c r="T8" s="16"/>
      <c r="U8" s="69"/>
      <c r="V8" s="8"/>
      <c r="W8" s="93"/>
      <c r="X8" s="9"/>
      <c r="Y8" s="8"/>
    </row>
    <row r="9" spans="2:26" x14ac:dyDescent="0.25">
      <c r="B9" s="12"/>
      <c r="C9" s="129"/>
      <c r="D9" s="94"/>
      <c r="E9" s="58" t="str">
        <f>IF(Dec[[#This Row],[Name]]="","",Dec[[#This Row],[December Weight (kg)]]/(VLOOKUP(Dec[[#This Row],[Name]],Overview[],2,FALSE)/100)^2)</f>
        <v/>
      </c>
      <c r="F9" s="58" t="str">
        <f>IF(Dec[[#This Row],[Name]]="","",IF(VLOOKUP(Dec[[#This Row],[Name]],Overview[],19,FALSE)="","N/A",Dec[[#This Row],[December Weight (kg)]]-VLOOKUP(Dec[[#This Row],[Name]],Overview[],19,FALSE)))</f>
        <v/>
      </c>
      <c r="G9" s="175" t="str">
        <f>IF(Dec[[#This Row],[Name]]="","",IF(VLOOKUP(Dec[[#This Row],[Name]],Overview[],19,FALSE)="","N/A",(Dec[[#This Row],[December Weight (kg)]]-VLOOKUP(Dec[[#This Row],[Name]],Overview[],19,FALSE))/VLOOKUP(Dec[[#This Row],[Name]],Overview[],19,FALSE)))</f>
        <v/>
      </c>
      <c r="H9" s="61" t="str" cm="1">
        <f t="array" ref="H9">IF(Dec[[#This Row],[Name]]="","",IF(SUMPRODUCT((Overview[Name]=Dec[[#This Row],[Name]])*ISNUMBER(Overview[[June 
Weight (kg)]:[September Weight (kg) ]]))=0,"N/A",MAX(IF((Overview[Name]=Dec[[#This Row],[Name]])*ISNUMBER(Overview[[June 
Weight (kg)]:[September Weight (kg) ]]),Overview[[June 
Weight (kg)]:[September Weight (kg) ]]))))</f>
        <v/>
      </c>
      <c r="I9" s="57" t="str">
        <f>IF(Dec[[#This Row],[Name]]="","",IF(NOT(ISNUMBER(Dec[[#This Row],[Highest Weight in the Past 3 - 6 Months]])),"N/A",IF(Dec[[#This Row],[December Weight (kg)]]=Dec[[#This Row],[Highest Weight in the Past 3 - 6 Months]],0,Dec[[#This Row],[December Weight (kg)]]-Dec[[#This Row],[Highest Weight in the Past 3 - 6 Months]])))</f>
        <v/>
      </c>
      <c r="J9"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9" s="130"/>
      <c r="L9" s="131"/>
      <c r="M9"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9" s="64" t="str">
        <f>IF(Dec[[#This Row],[Name]]="","",IF(Dec[[#This Row],[December MUST Score ]]=0,"Low",IF(Dec[[#This Row],[December MUST Score ]]=1,"Medium","High")))</f>
        <v/>
      </c>
      <c r="O9" s="44"/>
      <c r="P9" s="66"/>
      <c r="Q9" s="20"/>
      <c r="R9" s="17"/>
      <c r="S9" s="44"/>
      <c r="T9" s="22"/>
      <c r="U9" s="66"/>
      <c r="V9" s="21"/>
      <c r="W9" s="94"/>
      <c r="X9" s="12"/>
      <c r="Y9" s="11"/>
    </row>
    <row r="10" spans="2:26" x14ac:dyDescent="0.25">
      <c r="B10" s="12"/>
      <c r="C10" s="129"/>
      <c r="D10" s="94"/>
      <c r="E10" s="58" t="str">
        <f>IF(Dec[[#This Row],[Name]]="","",Dec[[#This Row],[December Weight (kg)]]/(VLOOKUP(Dec[[#This Row],[Name]],Overview[],2,FALSE)/100)^2)</f>
        <v/>
      </c>
      <c r="F10" s="58" t="str">
        <f>IF(Dec[[#This Row],[Name]]="","",IF(VLOOKUP(Dec[[#This Row],[Name]],Overview[],19,FALSE)="","N/A",Dec[[#This Row],[December Weight (kg)]]-VLOOKUP(Dec[[#This Row],[Name]],Overview[],19,FALSE)))</f>
        <v/>
      </c>
      <c r="G10" s="175" t="str">
        <f>IF(Dec[[#This Row],[Name]]="","",IF(VLOOKUP(Dec[[#This Row],[Name]],Overview[],19,FALSE)="","N/A",(Dec[[#This Row],[December Weight (kg)]]-VLOOKUP(Dec[[#This Row],[Name]],Overview[],19,FALSE))/VLOOKUP(Dec[[#This Row],[Name]],Overview[],19,FALSE)))</f>
        <v/>
      </c>
      <c r="H10" s="61" t="str" cm="1">
        <f t="array" ref="H10">IF(Dec[[#This Row],[Name]]="","",IF(SUMPRODUCT((Overview[Name]=Dec[[#This Row],[Name]])*ISNUMBER(Overview[[June 
Weight (kg)]:[September Weight (kg) ]]))=0,"N/A",MAX(IF((Overview[Name]=Dec[[#This Row],[Name]])*ISNUMBER(Overview[[June 
Weight (kg)]:[September Weight (kg) ]]),Overview[[June 
Weight (kg)]:[September Weight (kg) ]]))))</f>
        <v/>
      </c>
      <c r="I10" s="57" t="str">
        <f>IF(Dec[[#This Row],[Name]]="","",IF(NOT(ISNUMBER(Dec[[#This Row],[Highest Weight in the Past 3 - 6 Months]])),"N/A",IF(Dec[[#This Row],[December Weight (kg)]]=Dec[[#This Row],[Highest Weight in the Past 3 - 6 Months]],0,Dec[[#This Row],[December Weight (kg)]]-Dec[[#This Row],[Highest Weight in the Past 3 - 6 Months]])))</f>
        <v/>
      </c>
      <c r="J10"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0" s="130"/>
      <c r="L10" s="131"/>
      <c r="M10"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0" s="64" t="str">
        <f>IF(Dec[[#This Row],[Name]]="","",IF(Dec[[#This Row],[December MUST Score ]]=0,"Low",IF(Dec[[#This Row],[December MUST Score ]]=1,"Medium","High")))</f>
        <v/>
      </c>
      <c r="O10" s="10"/>
      <c r="P10" s="70"/>
      <c r="Q10" s="12"/>
      <c r="R10" s="17"/>
      <c r="S10" s="10"/>
      <c r="T10" s="17"/>
      <c r="U10" s="70"/>
      <c r="V10" s="11"/>
      <c r="W10" s="94"/>
      <c r="X10" s="12"/>
      <c r="Y10" s="11"/>
    </row>
    <row r="11" spans="2:26" x14ac:dyDescent="0.25">
      <c r="B11" s="12"/>
      <c r="C11" s="129"/>
      <c r="D11" s="94"/>
      <c r="E11" s="58" t="str">
        <f>IF(Dec[[#This Row],[Name]]="","",Dec[[#This Row],[December Weight (kg)]]/(VLOOKUP(Dec[[#This Row],[Name]],Overview[],2,FALSE)/100)^2)</f>
        <v/>
      </c>
      <c r="F11" s="58" t="str">
        <f>IF(Dec[[#This Row],[Name]]="","",IF(VLOOKUP(Dec[[#This Row],[Name]],Overview[],19,FALSE)="","N/A",Dec[[#This Row],[December Weight (kg)]]-VLOOKUP(Dec[[#This Row],[Name]],Overview[],19,FALSE)))</f>
        <v/>
      </c>
      <c r="G11" s="175" t="str">
        <f>IF(Dec[[#This Row],[Name]]="","",IF(VLOOKUP(Dec[[#This Row],[Name]],Overview[],19,FALSE)="","N/A",(Dec[[#This Row],[December Weight (kg)]]-VLOOKUP(Dec[[#This Row],[Name]],Overview[],19,FALSE))/VLOOKUP(Dec[[#This Row],[Name]],Overview[],19,FALSE)))</f>
        <v/>
      </c>
      <c r="H11" s="61" t="str" cm="1">
        <f t="array" ref="H11">IF(Dec[[#This Row],[Name]]="","",IF(SUMPRODUCT((Overview[Name]=Dec[[#This Row],[Name]])*ISNUMBER(Overview[[June 
Weight (kg)]:[September Weight (kg) ]]))=0,"N/A",MAX(IF((Overview[Name]=Dec[[#This Row],[Name]])*ISNUMBER(Overview[[June 
Weight (kg)]:[September Weight (kg) ]]),Overview[[June 
Weight (kg)]:[September Weight (kg) ]]))))</f>
        <v/>
      </c>
      <c r="I11" s="57" t="str">
        <f>IF(Dec[[#This Row],[Name]]="","",IF(NOT(ISNUMBER(Dec[[#This Row],[Highest Weight in the Past 3 - 6 Months]])),"N/A",IF(Dec[[#This Row],[December Weight (kg)]]=Dec[[#This Row],[Highest Weight in the Past 3 - 6 Months]],0,Dec[[#This Row],[December Weight (kg)]]-Dec[[#This Row],[Highest Weight in the Past 3 - 6 Months]])))</f>
        <v/>
      </c>
      <c r="J11"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1" s="130"/>
      <c r="L11" s="131"/>
      <c r="M11"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1" s="64" t="str">
        <f>IF(Dec[[#This Row],[Name]]="","",IF(Dec[[#This Row],[December MUST Score ]]=0,"Low",IF(Dec[[#This Row],[December MUST Score ]]=1,"Medium","High")))</f>
        <v/>
      </c>
      <c r="O11" s="10"/>
      <c r="P11" s="70"/>
      <c r="Q11" s="12"/>
      <c r="R11" s="17"/>
      <c r="S11" s="10"/>
      <c r="T11" s="17"/>
      <c r="U11" s="70"/>
      <c r="V11" s="11"/>
      <c r="W11" s="94"/>
      <c r="X11" s="12"/>
      <c r="Y11" s="11"/>
    </row>
    <row r="12" spans="2:26" x14ac:dyDescent="0.25">
      <c r="B12" s="12"/>
      <c r="C12" s="129"/>
      <c r="D12" s="94"/>
      <c r="E12" s="58" t="str">
        <f>IF(Dec[[#This Row],[Name]]="","",Dec[[#This Row],[December Weight (kg)]]/(VLOOKUP(Dec[[#This Row],[Name]],Overview[],2,FALSE)/100)^2)</f>
        <v/>
      </c>
      <c r="F12" s="58" t="str">
        <f>IF(Dec[[#This Row],[Name]]="","",IF(VLOOKUP(Dec[[#This Row],[Name]],Overview[],19,FALSE)="","N/A",Dec[[#This Row],[December Weight (kg)]]-VLOOKUP(Dec[[#This Row],[Name]],Overview[],19,FALSE)))</f>
        <v/>
      </c>
      <c r="G12" s="175" t="str">
        <f>IF(Dec[[#This Row],[Name]]="","",IF(VLOOKUP(Dec[[#This Row],[Name]],Overview[],19,FALSE)="","N/A",(Dec[[#This Row],[December Weight (kg)]]-VLOOKUP(Dec[[#This Row],[Name]],Overview[],19,FALSE))/VLOOKUP(Dec[[#This Row],[Name]],Overview[],19,FALSE)))</f>
        <v/>
      </c>
      <c r="H12" s="61" t="str" cm="1">
        <f t="array" ref="H12">IF(Dec[[#This Row],[Name]]="","",IF(SUMPRODUCT((Overview[Name]=Dec[[#This Row],[Name]])*ISNUMBER(Overview[[June 
Weight (kg)]:[September Weight (kg) ]]))=0,"N/A",MAX(IF((Overview[Name]=Dec[[#This Row],[Name]])*ISNUMBER(Overview[[June 
Weight (kg)]:[September Weight (kg) ]]),Overview[[June 
Weight (kg)]:[September Weight (kg) ]]))))</f>
        <v/>
      </c>
      <c r="I12" s="57" t="str">
        <f>IF(Dec[[#This Row],[Name]]="","",IF(NOT(ISNUMBER(Dec[[#This Row],[Highest Weight in the Past 3 - 6 Months]])),"N/A",IF(Dec[[#This Row],[December Weight (kg)]]=Dec[[#This Row],[Highest Weight in the Past 3 - 6 Months]],0,Dec[[#This Row],[December Weight (kg)]]-Dec[[#This Row],[Highest Weight in the Past 3 - 6 Months]])))</f>
        <v/>
      </c>
      <c r="J12"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2" s="130"/>
      <c r="L12" s="131"/>
      <c r="M12"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2" s="64" t="str">
        <f>IF(Dec[[#This Row],[Name]]="","",IF(Dec[[#This Row],[December MUST Score ]]=0,"Low",IF(Dec[[#This Row],[December MUST Score ]]=1,"Medium","High")))</f>
        <v/>
      </c>
      <c r="O12" s="10"/>
      <c r="P12" s="70"/>
      <c r="Q12" s="12"/>
      <c r="R12" s="17"/>
      <c r="S12" s="10"/>
      <c r="T12" s="17"/>
      <c r="U12" s="70"/>
      <c r="V12" s="11"/>
      <c r="W12" s="94"/>
      <c r="X12" s="12"/>
      <c r="Y12" s="11"/>
    </row>
    <row r="13" spans="2:26" x14ac:dyDescent="0.25">
      <c r="B13" s="12"/>
      <c r="C13" s="129"/>
      <c r="D13" s="94"/>
      <c r="E13" s="58" t="str">
        <f>IF(Dec[[#This Row],[Name]]="","",Dec[[#This Row],[December Weight (kg)]]/(VLOOKUP(Dec[[#This Row],[Name]],Overview[],2,FALSE)/100)^2)</f>
        <v/>
      </c>
      <c r="F13" s="58" t="str">
        <f>IF(Dec[[#This Row],[Name]]="","",IF(VLOOKUP(Dec[[#This Row],[Name]],Overview[],19,FALSE)="","N/A",Dec[[#This Row],[December Weight (kg)]]-VLOOKUP(Dec[[#This Row],[Name]],Overview[],19,FALSE)))</f>
        <v/>
      </c>
      <c r="G13" s="175" t="str">
        <f>IF(Dec[[#This Row],[Name]]="","",IF(VLOOKUP(Dec[[#This Row],[Name]],Overview[],19,FALSE)="","N/A",(Dec[[#This Row],[December Weight (kg)]]-VLOOKUP(Dec[[#This Row],[Name]],Overview[],19,FALSE))/VLOOKUP(Dec[[#This Row],[Name]],Overview[],19,FALSE)))</f>
        <v/>
      </c>
      <c r="H13" s="61" t="str" cm="1">
        <f t="array" ref="H13">IF(Dec[[#This Row],[Name]]="","",IF(SUMPRODUCT((Overview[Name]=Dec[[#This Row],[Name]])*ISNUMBER(Overview[[June 
Weight (kg)]:[September Weight (kg) ]]))=0,"N/A",MAX(IF((Overview[Name]=Dec[[#This Row],[Name]])*ISNUMBER(Overview[[June 
Weight (kg)]:[September Weight (kg) ]]),Overview[[June 
Weight (kg)]:[September Weight (kg) ]]))))</f>
        <v/>
      </c>
      <c r="I13" s="57" t="str">
        <f>IF(Dec[[#This Row],[Name]]="","",IF(NOT(ISNUMBER(Dec[[#This Row],[Highest Weight in the Past 3 - 6 Months]])),"N/A",IF(Dec[[#This Row],[December Weight (kg)]]=Dec[[#This Row],[Highest Weight in the Past 3 - 6 Months]],0,Dec[[#This Row],[December Weight (kg)]]-Dec[[#This Row],[Highest Weight in the Past 3 - 6 Months]])))</f>
        <v/>
      </c>
      <c r="J13"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3" s="130"/>
      <c r="L13" s="131"/>
      <c r="M13"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3" s="64" t="str">
        <f>IF(Dec[[#This Row],[Name]]="","",IF(Dec[[#This Row],[December MUST Score ]]=0,"Low",IF(Dec[[#This Row],[December MUST Score ]]=1,"Medium","High")))</f>
        <v/>
      </c>
      <c r="O13" s="10"/>
      <c r="P13" s="70"/>
      <c r="Q13" s="12"/>
      <c r="R13" s="17"/>
      <c r="S13" s="10"/>
      <c r="T13" s="17"/>
      <c r="U13" s="70"/>
      <c r="V13" s="11"/>
      <c r="W13" s="94"/>
      <c r="X13" s="12"/>
      <c r="Y13" s="11"/>
    </row>
    <row r="14" spans="2:26" x14ac:dyDescent="0.25">
      <c r="B14" s="12"/>
      <c r="C14" s="129"/>
      <c r="D14" s="94"/>
      <c r="E14" s="58" t="str">
        <f>IF(Dec[[#This Row],[Name]]="","",Dec[[#This Row],[December Weight (kg)]]/(VLOOKUP(Dec[[#This Row],[Name]],Overview[],2,FALSE)/100)^2)</f>
        <v/>
      </c>
      <c r="F14" s="58" t="str">
        <f>IF(Dec[[#This Row],[Name]]="","",IF(VLOOKUP(Dec[[#This Row],[Name]],Overview[],19,FALSE)="","N/A",Dec[[#This Row],[December Weight (kg)]]-VLOOKUP(Dec[[#This Row],[Name]],Overview[],19,FALSE)))</f>
        <v/>
      </c>
      <c r="G14" s="175" t="str">
        <f>IF(Dec[[#This Row],[Name]]="","",IF(VLOOKUP(Dec[[#This Row],[Name]],Overview[],19,FALSE)="","N/A",(Dec[[#This Row],[December Weight (kg)]]-VLOOKUP(Dec[[#This Row],[Name]],Overview[],19,FALSE))/VLOOKUP(Dec[[#This Row],[Name]],Overview[],19,FALSE)))</f>
        <v/>
      </c>
      <c r="H14" s="61" t="str" cm="1">
        <f t="array" ref="H14">IF(Dec[[#This Row],[Name]]="","",IF(SUMPRODUCT((Overview[Name]=Dec[[#This Row],[Name]])*ISNUMBER(Overview[[June 
Weight (kg)]:[September Weight (kg) ]]))=0,"N/A",MAX(IF((Overview[Name]=Dec[[#This Row],[Name]])*ISNUMBER(Overview[[June 
Weight (kg)]:[September Weight (kg) ]]),Overview[[June 
Weight (kg)]:[September Weight (kg) ]]))))</f>
        <v/>
      </c>
      <c r="I14" s="57" t="str">
        <f>IF(Dec[[#This Row],[Name]]="","",IF(NOT(ISNUMBER(Dec[[#This Row],[Highest Weight in the Past 3 - 6 Months]])),"N/A",IF(Dec[[#This Row],[December Weight (kg)]]=Dec[[#This Row],[Highest Weight in the Past 3 - 6 Months]],0,Dec[[#This Row],[December Weight (kg)]]-Dec[[#This Row],[Highest Weight in the Past 3 - 6 Months]])))</f>
        <v/>
      </c>
      <c r="J14"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4" s="130"/>
      <c r="L14" s="131"/>
      <c r="M14"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4" s="64" t="str">
        <f>IF(Dec[[#This Row],[Name]]="","",IF(Dec[[#This Row],[December MUST Score ]]=0,"Low",IF(Dec[[#This Row],[December MUST Score ]]=1,"Medium","High")))</f>
        <v/>
      </c>
      <c r="O14" s="10"/>
      <c r="P14" s="70"/>
      <c r="Q14" s="12"/>
      <c r="R14" s="17"/>
      <c r="S14" s="10"/>
      <c r="T14" s="17"/>
      <c r="U14" s="70"/>
      <c r="V14" s="11"/>
      <c r="W14" s="94"/>
      <c r="X14" s="12"/>
      <c r="Y14" s="11"/>
    </row>
    <row r="15" spans="2:26" x14ac:dyDescent="0.25">
      <c r="B15" s="12"/>
      <c r="C15" s="129"/>
      <c r="D15" s="94"/>
      <c r="E15" s="58" t="str">
        <f>IF(Dec[[#This Row],[Name]]="","",Dec[[#This Row],[December Weight (kg)]]/(VLOOKUP(Dec[[#This Row],[Name]],Overview[],2,FALSE)/100)^2)</f>
        <v/>
      </c>
      <c r="F15" s="58" t="str">
        <f>IF(Dec[[#This Row],[Name]]="","",IF(VLOOKUP(Dec[[#This Row],[Name]],Overview[],19,FALSE)="","N/A",Dec[[#This Row],[December Weight (kg)]]-VLOOKUP(Dec[[#This Row],[Name]],Overview[],19,FALSE)))</f>
        <v/>
      </c>
      <c r="G15" s="175" t="str">
        <f>IF(Dec[[#This Row],[Name]]="","",IF(VLOOKUP(Dec[[#This Row],[Name]],Overview[],19,FALSE)="","N/A",(Dec[[#This Row],[December Weight (kg)]]-VLOOKUP(Dec[[#This Row],[Name]],Overview[],19,FALSE))/VLOOKUP(Dec[[#This Row],[Name]],Overview[],19,FALSE)))</f>
        <v/>
      </c>
      <c r="H15" s="61" t="str" cm="1">
        <f t="array" ref="H15">IF(Dec[[#This Row],[Name]]="","",IF(SUMPRODUCT((Overview[Name]=Dec[[#This Row],[Name]])*ISNUMBER(Overview[[June 
Weight (kg)]:[September Weight (kg) ]]))=0,"N/A",MAX(IF((Overview[Name]=Dec[[#This Row],[Name]])*ISNUMBER(Overview[[June 
Weight (kg)]:[September Weight (kg) ]]),Overview[[June 
Weight (kg)]:[September Weight (kg) ]]))))</f>
        <v/>
      </c>
      <c r="I15" s="57" t="str">
        <f>IF(Dec[[#This Row],[Name]]="","",IF(NOT(ISNUMBER(Dec[[#This Row],[Highest Weight in the Past 3 - 6 Months]])),"N/A",IF(Dec[[#This Row],[December Weight (kg)]]=Dec[[#This Row],[Highest Weight in the Past 3 - 6 Months]],0,Dec[[#This Row],[December Weight (kg)]]-Dec[[#This Row],[Highest Weight in the Past 3 - 6 Months]])))</f>
        <v/>
      </c>
      <c r="J15"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5" s="130"/>
      <c r="L15" s="131"/>
      <c r="M15"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5" s="64" t="str">
        <f>IF(Dec[[#This Row],[Name]]="","",IF(Dec[[#This Row],[December MUST Score ]]=0,"Low",IF(Dec[[#This Row],[December MUST Score ]]=1,"Medium","High")))</f>
        <v/>
      </c>
      <c r="O15" s="10"/>
      <c r="P15" s="70"/>
      <c r="Q15" s="12"/>
      <c r="R15" s="17"/>
      <c r="S15" s="10"/>
      <c r="T15" s="17"/>
      <c r="U15" s="70"/>
      <c r="V15" s="11"/>
      <c r="W15" s="94"/>
      <c r="X15" s="12"/>
      <c r="Y15" s="11"/>
    </row>
    <row r="16" spans="2:26" x14ac:dyDescent="0.25">
      <c r="B16" s="12"/>
      <c r="C16" s="129"/>
      <c r="D16" s="94"/>
      <c r="E16" s="58" t="str">
        <f>IF(Dec[[#This Row],[Name]]="","",Dec[[#This Row],[December Weight (kg)]]/(VLOOKUP(Dec[[#This Row],[Name]],Overview[],2,FALSE)/100)^2)</f>
        <v/>
      </c>
      <c r="F16" s="58" t="str">
        <f>IF(Dec[[#This Row],[Name]]="","",IF(VLOOKUP(Dec[[#This Row],[Name]],Overview[],19,FALSE)="","N/A",Dec[[#This Row],[December Weight (kg)]]-VLOOKUP(Dec[[#This Row],[Name]],Overview[],19,FALSE)))</f>
        <v/>
      </c>
      <c r="G16" s="175" t="str">
        <f>IF(Dec[[#This Row],[Name]]="","",IF(VLOOKUP(Dec[[#This Row],[Name]],Overview[],19,FALSE)="","N/A",(Dec[[#This Row],[December Weight (kg)]]-VLOOKUP(Dec[[#This Row],[Name]],Overview[],19,FALSE))/VLOOKUP(Dec[[#This Row],[Name]],Overview[],19,FALSE)))</f>
        <v/>
      </c>
      <c r="H16" s="61" t="str" cm="1">
        <f t="array" ref="H16">IF(Dec[[#This Row],[Name]]="","",IF(SUMPRODUCT((Overview[Name]=Dec[[#This Row],[Name]])*ISNUMBER(Overview[[June 
Weight (kg)]:[September Weight (kg) ]]))=0,"N/A",MAX(IF((Overview[Name]=Dec[[#This Row],[Name]])*ISNUMBER(Overview[[June 
Weight (kg)]:[September Weight (kg) ]]),Overview[[June 
Weight (kg)]:[September Weight (kg) ]]))))</f>
        <v/>
      </c>
      <c r="I16" s="57" t="str">
        <f>IF(Dec[[#This Row],[Name]]="","",IF(NOT(ISNUMBER(Dec[[#This Row],[Highest Weight in the Past 3 - 6 Months]])),"N/A",IF(Dec[[#This Row],[December Weight (kg)]]=Dec[[#This Row],[Highest Weight in the Past 3 - 6 Months]],0,Dec[[#This Row],[December Weight (kg)]]-Dec[[#This Row],[Highest Weight in the Past 3 - 6 Months]])))</f>
        <v/>
      </c>
      <c r="J16"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6" s="130"/>
      <c r="L16" s="131"/>
      <c r="M16"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6" s="64" t="str">
        <f>IF(Dec[[#This Row],[Name]]="","",IF(Dec[[#This Row],[December MUST Score ]]=0,"Low",IF(Dec[[#This Row],[December MUST Score ]]=1,"Medium","High")))</f>
        <v/>
      </c>
      <c r="O16" s="10"/>
      <c r="P16" s="70"/>
      <c r="Q16" s="12"/>
      <c r="R16" s="17"/>
      <c r="S16" s="10"/>
      <c r="T16" s="17"/>
      <c r="U16" s="70"/>
      <c r="V16" s="11"/>
      <c r="W16" s="94"/>
      <c r="X16" s="12"/>
      <c r="Y16" s="11"/>
    </row>
    <row r="17" spans="2:25" x14ac:dyDescent="0.25">
      <c r="B17" s="12"/>
      <c r="C17" s="129"/>
      <c r="D17" s="94"/>
      <c r="E17" s="58" t="str">
        <f>IF(Dec[[#This Row],[Name]]="","",Dec[[#This Row],[December Weight (kg)]]/(VLOOKUP(Dec[[#This Row],[Name]],Overview[],2,FALSE)/100)^2)</f>
        <v/>
      </c>
      <c r="F17" s="58" t="str">
        <f>IF(Dec[[#This Row],[Name]]="","",IF(VLOOKUP(Dec[[#This Row],[Name]],Overview[],19,FALSE)="","N/A",Dec[[#This Row],[December Weight (kg)]]-VLOOKUP(Dec[[#This Row],[Name]],Overview[],19,FALSE)))</f>
        <v/>
      </c>
      <c r="G17" s="175" t="str">
        <f>IF(Dec[[#This Row],[Name]]="","",IF(VLOOKUP(Dec[[#This Row],[Name]],Overview[],19,FALSE)="","N/A",(Dec[[#This Row],[December Weight (kg)]]-VLOOKUP(Dec[[#This Row],[Name]],Overview[],19,FALSE))/VLOOKUP(Dec[[#This Row],[Name]],Overview[],19,FALSE)))</f>
        <v/>
      </c>
      <c r="H17" s="61" t="str" cm="1">
        <f t="array" ref="H17">IF(Dec[[#This Row],[Name]]="","",IF(SUMPRODUCT((Overview[Name]=Dec[[#This Row],[Name]])*ISNUMBER(Overview[[June 
Weight (kg)]:[September Weight (kg) ]]))=0,"N/A",MAX(IF((Overview[Name]=Dec[[#This Row],[Name]])*ISNUMBER(Overview[[June 
Weight (kg)]:[September Weight (kg) ]]),Overview[[June 
Weight (kg)]:[September Weight (kg) ]]))))</f>
        <v/>
      </c>
      <c r="I17" s="57" t="str">
        <f>IF(Dec[[#This Row],[Name]]="","",IF(NOT(ISNUMBER(Dec[[#This Row],[Highest Weight in the Past 3 - 6 Months]])),"N/A",IF(Dec[[#This Row],[December Weight (kg)]]=Dec[[#This Row],[Highest Weight in the Past 3 - 6 Months]],0,Dec[[#This Row],[December Weight (kg)]]-Dec[[#This Row],[Highest Weight in the Past 3 - 6 Months]])))</f>
        <v/>
      </c>
      <c r="J17"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7" s="130"/>
      <c r="L17" s="131"/>
      <c r="M17"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7" s="64" t="str">
        <f>IF(Dec[[#This Row],[Name]]="","",IF(Dec[[#This Row],[December MUST Score ]]=0,"Low",IF(Dec[[#This Row],[December MUST Score ]]=1,"Medium","High")))</f>
        <v/>
      </c>
      <c r="O17" s="10"/>
      <c r="P17" s="70"/>
      <c r="Q17" s="12"/>
      <c r="R17" s="17"/>
      <c r="S17" s="10"/>
      <c r="T17" s="17"/>
      <c r="U17" s="70"/>
      <c r="V17" s="11"/>
      <c r="W17" s="94"/>
      <c r="X17" s="12"/>
      <c r="Y17" s="11"/>
    </row>
    <row r="18" spans="2:25" x14ac:dyDescent="0.25">
      <c r="B18" s="12"/>
      <c r="C18" s="129"/>
      <c r="D18" s="94"/>
      <c r="E18" s="58" t="str">
        <f>IF(Dec[[#This Row],[Name]]="","",Dec[[#This Row],[December Weight (kg)]]/(VLOOKUP(Dec[[#This Row],[Name]],Overview[],2,FALSE)/100)^2)</f>
        <v/>
      </c>
      <c r="F18" s="58" t="str">
        <f>IF(Dec[[#This Row],[Name]]="","",IF(VLOOKUP(Dec[[#This Row],[Name]],Overview[],19,FALSE)="","N/A",Dec[[#This Row],[December Weight (kg)]]-VLOOKUP(Dec[[#This Row],[Name]],Overview[],19,FALSE)))</f>
        <v/>
      </c>
      <c r="G18" s="175" t="str">
        <f>IF(Dec[[#This Row],[Name]]="","",IF(VLOOKUP(Dec[[#This Row],[Name]],Overview[],19,FALSE)="","N/A",(Dec[[#This Row],[December Weight (kg)]]-VLOOKUP(Dec[[#This Row],[Name]],Overview[],19,FALSE))/VLOOKUP(Dec[[#This Row],[Name]],Overview[],19,FALSE)))</f>
        <v/>
      </c>
      <c r="H18" s="61" t="str" cm="1">
        <f t="array" ref="H18">IF(Dec[[#This Row],[Name]]="","",IF(SUMPRODUCT((Overview[Name]=Dec[[#This Row],[Name]])*ISNUMBER(Overview[[June 
Weight (kg)]:[September Weight (kg) ]]))=0,"N/A",MAX(IF((Overview[Name]=Dec[[#This Row],[Name]])*ISNUMBER(Overview[[June 
Weight (kg)]:[September Weight (kg) ]]),Overview[[June 
Weight (kg)]:[September Weight (kg) ]]))))</f>
        <v/>
      </c>
      <c r="I18" s="57" t="str">
        <f>IF(Dec[[#This Row],[Name]]="","",IF(NOT(ISNUMBER(Dec[[#This Row],[Highest Weight in the Past 3 - 6 Months]])),"N/A",IF(Dec[[#This Row],[December Weight (kg)]]=Dec[[#This Row],[Highest Weight in the Past 3 - 6 Months]],0,Dec[[#This Row],[December Weight (kg)]]-Dec[[#This Row],[Highest Weight in the Past 3 - 6 Months]])))</f>
        <v/>
      </c>
      <c r="J18"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8" s="130"/>
      <c r="L18" s="131"/>
      <c r="M18"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8" s="64" t="str">
        <f>IF(Dec[[#This Row],[Name]]="","",IF(Dec[[#This Row],[December MUST Score ]]=0,"Low",IF(Dec[[#This Row],[December MUST Score ]]=1,"Medium","High")))</f>
        <v/>
      </c>
      <c r="O18" s="10"/>
      <c r="P18" s="70"/>
      <c r="Q18" s="12"/>
      <c r="R18" s="17"/>
      <c r="S18" s="10"/>
      <c r="T18" s="17"/>
      <c r="U18" s="70"/>
      <c r="V18" s="11"/>
      <c r="W18" s="94"/>
      <c r="X18" s="12"/>
      <c r="Y18" s="11"/>
    </row>
    <row r="19" spans="2:25" x14ac:dyDescent="0.25">
      <c r="B19" s="12"/>
      <c r="C19" s="129"/>
      <c r="D19" s="94"/>
      <c r="E19" s="58" t="str">
        <f>IF(Dec[[#This Row],[Name]]="","",Dec[[#This Row],[December Weight (kg)]]/(VLOOKUP(Dec[[#This Row],[Name]],Overview[],2,FALSE)/100)^2)</f>
        <v/>
      </c>
      <c r="F19" s="58" t="str">
        <f>IF(Dec[[#This Row],[Name]]="","",IF(VLOOKUP(Dec[[#This Row],[Name]],Overview[],19,FALSE)="","N/A",Dec[[#This Row],[December Weight (kg)]]-VLOOKUP(Dec[[#This Row],[Name]],Overview[],19,FALSE)))</f>
        <v/>
      </c>
      <c r="G19" s="175" t="str">
        <f>IF(Dec[[#This Row],[Name]]="","",IF(VLOOKUP(Dec[[#This Row],[Name]],Overview[],19,FALSE)="","N/A",(Dec[[#This Row],[December Weight (kg)]]-VLOOKUP(Dec[[#This Row],[Name]],Overview[],19,FALSE))/VLOOKUP(Dec[[#This Row],[Name]],Overview[],19,FALSE)))</f>
        <v/>
      </c>
      <c r="H19" s="61" t="str" cm="1">
        <f t="array" ref="H19">IF(Dec[[#This Row],[Name]]="","",IF(SUMPRODUCT((Overview[Name]=Dec[[#This Row],[Name]])*ISNUMBER(Overview[[June 
Weight (kg)]:[September Weight (kg) ]]))=0,"N/A",MAX(IF((Overview[Name]=Dec[[#This Row],[Name]])*ISNUMBER(Overview[[June 
Weight (kg)]:[September Weight (kg) ]]),Overview[[June 
Weight (kg)]:[September Weight (kg) ]]))))</f>
        <v/>
      </c>
      <c r="I19" s="57" t="str">
        <f>IF(Dec[[#This Row],[Name]]="","",IF(NOT(ISNUMBER(Dec[[#This Row],[Highest Weight in the Past 3 - 6 Months]])),"N/A",IF(Dec[[#This Row],[December Weight (kg)]]=Dec[[#This Row],[Highest Weight in the Past 3 - 6 Months]],0,Dec[[#This Row],[December Weight (kg)]]-Dec[[#This Row],[Highest Weight in the Past 3 - 6 Months]])))</f>
        <v/>
      </c>
      <c r="J19"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19" s="130"/>
      <c r="L19" s="131"/>
      <c r="M19"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19" s="64" t="str">
        <f>IF(Dec[[#This Row],[Name]]="","",IF(Dec[[#This Row],[December MUST Score ]]=0,"Low",IF(Dec[[#This Row],[December MUST Score ]]=1,"Medium","High")))</f>
        <v/>
      </c>
      <c r="O19" s="10"/>
      <c r="P19" s="70"/>
      <c r="Q19" s="12"/>
      <c r="R19" s="17"/>
      <c r="S19" s="10"/>
      <c r="T19" s="17"/>
      <c r="U19" s="70"/>
      <c r="V19" s="11"/>
      <c r="W19" s="94"/>
      <c r="X19" s="12"/>
      <c r="Y19" s="11"/>
    </row>
    <row r="20" spans="2:25" x14ac:dyDescent="0.25">
      <c r="B20" s="12"/>
      <c r="C20" s="129"/>
      <c r="D20" s="94"/>
      <c r="E20" s="58" t="str">
        <f>IF(Dec[[#This Row],[Name]]="","",Dec[[#This Row],[December Weight (kg)]]/(VLOOKUP(Dec[[#This Row],[Name]],Overview[],2,FALSE)/100)^2)</f>
        <v/>
      </c>
      <c r="F20" s="58" t="str">
        <f>IF(Dec[[#This Row],[Name]]="","",IF(VLOOKUP(Dec[[#This Row],[Name]],Overview[],19,FALSE)="","N/A",Dec[[#This Row],[December Weight (kg)]]-VLOOKUP(Dec[[#This Row],[Name]],Overview[],19,FALSE)))</f>
        <v/>
      </c>
      <c r="G20" s="175" t="str">
        <f>IF(Dec[[#This Row],[Name]]="","",IF(VLOOKUP(Dec[[#This Row],[Name]],Overview[],19,FALSE)="","N/A",(Dec[[#This Row],[December Weight (kg)]]-VLOOKUP(Dec[[#This Row],[Name]],Overview[],19,FALSE))/VLOOKUP(Dec[[#This Row],[Name]],Overview[],19,FALSE)))</f>
        <v/>
      </c>
      <c r="H20" s="61" t="str" cm="1">
        <f t="array" ref="H20">IF(Dec[[#This Row],[Name]]="","",IF(SUMPRODUCT((Overview[Name]=Dec[[#This Row],[Name]])*ISNUMBER(Overview[[June 
Weight (kg)]:[September Weight (kg) ]]))=0,"N/A",MAX(IF((Overview[Name]=Dec[[#This Row],[Name]])*ISNUMBER(Overview[[June 
Weight (kg)]:[September Weight (kg) ]]),Overview[[June 
Weight (kg)]:[September Weight (kg) ]]))))</f>
        <v/>
      </c>
      <c r="I20" s="57" t="str">
        <f>IF(Dec[[#This Row],[Name]]="","",IF(NOT(ISNUMBER(Dec[[#This Row],[Highest Weight in the Past 3 - 6 Months]])),"N/A",IF(Dec[[#This Row],[December Weight (kg)]]=Dec[[#This Row],[Highest Weight in the Past 3 - 6 Months]],0,Dec[[#This Row],[December Weight (kg)]]-Dec[[#This Row],[Highest Weight in the Past 3 - 6 Months]])))</f>
        <v/>
      </c>
      <c r="J20"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0" s="130"/>
      <c r="L20" s="131"/>
      <c r="M20"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0" s="64" t="str">
        <f>IF(Dec[[#This Row],[Name]]="","",IF(Dec[[#This Row],[December MUST Score ]]=0,"Low",IF(Dec[[#This Row],[December MUST Score ]]=1,"Medium","High")))</f>
        <v/>
      </c>
      <c r="O20" s="10"/>
      <c r="P20" s="70"/>
      <c r="Q20" s="12"/>
      <c r="R20" s="17"/>
      <c r="S20" s="10"/>
      <c r="T20" s="17"/>
      <c r="U20" s="70"/>
      <c r="V20" s="11"/>
      <c r="W20" s="94"/>
      <c r="X20" s="12"/>
      <c r="Y20" s="11"/>
    </row>
    <row r="21" spans="2:25" x14ac:dyDescent="0.25">
      <c r="B21" s="12"/>
      <c r="C21" s="129"/>
      <c r="D21" s="94"/>
      <c r="E21" s="58" t="str">
        <f>IF(Dec[[#This Row],[Name]]="","",Dec[[#This Row],[December Weight (kg)]]/(VLOOKUP(Dec[[#This Row],[Name]],Overview[],2,FALSE)/100)^2)</f>
        <v/>
      </c>
      <c r="F21" s="58" t="str">
        <f>IF(Dec[[#This Row],[Name]]="","",IF(VLOOKUP(Dec[[#This Row],[Name]],Overview[],19,FALSE)="","N/A",Dec[[#This Row],[December Weight (kg)]]-VLOOKUP(Dec[[#This Row],[Name]],Overview[],19,FALSE)))</f>
        <v/>
      </c>
      <c r="G21" s="175" t="str">
        <f>IF(Dec[[#This Row],[Name]]="","",IF(VLOOKUP(Dec[[#This Row],[Name]],Overview[],19,FALSE)="","N/A",(Dec[[#This Row],[December Weight (kg)]]-VLOOKUP(Dec[[#This Row],[Name]],Overview[],19,FALSE))/VLOOKUP(Dec[[#This Row],[Name]],Overview[],19,FALSE)))</f>
        <v/>
      </c>
      <c r="H21" s="61" t="str" cm="1">
        <f t="array" ref="H21">IF(Dec[[#This Row],[Name]]="","",IF(SUMPRODUCT((Overview[Name]=Dec[[#This Row],[Name]])*ISNUMBER(Overview[[June 
Weight (kg)]:[September Weight (kg) ]]))=0,"N/A",MAX(IF((Overview[Name]=Dec[[#This Row],[Name]])*ISNUMBER(Overview[[June 
Weight (kg)]:[September Weight (kg) ]]),Overview[[June 
Weight (kg)]:[September Weight (kg) ]]))))</f>
        <v/>
      </c>
      <c r="I21" s="57" t="str">
        <f>IF(Dec[[#This Row],[Name]]="","",IF(NOT(ISNUMBER(Dec[[#This Row],[Highest Weight in the Past 3 - 6 Months]])),"N/A",IF(Dec[[#This Row],[December Weight (kg)]]=Dec[[#This Row],[Highest Weight in the Past 3 - 6 Months]],0,Dec[[#This Row],[December Weight (kg)]]-Dec[[#This Row],[Highest Weight in the Past 3 - 6 Months]])))</f>
        <v/>
      </c>
      <c r="J21"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1" s="130"/>
      <c r="L21" s="131"/>
      <c r="M21"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1" s="64" t="str">
        <f>IF(Dec[[#This Row],[Name]]="","",IF(Dec[[#This Row],[December MUST Score ]]=0,"Low",IF(Dec[[#This Row],[December MUST Score ]]=1,"Medium","High")))</f>
        <v/>
      </c>
      <c r="O21" s="10"/>
      <c r="P21" s="70"/>
      <c r="Q21" s="12"/>
      <c r="R21" s="17"/>
      <c r="S21" s="10"/>
      <c r="T21" s="17"/>
      <c r="U21" s="70"/>
      <c r="V21" s="11"/>
      <c r="W21" s="94"/>
      <c r="X21" s="12"/>
      <c r="Y21" s="11"/>
    </row>
    <row r="22" spans="2:25" x14ac:dyDescent="0.25">
      <c r="B22" s="12"/>
      <c r="C22" s="129"/>
      <c r="D22" s="94"/>
      <c r="E22" s="58" t="str">
        <f>IF(Dec[[#This Row],[Name]]="","",Dec[[#This Row],[December Weight (kg)]]/(VLOOKUP(Dec[[#This Row],[Name]],Overview[],2,FALSE)/100)^2)</f>
        <v/>
      </c>
      <c r="F22" s="58" t="str">
        <f>IF(Dec[[#This Row],[Name]]="","",IF(VLOOKUP(Dec[[#This Row],[Name]],Overview[],19,FALSE)="","N/A",Dec[[#This Row],[December Weight (kg)]]-VLOOKUP(Dec[[#This Row],[Name]],Overview[],19,FALSE)))</f>
        <v/>
      </c>
      <c r="G22" s="175" t="str">
        <f>IF(Dec[[#This Row],[Name]]="","",IF(VLOOKUP(Dec[[#This Row],[Name]],Overview[],19,FALSE)="","N/A",(Dec[[#This Row],[December Weight (kg)]]-VLOOKUP(Dec[[#This Row],[Name]],Overview[],19,FALSE))/VLOOKUP(Dec[[#This Row],[Name]],Overview[],19,FALSE)))</f>
        <v/>
      </c>
      <c r="H22" s="61" t="str" cm="1">
        <f t="array" ref="H22">IF(Dec[[#This Row],[Name]]="","",IF(SUMPRODUCT((Overview[Name]=Dec[[#This Row],[Name]])*ISNUMBER(Overview[[June 
Weight (kg)]:[September Weight (kg) ]]))=0,"N/A",MAX(IF((Overview[Name]=Dec[[#This Row],[Name]])*ISNUMBER(Overview[[June 
Weight (kg)]:[September Weight (kg) ]]),Overview[[June 
Weight (kg)]:[September Weight (kg) ]]))))</f>
        <v/>
      </c>
      <c r="I22" s="57" t="str">
        <f>IF(Dec[[#This Row],[Name]]="","",IF(NOT(ISNUMBER(Dec[[#This Row],[Highest Weight in the Past 3 - 6 Months]])),"N/A",IF(Dec[[#This Row],[December Weight (kg)]]=Dec[[#This Row],[Highest Weight in the Past 3 - 6 Months]],0,Dec[[#This Row],[December Weight (kg)]]-Dec[[#This Row],[Highest Weight in the Past 3 - 6 Months]])))</f>
        <v/>
      </c>
      <c r="J22"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2" s="130"/>
      <c r="L22" s="131"/>
      <c r="M22"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2" s="64" t="str">
        <f>IF(Dec[[#This Row],[Name]]="","",IF(Dec[[#This Row],[December MUST Score ]]=0,"Low",IF(Dec[[#This Row],[December MUST Score ]]=1,"Medium","High")))</f>
        <v/>
      </c>
      <c r="O22" s="10"/>
      <c r="P22" s="70"/>
      <c r="Q22" s="12"/>
      <c r="R22" s="17"/>
      <c r="S22" s="10"/>
      <c r="T22" s="17"/>
      <c r="U22" s="70"/>
      <c r="V22" s="11"/>
      <c r="W22" s="94"/>
      <c r="X22" s="12"/>
      <c r="Y22" s="11"/>
    </row>
    <row r="23" spans="2:25" x14ac:dyDescent="0.25">
      <c r="B23" s="12"/>
      <c r="C23" s="129"/>
      <c r="D23" s="94"/>
      <c r="E23" s="58" t="str">
        <f>IF(Dec[[#This Row],[Name]]="","",Dec[[#This Row],[December Weight (kg)]]/(VLOOKUP(Dec[[#This Row],[Name]],Overview[],2,FALSE)/100)^2)</f>
        <v/>
      </c>
      <c r="F23" s="58" t="str">
        <f>IF(Dec[[#This Row],[Name]]="","",IF(VLOOKUP(Dec[[#This Row],[Name]],Overview[],19,FALSE)="","N/A",Dec[[#This Row],[December Weight (kg)]]-VLOOKUP(Dec[[#This Row],[Name]],Overview[],19,FALSE)))</f>
        <v/>
      </c>
      <c r="G23" s="175" t="str">
        <f>IF(Dec[[#This Row],[Name]]="","",IF(VLOOKUP(Dec[[#This Row],[Name]],Overview[],19,FALSE)="","N/A",(Dec[[#This Row],[December Weight (kg)]]-VLOOKUP(Dec[[#This Row],[Name]],Overview[],19,FALSE))/VLOOKUP(Dec[[#This Row],[Name]],Overview[],19,FALSE)))</f>
        <v/>
      </c>
      <c r="H23" s="61" t="str" cm="1">
        <f t="array" ref="H23">IF(Dec[[#This Row],[Name]]="","",IF(SUMPRODUCT((Overview[Name]=Dec[[#This Row],[Name]])*ISNUMBER(Overview[[June 
Weight (kg)]:[September Weight (kg) ]]))=0,"N/A",MAX(IF((Overview[Name]=Dec[[#This Row],[Name]])*ISNUMBER(Overview[[June 
Weight (kg)]:[September Weight (kg) ]]),Overview[[June 
Weight (kg)]:[September Weight (kg) ]]))))</f>
        <v/>
      </c>
      <c r="I23" s="57" t="str">
        <f>IF(Dec[[#This Row],[Name]]="","",IF(NOT(ISNUMBER(Dec[[#This Row],[Highest Weight in the Past 3 - 6 Months]])),"N/A",IF(Dec[[#This Row],[December Weight (kg)]]=Dec[[#This Row],[Highest Weight in the Past 3 - 6 Months]],0,Dec[[#This Row],[December Weight (kg)]]-Dec[[#This Row],[Highest Weight in the Past 3 - 6 Months]])))</f>
        <v/>
      </c>
      <c r="J23"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3" s="130"/>
      <c r="L23" s="131"/>
      <c r="M23"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3" s="64" t="str">
        <f>IF(Dec[[#This Row],[Name]]="","",IF(Dec[[#This Row],[December MUST Score ]]=0,"Low",IF(Dec[[#This Row],[December MUST Score ]]=1,"Medium","High")))</f>
        <v/>
      </c>
      <c r="O23" s="10"/>
      <c r="P23" s="70"/>
      <c r="Q23" s="12"/>
      <c r="R23" s="17"/>
      <c r="S23" s="10"/>
      <c r="T23" s="17"/>
      <c r="U23" s="70"/>
      <c r="V23" s="11"/>
      <c r="W23" s="94"/>
      <c r="X23" s="12"/>
      <c r="Y23" s="11"/>
    </row>
    <row r="24" spans="2:25" x14ac:dyDescent="0.25">
      <c r="B24" s="12"/>
      <c r="C24" s="129"/>
      <c r="D24" s="94"/>
      <c r="E24" s="58" t="str">
        <f>IF(Dec[[#This Row],[Name]]="","",Dec[[#This Row],[December Weight (kg)]]/(VLOOKUP(Dec[[#This Row],[Name]],Overview[],2,FALSE)/100)^2)</f>
        <v/>
      </c>
      <c r="F24" s="58" t="str">
        <f>IF(Dec[[#This Row],[Name]]="","",IF(VLOOKUP(Dec[[#This Row],[Name]],Overview[],19,FALSE)="","N/A",Dec[[#This Row],[December Weight (kg)]]-VLOOKUP(Dec[[#This Row],[Name]],Overview[],19,FALSE)))</f>
        <v/>
      </c>
      <c r="G24" s="175" t="str">
        <f>IF(Dec[[#This Row],[Name]]="","",IF(VLOOKUP(Dec[[#This Row],[Name]],Overview[],19,FALSE)="","N/A",(Dec[[#This Row],[December Weight (kg)]]-VLOOKUP(Dec[[#This Row],[Name]],Overview[],19,FALSE))/VLOOKUP(Dec[[#This Row],[Name]],Overview[],19,FALSE)))</f>
        <v/>
      </c>
      <c r="H24" s="61" t="str" cm="1">
        <f t="array" ref="H24">IF(Dec[[#This Row],[Name]]="","",IF(SUMPRODUCT((Overview[Name]=Dec[[#This Row],[Name]])*ISNUMBER(Overview[[June 
Weight (kg)]:[September Weight (kg) ]]))=0,"N/A",MAX(IF((Overview[Name]=Dec[[#This Row],[Name]])*ISNUMBER(Overview[[June 
Weight (kg)]:[September Weight (kg) ]]),Overview[[June 
Weight (kg)]:[September Weight (kg) ]]))))</f>
        <v/>
      </c>
      <c r="I24" s="57" t="str">
        <f>IF(Dec[[#This Row],[Name]]="","",IF(NOT(ISNUMBER(Dec[[#This Row],[Highest Weight in the Past 3 - 6 Months]])),"N/A",IF(Dec[[#This Row],[December Weight (kg)]]=Dec[[#This Row],[Highest Weight in the Past 3 - 6 Months]],0,Dec[[#This Row],[December Weight (kg)]]-Dec[[#This Row],[Highest Weight in the Past 3 - 6 Months]])))</f>
        <v/>
      </c>
      <c r="J24"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4" s="130"/>
      <c r="L24" s="131"/>
      <c r="M24"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4" s="64" t="str">
        <f>IF(Dec[[#This Row],[Name]]="","",IF(Dec[[#This Row],[December MUST Score ]]=0,"Low",IF(Dec[[#This Row],[December MUST Score ]]=1,"Medium","High")))</f>
        <v/>
      </c>
      <c r="O24" s="10"/>
      <c r="P24" s="70"/>
      <c r="Q24" s="12"/>
      <c r="R24" s="17"/>
      <c r="S24" s="10"/>
      <c r="T24" s="17"/>
      <c r="U24" s="70"/>
      <c r="V24" s="11"/>
      <c r="W24" s="94"/>
      <c r="X24" s="12"/>
      <c r="Y24" s="11"/>
    </row>
    <row r="25" spans="2:25" x14ac:dyDescent="0.25">
      <c r="B25" s="12"/>
      <c r="C25" s="129"/>
      <c r="D25" s="94"/>
      <c r="E25" s="58" t="str">
        <f>IF(Dec[[#This Row],[Name]]="","",Dec[[#This Row],[December Weight (kg)]]/(VLOOKUP(Dec[[#This Row],[Name]],Overview[],2,FALSE)/100)^2)</f>
        <v/>
      </c>
      <c r="F25" s="58" t="str">
        <f>IF(Dec[[#This Row],[Name]]="","",IF(VLOOKUP(Dec[[#This Row],[Name]],Overview[],19,FALSE)="","N/A",Dec[[#This Row],[December Weight (kg)]]-VLOOKUP(Dec[[#This Row],[Name]],Overview[],19,FALSE)))</f>
        <v/>
      </c>
      <c r="G25" s="175" t="str">
        <f>IF(Dec[[#This Row],[Name]]="","",IF(VLOOKUP(Dec[[#This Row],[Name]],Overview[],19,FALSE)="","N/A",(Dec[[#This Row],[December Weight (kg)]]-VLOOKUP(Dec[[#This Row],[Name]],Overview[],19,FALSE))/VLOOKUP(Dec[[#This Row],[Name]],Overview[],19,FALSE)))</f>
        <v/>
      </c>
      <c r="H25" s="61" t="str" cm="1">
        <f t="array" ref="H25">IF(Dec[[#This Row],[Name]]="","",IF(SUMPRODUCT((Overview[Name]=Dec[[#This Row],[Name]])*ISNUMBER(Overview[[June 
Weight (kg)]:[September Weight (kg) ]]))=0,"N/A",MAX(IF((Overview[Name]=Dec[[#This Row],[Name]])*ISNUMBER(Overview[[June 
Weight (kg)]:[September Weight (kg) ]]),Overview[[June 
Weight (kg)]:[September Weight (kg) ]]))))</f>
        <v/>
      </c>
      <c r="I25" s="57" t="str">
        <f>IF(Dec[[#This Row],[Name]]="","",IF(NOT(ISNUMBER(Dec[[#This Row],[Highest Weight in the Past 3 - 6 Months]])),"N/A",IF(Dec[[#This Row],[December Weight (kg)]]=Dec[[#This Row],[Highest Weight in the Past 3 - 6 Months]],0,Dec[[#This Row],[December Weight (kg)]]-Dec[[#This Row],[Highest Weight in the Past 3 - 6 Months]])))</f>
        <v/>
      </c>
      <c r="J25"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5" s="130"/>
      <c r="L25" s="131"/>
      <c r="M25"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5" s="64" t="str">
        <f>IF(Dec[[#This Row],[Name]]="","",IF(Dec[[#This Row],[December MUST Score ]]=0,"Low",IF(Dec[[#This Row],[December MUST Score ]]=1,"Medium","High")))</f>
        <v/>
      </c>
      <c r="O25" s="10"/>
      <c r="P25" s="70"/>
      <c r="Q25" s="12"/>
      <c r="R25" s="17"/>
      <c r="S25" s="10"/>
      <c r="T25" s="17"/>
      <c r="U25" s="70"/>
      <c r="V25" s="11"/>
      <c r="W25" s="94"/>
      <c r="X25" s="12"/>
      <c r="Y25" s="11"/>
    </row>
    <row r="26" spans="2:25" x14ac:dyDescent="0.25">
      <c r="B26" s="12"/>
      <c r="C26" s="129"/>
      <c r="D26" s="94"/>
      <c r="E26" s="58" t="str">
        <f>IF(Dec[[#This Row],[Name]]="","",Dec[[#This Row],[December Weight (kg)]]/(VLOOKUP(Dec[[#This Row],[Name]],Overview[],2,FALSE)/100)^2)</f>
        <v/>
      </c>
      <c r="F26" s="58" t="str">
        <f>IF(Dec[[#This Row],[Name]]="","",IF(VLOOKUP(Dec[[#This Row],[Name]],Overview[],19,FALSE)="","N/A",Dec[[#This Row],[December Weight (kg)]]-VLOOKUP(Dec[[#This Row],[Name]],Overview[],19,FALSE)))</f>
        <v/>
      </c>
      <c r="G26" s="175" t="str">
        <f>IF(Dec[[#This Row],[Name]]="","",IF(VLOOKUP(Dec[[#This Row],[Name]],Overview[],19,FALSE)="","N/A",(Dec[[#This Row],[December Weight (kg)]]-VLOOKUP(Dec[[#This Row],[Name]],Overview[],19,FALSE))/VLOOKUP(Dec[[#This Row],[Name]],Overview[],19,FALSE)))</f>
        <v/>
      </c>
      <c r="H26" s="61" t="str" cm="1">
        <f t="array" ref="H26">IF(Dec[[#This Row],[Name]]="","",IF(SUMPRODUCT((Overview[Name]=Dec[[#This Row],[Name]])*ISNUMBER(Overview[[June 
Weight (kg)]:[September Weight (kg) ]]))=0,"N/A",MAX(IF((Overview[Name]=Dec[[#This Row],[Name]])*ISNUMBER(Overview[[June 
Weight (kg)]:[September Weight (kg) ]]),Overview[[June 
Weight (kg)]:[September Weight (kg) ]]))))</f>
        <v/>
      </c>
      <c r="I26" s="57" t="str">
        <f>IF(Dec[[#This Row],[Name]]="","",IF(NOT(ISNUMBER(Dec[[#This Row],[Highest Weight in the Past 3 - 6 Months]])),"N/A",IF(Dec[[#This Row],[December Weight (kg)]]=Dec[[#This Row],[Highest Weight in the Past 3 - 6 Months]],0,Dec[[#This Row],[December Weight (kg)]]-Dec[[#This Row],[Highest Weight in the Past 3 - 6 Months]])))</f>
        <v/>
      </c>
      <c r="J26"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6" s="130"/>
      <c r="L26" s="131"/>
      <c r="M26"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6" s="64" t="str">
        <f>IF(Dec[[#This Row],[Name]]="","",IF(Dec[[#This Row],[December MUST Score ]]=0,"Low",IF(Dec[[#This Row],[December MUST Score ]]=1,"Medium","High")))</f>
        <v/>
      </c>
      <c r="O26" s="10"/>
      <c r="P26" s="70"/>
      <c r="Q26" s="12"/>
      <c r="R26" s="17"/>
      <c r="S26" s="10"/>
      <c r="T26" s="17"/>
      <c r="U26" s="70"/>
      <c r="V26" s="11"/>
      <c r="W26" s="94"/>
      <c r="X26" s="12"/>
      <c r="Y26" s="11"/>
    </row>
    <row r="27" spans="2:25" x14ac:dyDescent="0.25">
      <c r="B27" s="12"/>
      <c r="C27" s="129"/>
      <c r="D27" s="94"/>
      <c r="E27" s="58" t="str">
        <f>IF(Dec[[#This Row],[Name]]="","",Dec[[#This Row],[December Weight (kg)]]/(VLOOKUP(Dec[[#This Row],[Name]],Overview[],2,FALSE)/100)^2)</f>
        <v/>
      </c>
      <c r="F27" s="58" t="str">
        <f>IF(Dec[[#This Row],[Name]]="","",IF(VLOOKUP(Dec[[#This Row],[Name]],Overview[],19,FALSE)="","N/A",Dec[[#This Row],[December Weight (kg)]]-VLOOKUP(Dec[[#This Row],[Name]],Overview[],19,FALSE)))</f>
        <v/>
      </c>
      <c r="G27" s="175" t="str">
        <f>IF(Dec[[#This Row],[Name]]="","",IF(VLOOKUP(Dec[[#This Row],[Name]],Overview[],19,FALSE)="","N/A",(Dec[[#This Row],[December Weight (kg)]]-VLOOKUP(Dec[[#This Row],[Name]],Overview[],19,FALSE))/VLOOKUP(Dec[[#This Row],[Name]],Overview[],19,FALSE)))</f>
        <v/>
      </c>
      <c r="H27" s="61" t="str" cm="1">
        <f t="array" ref="H27">IF(Dec[[#This Row],[Name]]="","",IF(SUMPRODUCT((Overview[Name]=Dec[[#This Row],[Name]])*ISNUMBER(Overview[[June 
Weight (kg)]:[September Weight (kg) ]]))=0,"N/A",MAX(IF((Overview[Name]=Dec[[#This Row],[Name]])*ISNUMBER(Overview[[June 
Weight (kg)]:[September Weight (kg) ]]),Overview[[June 
Weight (kg)]:[September Weight (kg) ]]))))</f>
        <v/>
      </c>
      <c r="I27" s="57" t="str">
        <f>IF(Dec[[#This Row],[Name]]="","",IF(NOT(ISNUMBER(Dec[[#This Row],[Highest Weight in the Past 3 - 6 Months]])),"N/A",IF(Dec[[#This Row],[December Weight (kg)]]=Dec[[#This Row],[Highest Weight in the Past 3 - 6 Months]],0,Dec[[#This Row],[December Weight (kg)]]-Dec[[#This Row],[Highest Weight in the Past 3 - 6 Months]])))</f>
        <v/>
      </c>
      <c r="J27"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7" s="130"/>
      <c r="L27" s="131"/>
      <c r="M27"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7" s="64" t="str">
        <f>IF(Dec[[#This Row],[Name]]="","",IF(Dec[[#This Row],[December MUST Score ]]=0,"Low",IF(Dec[[#This Row],[December MUST Score ]]=1,"Medium","High")))</f>
        <v/>
      </c>
      <c r="O27" s="10"/>
      <c r="P27" s="70"/>
      <c r="Q27" s="12"/>
      <c r="R27" s="17"/>
      <c r="S27" s="10"/>
      <c r="T27" s="17"/>
      <c r="U27" s="70"/>
      <c r="V27" s="11"/>
      <c r="W27" s="94"/>
      <c r="X27" s="12"/>
      <c r="Y27" s="11"/>
    </row>
    <row r="28" spans="2:25" x14ac:dyDescent="0.25">
      <c r="B28" s="12"/>
      <c r="C28" s="129"/>
      <c r="D28" s="94"/>
      <c r="E28" s="58" t="str">
        <f>IF(Dec[[#This Row],[Name]]="","",Dec[[#This Row],[December Weight (kg)]]/(VLOOKUP(Dec[[#This Row],[Name]],Overview[],2,FALSE)/100)^2)</f>
        <v/>
      </c>
      <c r="F28" s="58" t="str">
        <f>IF(Dec[[#This Row],[Name]]="","",IF(VLOOKUP(Dec[[#This Row],[Name]],Overview[],19,FALSE)="","N/A",Dec[[#This Row],[December Weight (kg)]]-VLOOKUP(Dec[[#This Row],[Name]],Overview[],19,FALSE)))</f>
        <v/>
      </c>
      <c r="G28" s="175" t="str">
        <f>IF(Dec[[#This Row],[Name]]="","",IF(VLOOKUP(Dec[[#This Row],[Name]],Overview[],19,FALSE)="","N/A",(Dec[[#This Row],[December Weight (kg)]]-VLOOKUP(Dec[[#This Row],[Name]],Overview[],19,FALSE))/VLOOKUP(Dec[[#This Row],[Name]],Overview[],19,FALSE)))</f>
        <v/>
      </c>
      <c r="H28" s="61" t="str" cm="1">
        <f t="array" ref="H28">IF(Dec[[#This Row],[Name]]="","",IF(SUMPRODUCT((Overview[Name]=Dec[[#This Row],[Name]])*ISNUMBER(Overview[[June 
Weight (kg)]:[September Weight (kg) ]]))=0,"N/A",MAX(IF((Overview[Name]=Dec[[#This Row],[Name]])*ISNUMBER(Overview[[June 
Weight (kg)]:[September Weight (kg) ]]),Overview[[June 
Weight (kg)]:[September Weight (kg) ]]))))</f>
        <v/>
      </c>
      <c r="I28" s="57" t="str">
        <f>IF(Dec[[#This Row],[Name]]="","",IF(NOT(ISNUMBER(Dec[[#This Row],[Highest Weight in the Past 3 - 6 Months]])),"N/A",IF(Dec[[#This Row],[December Weight (kg)]]=Dec[[#This Row],[Highest Weight in the Past 3 - 6 Months]],0,Dec[[#This Row],[December Weight (kg)]]-Dec[[#This Row],[Highest Weight in the Past 3 - 6 Months]])))</f>
        <v/>
      </c>
      <c r="J28"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8" s="130"/>
      <c r="L28" s="131"/>
      <c r="M28"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8" s="64" t="str">
        <f>IF(Dec[[#This Row],[Name]]="","",IF(Dec[[#This Row],[December MUST Score ]]=0,"Low",IF(Dec[[#This Row],[December MUST Score ]]=1,"Medium","High")))</f>
        <v/>
      </c>
      <c r="O28" s="10"/>
      <c r="P28" s="70"/>
      <c r="Q28" s="12"/>
      <c r="R28" s="17"/>
      <c r="S28" s="10"/>
      <c r="T28" s="17"/>
      <c r="U28" s="70"/>
      <c r="V28" s="11"/>
      <c r="W28" s="94"/>
      <c r="X28" s="12"/>
      <c r="Y28" s="11"/>
    </row>
    <row r="29" spans="2:25" x14ac:dyDescent="0.25">
      <c r="B29" s="12"/>
      <c r="C29" s="129"/>
      <c r="D29" s="94"/>
      <c r="E29" s="58" t="str">
        <f>IF(Dec[[#This Row],[Name]]="","",Dec[[#This Row],[December Weight (kg)]]/(VLOOKUP(Dec[[#This Row],[Name]],Overview[],2,FALSE)/100)^2)</f>
        <v/>
      </c>
      <c r="F29" s="58" t="str">
        <f>IF(Dec[[#This Row],[Name]]="","",IF(VLOOKUP(Dec[[#This Row],[Name]],Overview[],19,FALSE)="","N/A",Dec[[#This Row],[December Weight (kg)]]-VLOOKUP(Dec[[#This Row],[Name]],Overview[],19,FALSE)))</f>
        <v/>
      </c>
      <c r="G29" s="175" t="str">
        <f>IF(Dec[[#This Row],[Name]]="","",IF(VLOOKUP(Dec[[#This Row],[Name]],Overview[],19,FALSE)="","N/A",(Dec[[#This Row],[December Weight (kg)]]-VLOOKUP(Dec[[#This Row],[Name]],Overview[],19,FALSE))/VLOOKUP(Dec[[#This Row],[Name]],Overview[],19,FALSE)))</f>
        <v/>
      </c>
      <c r="H29" s="61" t="str" cm="1">
        <f t="array" ref="H29">IF(Dec[[#This Row],[Name]]="","",IF(SUMPRODUCT((Overview[Name]=Dec[[#This Row],[Name]])*ISNUMBER(Overview[[June 
Weight (kg)]:[September Weight (kg) ]]))=0,"N/A",MAX(IF((Overview[Name]=Dec[[#This Row],[Name]])*ISNUMBER(Overview[[June 
Weight (kg)]:[September Weight (kg) ]]),Overview[[June 
Weight (kg)]:[September Weight (kg) ]]))))</f>
        <v/>
      </c>
      <c r="I29" s="57" t="str">
        <f>IF(Dec[[#This Row],[Name]]="","",IF(NOT(ISNUMBER(Dec[[#This Row],[Highest Weight in the Past 3 - 6 Months]])),"N/A",IF(Dec[[#This Row],[December Weight (kg)]]=Dec[[#This Row],[Highest Weight in the Past 3 - 6 Months]],0,Dec[[#This Row],[December Weight (kg)]]-Dec[[#This Row],[Highest Weight in the Past 3 - 6 Months]])))</f>
        <v/>
      </c>
      <c r="J29"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29" s="130"/>
      <c r="L29" s="131"/>
      <c r="M29"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29" s="64" t="str">
        <f>IF(Dec[[#This Row],[Name]]="","",IF(Dec[[#This Row],[December MUST Score ]]=0,"Low",IF(Dec[[#This Row],[December MUST Score ]]=1,"Medium","High")))</f>
        <v/>
      </c>
      <c r="O29" s="10"/>
      <c r="P29" s="70"/>
      <c r="Q29" s="12"/>
      <c r="R29" s="17"/>
      <c r="S29" s="10"/>
      <c r="T29" s="17"/>
      <c r="U29" s="70"/>
      <c r="V29" s="11"/>
      <c r="W29" s="94"/>
      <c r="X29" s="12"/>
      <c r="Y29" s="11"/>
    </row>
    <row r="30" spans="2:25" x14ac:dyDescent="0.25">
      <c r="B30" s="12"/>
      <c r="C30" s="129"/>
      <c r="D30" s="94"/>
      <c r="E30" s="58" t="str">
        <f>IF(Dec[[#This Row],[Name]]="","",Dec[[#This Row],[December Weight (kg)]]/(VLOOKUP(Dec[[#This Row],[Name]],Overview[],2,FALSE)/100)^2)</f>
        <v/>
      </c>
      <c r="F30" s="58" t="str">
        <f>IF(Dec[[#This Row],[Name]]="","",IF(VLOOKUP(Dec[[#This Row],[Name]],Overview[],19,FALSE)="","N/A",Dec[[#This Row],[December Weight (kg)]]-VLOOKUP(Dec[[#This Row],[Name]],Overview[],19,FALSE)))</f>
        <v/>
      </c>
      <c r="G30" s="175" t="str">
        <f>IF(Dec[[#This Row],[Name]]="","",IF(VLOOKUP(Dec[[#This Row],[Name]],Overview[],19,FALSE)="","N/A",(Dec[[#This Row],[December Weight (kg)]]-VLOOKUP(Dec[[#This Row],[Name]],Overview[],19,FALSE))/VLOOKUP(Dec[[#This Row],[Name]],Overview[],19,FALSE)))</f>
        <v/>
      </c>
      <c r="H30" s="61" t="str" cm="1">
        <f t="array" ref="H30">IF(Dec[[#This Row],[Name]]="","",IF(SUMPRODUCT((Overview[Name]=Dec[[#This Row],[Name]])*ISNUMBER(Overview[[June 
Weight (kg)]:[September Weight (kg) ]]))=0,"N/A",MAX(IF((Overview[Name]=Dec[[#This Row],[Name]])*ISNUMBER(Overview[[June 
Weight (kg)]:[September Weight (kg) ]]),Overview[[June 
Weight (kg)]:[September Weight (kg) ]]))))</f>
        <v/>
      </c>
      <c r="I30" s="57" t="str">
        <f>IF(Dec[[#This Row],[Name]]="","",IF(NOT(ISNUMBER(Dec[[#This Row],[Highest Weight in the Past 3 - 6 Months]])),"N/A",IF(Dec[[#This Row],[December Weight (kg)]]=Dec[[#This Row],[Highest Weight in the Past 3 - 6 Months]],0,Dec[[#This Row],[December Weight (kg)]]-Dec[[#This Row],[Highest Weight in the Past 3 - 6 Months]])))</f>
        <v/>
      </c>
      <c r="J30"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0" s="130"/>
      <c r="L30" s="131"/>
      <c r="M30"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0" s="64" t="str">
        <f>IF(Dec[[#This Row],[Name]]="","",IF(Dec[[#This Row],[December MUST Score ]]=0,"Low",IF(Dec[[#This Row],[December MUST Score ]]=1,"Medium","High")))</f>
        <v/>
      </c>
      <c r="O30" s="10"/>
      <c r="P30" s="70"/>
      <c r="Q30" s="12"/>
      <c r="R30" s="17"/>
      <c r="S30" s="10"/>
      <c r="T30" s="17"/>
      <c r="U30" s="70"/>
      <c r="V30" s="11"/>
      <c r="W30" s="94"/>
      <c r="X30" s="12"/>
      <c r="Y30" s="11"/>
    </row>
    <row r="31" spans="2:25" x14ac:dyDescent="0.25">
      <c r="B31" s="12"/>
      <c r="C31" s="129"/>
      <c r="D31" s="94"/>
      <c r="E31" s="58" t="str">
        <f>IF(Dec[[#This Row],[Name]]="","",Dec[[#This Row],[December Weight (kg)]]/(VLOOKUP(Dec[[#This Row],[Name]],Overview[],2,FALSE)/100)^2)</f>
        <v/>
      </c>
      <c r="F31" s="58" t="str">
        <f>IF(Dec[[#This Row],[Name]]="","",IF(VLOOKUP(Dec[[#This Row],[Name]],Overview[],19,FALSE)="","N/A",Dec[[#This Row],[December Weight (kg)]]-VLOOKUP(Dec[[#This Row],[Name]],Overview[],19,FALSE)))</f>
        <v/>
      </c>
      <c r="G31" s="175" t="str">
        <f>IF(Dec[[#This Row],[Name]]="","",IF(VLOOKUP(Dec[[#This Row],[Name]],Overview[],19,FALSE)="","N/A",(Dec[[#This Row],[December Weight (kg)]]-VLOOKUP(Dec[[#This Row],[Name]],Overview[],19,FALSE))/VLOOKUP(Dec[[#This Row],[Name]],Overview[],19,FALSE)))</f>
        <v/>
      </c>
      <c r="H31" s="61" t="str" cm="1">
        <f t="array" ref="H31">IF(Dec[[#This Row],[Name]]="","",IF(SUMPRODUCT((Overview[Name]=Dec[[#This Row],[Name]])*ISNUMBER(Overview[[June 
Weight (kg)]:[September Weight (kg) ]]))=0,"N/A",MAX(IF((Overview[Name]=Dec[[#This Row],[Name]])*ISNUMBER(Overview[[June 
Weight (kg)]:[September Weight (kg) ]]),Overview[[June 
Weight (kg)]:[September Weight (kg) ]]))))</f>
        <v/>
      </c>
      <c r="I31" s="57" t="str">
        <f>IF(Dec[[#This Row],[Name]]="","",IF(NOT(ISNUMBER(Dec[[#This Row],[Highest Weight in the Past 3 - 6 Months]])),"N/A",IF(Dec[[#This Row],[December Weight (kg)]]=Dec[[#This Row],[Highest Weight in the Past 3 - 6 Months]],0,Dec[[#This Row],[December Weight (kg)]]-Dec[[#This Row],[Highest Weight in the Past 3 - 6 Months]])))</f>
        <v/>
      </c>
      <c r="J31"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1" s="130"/>
      <c r="L31" s="131"/>
      <c r="M31"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1" s="64" t="str">
        <f>IF(Dec[[#This Row],[Name]]="","",IF(Dec[[#This Row],[December MUST Score ]]=0,"Low",IF(Dec[[#This Row],[December MUST Score ]]=1,"Medium","High")))</f>
        <v/>
      </c>
      <c r="O31" s="10"/>
      <c r="P31" s="70"/>
      <c r="Q31" s="12"/>
      <c r="R31" s="17"/>
      <c r="S31" s="10"/>
      <c r="T31" s="17"/>
      <c r="U31" s="70"/>
      <c r="V31" s="11"/>
      <c r="W31" s="94"/>
      <c r="X31" s="12"/>
      <c r="Y31" s="11"/>
    </row>
    <row r="32" spans="2:25" x14ac:dyDescent="0.25">
      <c r="B32" s="12"/>
      <c r="C32" s="129"/>
      <c r="D32" s="94"/>
      <c r="E32" s="58" t="str">
        <f>IF(Dec[[#This Row],[Name]]="","",Dec[[#This Row],[December Weight (kg)]]/(VLOOKUP(Dec[[#This Row],[Name]],Overview[],2,FALSE)/100)^2)</f>
        <v/>
      </c>
      <c r="F32" s="58" t="str">
        <f>IF(Dec[[#This Row],[Name]]="","",IF(VLOOKUP(Dec[[#This Row],[Name]],Overview[],19,FALSE)="","N/A",Dec[[#This Row],[December Weight (kg)]]-VLOOKUP(Dec[[#This Row],[Name]],Overview[],19,FALSE)))</f>
        <v/>
      </c>
      <c r="G32" s="175" t="str">
        <f>IF(Dec[[#This Row],[Name]]="","",IF(VLOOKUP(Dec[[#This Row],[Name]],Overview[],19,FALSE)="","N/A",(Dec[[#This Row],[December Weight (kg)]]-VLOOKUP(Dec[[#This Row],[Name]],Overview[],19,FALSE))/VLOOKUP(Dec[[#This Row],[Name]],Overview[],19,FALSE)))</f>
        <v/>
      </c>
      <c r="H32" s="61" t="str" cm="1">
        <f t="array" ref="H32">IF(Dec[[#This Row],[Name]]="","",IF(SUMPRODUCT((Overview[Name]=Dec[[#This Row],[Name]])*ISNUMBER(Overview[[June 
Weight (kg)]:[September Weight (kg) ]]))=0,"N/A",MAX(IF((Overview[Name]=Dec[[#This Row],[Name]])*ISNUMBER(Overview[[June 
Weight (kg)]:[September Weight (kg) ]]),Overview[[June 
Weight (kg)]:[September Weight (kg) ]]))))</f>
        <v/>
      </c>
      <c r="I32" s="57" t="str">
        <f>IF(Dec[[#This Row],[Name]]="","",IF(NOT(ISNUMBER(Dec[[#This Row],[Highest Weight in the Past 3 - 6 Months]])),"N/A",IF(Dec[[#This Row],[December Weight (kg)]]=Dec[[#This Row],[Highest Weight in the Past 3 - 6 Months]],0,Dec[[#This Row],[December Weight (kg)]]-Dec[[#This Row],[Highest Weight in the Past 3 - 6 Months]])))</f>
        <v/>
      </c>
      <c r="J32"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2" s="130"/>
      <c r="L32" s="131"/>
      <c r="M32"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2" s="64" t="str">
        <f>IF(Dec[[#This Row],[Name]]="","",IF(Dec[[#This Row],[December MUST Score ]]=0,"Low",IF(Dec[[#This Row],[December MUST Score ]]=1,"Medium","High")))</f>
        <v/>
      </c>
      <c r="O32" s="10"/>
      <c r="P32" s="70"/>
      <c r="Q32" s="12"/>
      <c r="R32" s="17"/>
      <c r="S32" s="10"/>
      <c r="T32" s="17"/>
      <c r="U32" s="70"/>
      <c r="V32" s="11"/>
      <c r="W32" s="94"/>
      <c r="X32" s="12"/>
      <c r="Y32" s="11"/>
    </row>
    <row r="33" spans="2:25" x14ac:dyDescent="0.25">
      <c r="B33" s="12"/>
      <c r="C33" s="129"/>
      <c r="D33" s="94"/>
      <c r="E33" s="58" t="str">
        <f>IF(Dec[[#This Row],[Name]]="","",Dec[[#This Row],[December Weight (kg)]]/(VLOOKUP(Dec[[#This Row],[Name]],Overview[],2,FALSE)/100)^2)</f>
        <v/>
      </c>
      <c r="F33" s="58" t="str">
        <f>IF(Dec[[#This Row],[Name]]="","",IF(VLOOKUP(Dec[[#This Row],[Name]],Overview[],19,FALSE)="","N/A",Dec[[#This Row],[December Weight (kg)]]-VLOOKUP(Dec[[#This Row],[Name]],Overview[],19,FALSE)))</f>
        <v/>
      </c>
      <c r="G33" s="175" t="str">
        <f>IF(Dec[[#This Row],[Name]]="","",IF(VLOOKUP(Dec[[#This Row],[Name]],Overview[],19,FALSE)="","N/A",(Dec[[#This Row],[December Weight (kg)]]-VLOOKUP(Dec[[#This Row],[Name]],Overview[],19,FALSE))/VLOOKUP(Dec[[#This Row],[Name]],Overview[],19,FALSE)))</f>
        <v/>
      </c>
      <c r="H33" s="61" t="str" cm="1">
        <f t="array" ref="H33">IF(Dec[[#This Row],[Name]]="","",IF(SUMPRODUCT((Overview[Name]=Dec[[#This Row],[Name]])*ISNUMBER(Overview[[June 
Weight (kg)]:[September Weight (kg) ]]))=0,"N/A",MAX(IF((Overview[Name]=Dec[[#This Row],[Name]])*ISNUMBER(Overview[[June 
Weight (kg)]:[September Weight (kg) ]]),Overview[[June 
Weight (kg)]:[September Weight (kg) ]]))))</f>
        <v/>
      </c>
      <c r="I33" s="57" t="str">
        <f>IF(Dec[[#This Row],[Name]]="","",IF(NOT(ISNUMBER(Dec[[#This Row],[Highest Weight in the Past 3 - 6 Months]])),"N/A",IF(Dec[[#This Row],[December Weight (kg)]]=Dec[[#This Row],[Highest Weight in the Past 3 - 6 Months]],0,Dec[[#This Row],[December Weight (kg)]]-Dec[[#This Row],[Highest Weight in the Past 3 - 6 Months]])))</f>
        <v/>
      </c>
      <c r="J33"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3" s="130"/>
      <c r="L33" s="131"/>
      <c r="M33"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3" s="64" t="str">
        <f>IF(Dec[[#This Row],[Name]]="","",IF(Dec[[#This Row],[December MUST Score ]]=0,"Low",IF(Dec[[#This Row],[December MUST Score ]]=1,"Medium","High")))</f>
        <v/>
      </c>
      <c r="O33" s="10"/>
      <c r="P33" s="70"/>
      <c r="Q33" s="12"/>
      <c r="R33" s="17"/>
      <c r="S33" s="10"/>
      <c r="T33" s="17"/>
      <c r="U33" s="70"/>
      <c r="V33" s="11"/>
      <c r="W33" s="94"/>
      <c r="X33" s="12"/>
      <c r="Y33" s="11"/>
    </row>
    <row r="34" spans="2:25" x14ac:dyDescent="0.25">
      <c r="B34" s="12"/>
      <c r="C34" s="129"/>
      <c r="D34" s="94"/>
      <c r="E34" s="58" t="str">
        <f>IF(Dec[[#This Row],[Name]]="","",Dec[[#This Row],[December Weight (kg)]]/(VLOOKUP(Dec[[#This Row],[Name]],Overview[],2,FALSE)/100)^2)</f>
        <v/>
      </c>
      <c r="F34" s="58" t="str">
        <f>IF(Dec[[#This Row],[Name]]="","",IF(VLOOKUP(Dec[[#This Row],[Name]],Overview[],19,FALSE)="","N/A",Dec[[#This Row],[December Weight (kg)]]-VLOOKUP(Dec[[#This Row],[Name]],Overview[],19,FALSE)))</f>
        <v/>
      </c>
      <c r="G34" s="175" t="str">
        <f>IF(Dec[[#This Row],[Name]]="","",IF(VLOOKUP(Dec[[#This Row],[Name]],Overview[],19,FALSE)="","N/A",(Dec[[#This Row],[December Weight (kg)]]-VLOOKUP(Dec[[#This Row],[Name]],Overview[],19,FALSE))/VLOOKUP(Dec[[#This Row],[Name]],Overview[],19,FALSE)))</f>
        <v/>
      </c>
      <c r="H34" s="61" t="str" cm="1">
        <f t="array" ref="H34">IF(Dec[[#This Row],[Name]]="","",IF(SUMPRODUCT((Overview[Name]=Dec[[#This Row],[Name]])*ISNUMBER(Overview[[June 
Weight (kg)]:[September Weight (kg) ]]))=0,"N/A",MAX(IF((Overview[Name]=Dec[[#This Row],[Name]])*ISNUMBER(Overview[[June 
Weight (kg)]:[September Weight (kg) ]]),Overview[[June 
Weight (kg)]:[September Weight (kg) ]]))))</f>
        <v/>
      </c>
      <c r="I34" s="57" t="str">
        <f>IF(Dec[[#This Row],[Name]]="","",IF(NOT(ISNUMBER(Dec[[#This Row],[Highest Weight in the Past 3 - 6 Months]])),"N/A",IF(Dec[[#This Row],[December Weight (kg)]]=Dec[[#This Row],[Highest Weight in the Past 3 - 6 Months]],0,Dec[[#This Row],[December Weight (kg)]]-Dec[[#This Row],[Highest Weight in the Past 3 - 6 Months]])))</f>
        <v/>
      </c>
      <c r="J34"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4" s="130"/>
      <c r="L34" s="131"/>
      <c r="M34"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4" s="64" t="str">
        <f>IF(Dec[[#This Row],[Name]]="","",IF(Dec[[#This Row],[December MUST Score ]]=0,"Low",IF(Dec[[#This Row],[December MUST Score ]]=1,"Medium","High")))</f>
        <v/>
      </c>
      <c r="O34" s="10"/>
      <c r="P34" s="70"/>
      <c r="Q34" s="12"/>
      <c r="R34" s="17"/>
      <c r="S34" s="10"/>
      <c r="T34" s="17"/>
      <c r="U34" s="70"/>
      <c r="V34" s="11"/>
      <c r="W34" s="94"/>
      <c r="X34" s="12"/>
      <c r="Y34" s="11"/>
    </row>
    <row r="35" spans="2:25" x14ac:dyDescent="0.25">
      <c r="B35" s="12"/>
      <c r="C35" s="129"/>
      <c r="D35" s="94"/>
      <c r="E35" s="58" t="str">
        <f>IF(Dec[[#This Row],[Name]]="","",Dec[[#This Row],[December Weight (kg)]]/(VLOOKUP(Dec[[#This Row],[Name]],Overview[],2,FALSE)/100)^2)</f>
        <v/>
      </c>
      <c r="F35" s="58" t="str">
        <f>IF(Dec[[#This Row],[Name]]="","",IF(VLOOKUP(Dec[[#This Row],[Name]],Overview[],19,FALSE)="","N/A",Dec[[#This Row],[December Weight (kg)]]-VLOOKUP(Dec[[#This Row],[Name]],Overview[],19,FALSE)))</f>
        <v/>
      </c>
      <c r="G35" s="175" t="str">
        <f>IF(Dec[[#This Row],[Name]]="","",IF(VLOOKUP(Dec[[#This Row],[Name]],Overview[],19,FALSE)="","N/A",(Dec[[#This Row],[December Weight (kg)]]-VLOOKUP(Dec[[#This Row],[Name]],Overview[],19,FALSE))/VLOOKUP(Dec[[#This Row],[Name]],Overview[],19,FALSE)))</f>
        <v/>
      </c>
      <c r="H35" s="61" t="str" cm="1">
        <f t="array" ref="H35">IF(Dec[[#This Row],[Name]]="","",IF(SUMPRODUCT((Overview[Name]=Dec[[#This Row],[Name]])*ISNUMBER(Overview[[June 
Weight (kg)]:[September Weight (kg) ]]))=0,"N/A",MAX(IF((Overview[Name]=Dec[[#This Row],[Name]])*ISNUMBER(Overview[[June 
Weight (kg)]:[September Weight (kg) ]]),Overview[[June 
Weight (kg)]:[September Weight (kg) ]]))))</f>
        <v/>
      </c>
      <c r="I35" s="57" t="str">
        <f>IF(Dec[[#This Row],[Name]]="","",IF(NOT(ISNUMBER(Dec[[#This Row],[Highest Weight in the Past 3 - 6 Months]])),"N/A",IF(Dec[[#This Row],[December Weight (kg)]]=Dec[[#This Row],[Highest Weight in the Past 3 - 6 Months]],0,Dec[[#This Row],[December Weight (kg)]]-Dec[[#This Row],[Highest Weight in the Past 3 - 6 Months]])))</f>
        <v/>
      </c>
      <c r="J35"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5" s="130"/>
      <c r="L35" s="131"/>
      <c r="M35"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5" s="64" t="str">
        <f>IF(Dec[[#This Row],[Name]]="","",IF(Dec[[#This Row],[December MUST Score ]]=0,"Low",IF(Dec[[#This Row],[December MUST Score ]]=1,"Medium","High")))</f>
        <v/>
      </c>
      <c r="O35" s="10"/>
      <c r="P35" s="70"/>
      <c r="Q35" s="12"/>
      <c r="R35" s="17"/>
      <c r="S35" s="10"/>
      <c r="T35" s="17"/>
      <c r="U35" s="70"/>
      <c r="V35" s="11"/>
      <c r="W35" s="94"/>
      <c r="X35" s="12"/>
      <c r="Y35" s="11"/>
    </row>
    <row r="36" spans="2:25" x14ac:dyDescent="0.25">
      <c r="B36" s="12"/>
      <c r="C36" s="129"/>
      <c r="D36" s="94"/>
      <c r="E36" s="58" t="str">
        <f>IF(Dec[[#This Row],[Name]]="","",Dec[[#This Row],[December Weight (kg)]]/(VLOOKUP(Dec[[#This Row],[Name]],Overview[],2,FALSE)/100)^2)</f>
        <v/>
      </c>
      <c r="F36" s="58" t="str">
        <f>IF(Dec[[#This Row],[Name]]="","",IF(VLOOKUP(Dec[[#This Row],[Name]],Overview[],19,FALSE)="","N/A",Dec[[#This Row],[December Weight (kg)]]-VLOOKUP(Dec[[#This Row],[Name]],Overview[],19,FALSE)))</f>
        <v/>
      </c>
      <c r="G36" s="175" t="str">
        <f>IF(Dec[[#This Row],[Name]]="","",IF(VLOOKUP(Dec[[#This Row],[Name]],Overview[],19,FALSE)="","N/A",(Dec[[#This Row],[December Weight (kg)]]-VLOOKUP(Dec[[#This Row],[Name]],Overview[],19,FALSE))/VLOOKUP(Dec[[#This Row],[Name]],Overview[],19,FALSE)))</f>
        <v/>
      </c>
      <c r="H36" s="61" t="str" cm="1">
        <f t="array" ref="H36">IF(Dec[[#This Row],[Name]]="","",IF(SUMPRODUCT((Overview[Name]=Dec[[#This Row],[Name]])*ISNUMBER(Overview[[June 
Weight (kg)]:[September Weight (kg) ]]))=0,"N/A",MAX(IF((Overview[Name]=Dec[[#This Row],[Name]])*ISNUMBER(Overview[[June 
Weight (kg)]:[September Weight (kg) ]]),Overview[[June 
Weight (kg)]:[September Weight (kg) ]]))))</f>
        <v/>
      </c>
      <c r="I36" s="57" t="str">
        <f>IF(Dec[[#This Row],[Name]]="","",IF(NOT(ISNUMBER(Dec[[#This Row],[Highest Weight in the Past 3 - 6 Months]])),"N/A",IF(Dec[[#This Row],[December Weight (kg)]]=Dec[[#This Row],[Highest Weight in the Past 3 - 6 Months]],0,Dec[[#This Row],[December Weight (kg)]]-Dec[[#This Row],[Highest Weight in the Past 3 - 6 Months]])))</f>
        <v/>
      </c>
      <c r="J36"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6" s="130"/>
      <c r="L36" s="131"/>
      <c r="M36"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6" s="64" t="str">
        <f>IF(Dec[[#This Row],[Name]]="","",IF(Dec[[#This Row],[December MUST Score ]]=0,"Low",IF(Dec[[#This Row],[December MUST Score ]]=1,"Medium","High")))</f>
        <v/>
      </c>
      <c r="O36" s="10"/>
      <c r="P36" s="70"/>
      <c r="Q36" s="12"/>
      <c r="R36" s="17"/>
      <c r="S36" s="10"/>
      <c r="T36" s="17"/>
      <c r="U36" s="70"/>
      <c r="V36" s="11"/>
      <c r="W36" s="94"/>
      <c r="X36" s="12"/>
      <c r="Y36" s="11"/>
    </row>
    <row r="37" spans="2:25" x14ac:dyDescent="0.25">
      <c r="B37" s="12"/>
      <c r="C37" s="129"/>
      <c r="D37" s="94"/>
      <c r="E37" s="58" t="str">
        <f>IF(Dec[[#This Row],[Name]]="","",Dec[[#This Row],[December Weight (kg)]]/(VLOOKUP(Dec[[#This Row],[Name]],Overview[],2,FALSE)/100)^2)</f>
        <v/>
      </c>
      <c r="F37" s="58" t="str">
        <f>IF(Dec[[#This Row],[Name]]="","",IF(VLOOKUP(Dec[[#This Row],[Name]],Overview[],19,FALSE)="","N/A",Dec[[#This Row],[December Weight (kg)]]-VLOOKUP(Dec[[#This Row],[Name]],Overview[],19,FALSE)))</f>
        <v/>
      </c>
      <c r="G37" s="175" t="str">
        <f>IF(Dec[[#This Row],[Name]]="","",IF(VLOOKUP(Dec[[#This Row],[Name]],Overview[],19,FALSE)="","N/A",(Dec[[#This Row],[December Weight (kg)]]-VLOOKUP(Dec[[#This Row],[Name]],Overview[],19,FALSE))/VLOOKUP(Dec[[#This Row],[Name]],Overview[],19,FALSE)))</f>
        <v/>
      </c>
      <c r="H37" s="61" t="str" cm="1">
        <f t="array" ref="H37">IF(Dec[[#This Row],[Name]]="","",IF(SUMPRODUCT((Overview[Name]=Dec[[#This Row],[Name]])*ISNUMBER(Overview[[June 
Weight (kg)]:[September Weight (kg) ]]))=0,"N/A",MAX(IF((Overview[Name]=Dec[[#This Row],[Name]])*ISNUMBER(Overview[[June 
Weight (kg)]:[September Weight (kg) ]]),Overview[[June 
Weight (kg)]:[September Weight (kg) ]]))))</f>
        <v/>
      </c>
      <c r="I37" s="57" t="str">
        <f>IF(Dec[[#This Row],[Name]]="","",IF(NOT(ISNUMBER(Dec[[#This Row],[Highest Weight in the Past 3 - 6 Months]])),"N/A",IF(Dec[[#This Row],[December Weight (kg)]]=Dec[[#This Row],[Highest Weight in the Past 3 - 6 Months]],0,Dec[[#This Row],[December Weight (kg)]]-Dec[[#This Row],[Highest Weight in the Past 3 - 6 Months]])))</f>
        <v/>
      </c>
      <c r="J37"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7" s="130"/>
      <c r="L37" s="131"/>
      <c r="M37"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7" s="64" t="str">
        <f>IF(Dec[[#This Row],[Name]]="","",IF(Dec[[#This Row],[December MUST Score ]]=0,"Low",IF(Dec[[#This Row],[December MUST Score ]]=1,"Medium","High")))</f>
        <v/>
      </c>
      <c r="O37" s="10"/>
      <c r="P37" s="70"/>
      <c r="Q37" s="12"/>
      <c r="R37" s="17"/>
      <c r="S37" s="10"/>
      <c r="T37" s="17"/>
      <c r="U37" s="70"/>
      <c r="V37" s="11"/>
      <c r="W37" s="94"/>
      <c r="X37" s="12"/>
      <c r="Y37" s="11"/>
    </row>
    <row r="38" spans="2:25" x14ac:dyDescent="0.25">
      <c r="B38" s="12"/>
      <c r="C38" s="129"/>
      <c r="D38" s="94"/>
      <c r="E38" s="58" t="str">
        <f>IF(Dec[[#This Row],[Name]]="","",Dec[[#This Row],[December Weight (kg)]]/(VLOOKUP(Dec[[#This Row],[Name]],Overview[],2,FALSE)/100)^2)</f>
        <v/>
      </c>
      <c r="F38" s="58" t="str">
        <f>IF(Dec[[#This Row],[Name]]="","",IF(VLOOKUP(Dec[[#This Row],[Name]],Overview[],19,FALSE)="","N/A",Dec[[#This Row],[December Weight (kg)]]-VLOOKUP(Dec[[#This Row],[Name]],Overview[],19,FALSE)))</f>
        <v/>
      </c>
      <c r="G38" s="175" t="str">
        <f>IF(Dec[[#This Row],[Name]]="","",IF(VLOOKUP(Dec[[#This Row],[Name]],Overview[],19,FALSE)="","N/A",(Dec[[#This Row],[December Weight (kg)]]-VLOOKUP(Dec[[#This Row],[Name]],Overview[],19,FALSE))/VLOOKUP(Dec[[#This Row],[Name]],Overview[],19,FALSE)))</f>
        <v/>
      </c>
      <c r="H38" s="61" t="str" cm="1">
        <f t="array" ref="H38">IF(Dec[[#This Row],[Name]]="","",IF(SUMPRODUCT((Overview[Name]=Dec[[#This Row],[Name]])*ISNUMBER(Overview[[June 
Weight (kg)]:[September Weight (kg) ]]))=0,"N/A",MAX(IF((Overview[Name]=Dec[[#This Row],[Name]])*ISNUMBER(Overview[[June 
Weight (kg)]:[September Weight (kg) ]]),Overview[[June 
Weight (kg)]:[September Weight (kg) ]]))))</f>
        <v/>
      </c>
      <c r="I38" s="57" t="str">
        <f>IF(Dec[[#This Row],[Name]]="","",IF(NOT(ISNUMBER(Dec[[#This Row],[Highest Weight in the Past 3 - 6 Months]])),"N/A",IF(Dec[[#This Row],[December Weight (kg)]]=Dec[[#This Row],[Highest Weight in the Past 3 - 6 Months]],0,Dec[[#This Row],[December Weight (kg)]]-Dec[[#This Row],[Highest Weight in the Past 3 - 6 Months]])))</f>
        <v/>
      </c>
      <c r="J38"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8" s="130"/>
      <c r="L38" s="131"/>
      <c r="M38"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8" s="64" t="str">
        <f>IF(Dec[[#This Row],[Name]]="","",IF(Dec[[#This Row],[December MUST Score ]]=0,"Low",IF(Dec[[#This Row],[December MUST Score ]]=1,"Medium","High")))</f>
        <v/>
      </c>
      <c r="O38" s="10"/>
      <c r="P38" s="70"/>
      <c r="Q38" s="12"/>
      <c r="R38" s="17"/>
      <c r="S38" s="10"/>
      <c r="T38" s="17"/>
      <c r="U38" s="70"/>
      <c r="V38" s="11"/>
      <c r="W38" s="94"/>
      <c r="X38" s="12"/>
      <c r="Y38" s="11"/>
    </row>
    <row r="39" spans="2:25" x14ac:dyDescent="0.25">
      <c r="B39" s="12"/>
      <c r="C39" s="129"/>
      <c r="D39" s="94"/>
      <c r="E39" s="58" t="str">
        <f>IF(Dec[[#This Row],[Name]]="","",Dec[[#This Row],[December Weight (kg)]]/(VLOOKUP(Dec[[#This Row],[Name]],Overview[],2,FALSE)/100)^2)</f>
        <v/>
      </c>
      <c r="F39" s="58" t="str">
        <f>IF(Dec[[#This Row],[Name]]="","",IF(VLOOKUP(Dec[[#This Row],[Name]],Overview[],19,FALSE)="","N/A",Dec[[#This Row],[December Weight (kg)]]-VLOOKUP(Dec[[#This Row],[Name]],Overview[],19,FALSE)))</f>
        <v/>
      </c>
      <c r="G39" s="175" t="str">
        <f>IF(Dec[[#This Row],[Name]]="","",IF(VLOOKUP(Dec[[#This Row],[Name]],Overview[],19,FALSE)="","N/A",(Dec[[#This Row],[December Weight (kg)]]-VLOOKUP(Dec[[#This Row],[Name]],Overview[],19,FALSE))/VLOOKUP(Dec[[#This Row],[Name]],Overview[],19,FALSE)))</f>
        <v/>
      </c>
      <c r="H39" s="61" t="str" cm="1">
        <f t="array" ref="H39">IF(Dec[[#This Row],[Name]]="","",IF(SUMPRODUCT((Overview[Name]=Dec[[#This Row],[Name]])*ISNUMBER(Overview[[June 
Weight (kg)]:[September Weight (kg) ]]))=0,"N/A",MAX(IF((Overview[Name]=Dec[[#This Row],[Name]])*ISNUMBER(Overview[[June 
Weight (kg)]:[September Weight (kg) ]]),Overview[[June 
Weight (kg)]:[September Weight (kg) ]]))))</f>
        <v/>
      </c>
      <c r="I39" s="57" t="str">
        <f>IF(Dec[[#This Row],[Name]]="","",IF(NOT(ISNUMBER(Dec[[#This Row],[Highest Weight in the Past 3 - 6 Months]])),"N/A",IF(Dec[[#This Row],[December Weight (kg)]]=Dec[[#This Row],[Highest Weight in the Past 3 - 6 Months]],0,Dec[[#This Row],[December Weight (kg)]]-Dec[[#This Row],[Highest Weight in the Past 3 - 6 Months]])))</f>
        <v/>
      </c>
      <c r="J39"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39" s="130"/>
      <c r="L39" s="131"/>
      <c r="M39"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39" s="64" t="str">
        <f>IF(Dec[[#This Row],[Name]]="","",IF(Dec[[#This Row],[December MUST Score ]]=0,"Low",IF(Dec[[#This Row],[December MUST Score ]]=1,"Medium","High")))</f>
        <v/>
      </c>
      <c r="O39" s="10"/>
      <c r="P39" s="70"/>
      <c r="Q39" s="12"/>
      <c r="R39" s="17"/>
      <c r="S39" s="10"/>
      <c r="T39" s="17"/>
      <c r="U39" s="70"/>
      <c r="V39" s="11"/>
      <c r="W39" s="94"/>
      <c r="X39" s="12"/>
      <c r="Y39" s="11"/>
    </row>
    <row r="40" spans="2:25" x14ac:dyDescent="0.25">
      <c r="B40" s="12"/>
      <c r="C40" s="129"/>
      <c r="D40" s="94"/>
      <c r="E40" s="58" t="str">
        <f>IF(Dec[[#This Row],[Name]]="","",Dec[[#This Row],[December Weight (kg)]]/(VLOOKUP(Dec[[#This Row],[Name]],Overview[],2,FALSE)/100)^2)</f>
        <v/>
      </c>
      <c r="F40" s="58" t="str">
        <f>IF(Dec[[#This Row],[Name]]="","",IF(VLOOKUP(Dec[[#This Row],[Name]],Overview[],19,FALSE)="","N/A",Dec[[#This Row],[December Weight (kg)]]-VLOOKUP(Dec[[#This Row],[Name]],Overview[],19,FALSE)))</f>
        <v/>
      </c>
      <c r="G40" s="175" t="str">
        <f>IF(Dec[[#This Row],[Name]]="","",IF(VLOOKUP(Dec[[#This Row],[Name]],Overview[],19,FALSE)="","N/A",(Dec[[#This Row],[December Weight (kg)]]-VLOOKUP(Dec[[#This Row],[Name]],Overview[],19,FALSE))/VLOOKUP(Dec[[#This Row],[Name]],Overview[],19,FALSE)))</f>
        <v/>
      </c>
      <c r="H40" s="61" t="str" cm="1">
        <f t="array" ref="H40">IF(Dec[[#This Row],[Name]]="","",IF(SUMPRODUCT((Overview[Name]=Dec[[#This Row],[Name]])*ISNUMBER(Overview[[June 
Weight (kg)]:[September Weight (kg) ]]))=0,"N/A",MAX(IF((Overview[Name]=Dec[[#This Row],[Name]])*ISNUMBER(Overview[[June 
Weight (kg)]:[September Weight (kg) ]]),Overview[[June 
Weight (kg)]:[September Weight (kg) ]]))))</f>
        <v/>
      </c>
      <c r="I40" s="57" t="str">
        <f>IF(Dec[[#This Row],[Name]]="","",IF(NOT(ISNUMBER(Dec[[#This Row],[Highest Weight in the Past 3 - 6 Months]])),"N/A",IF(Dec[[#This Row],[December Weight (kg)]]=Dec[[#This Row],[Highest Weight in the Past 3 - 6 Months]],0,Dec[[#This Row],[December Weight (kg)]]-Dec[[#This Row],[Highest Weight in the Past 3 - 6 Months]])))</f>
        <v/>
      </c>
      <c r="J40"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40" s="130"/>
      <c r="L40" s="131"/>
      <c r="M40"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40" s="64" t="str">
        <f>IF(Dec[[#This Row],[Name]]="","",IF(Dec[[#This Row],[December MUST Score ]]=0,"Low",IF(Dec[[#This Row],[December MUST Score ]]=1,"Medium","High")))</f>
        <v/>
      </c>
      <c r="O40" s="10"/>
      <c r="P40" s="70"/>
      <c r="Q40" s="12"/>
      <c r="R40" s="17"/>
      <c r="S40" s="10"/>
      <c r="T40" s="17"/>
      <c r="U40" s="70"/>
      <c r="V40" s="11"/>
      <c r="W40" s="94"/>
      <c r="X40" s="12"/>
      <c r="Y40" s="11"/>
    </row>
    <row r="41" spans="2:25" x14ac:dyDescent="0.25">
      <c r="B41" s="12"/>
      <c r="C41" s="129"/>
      <c r="D41" s="94"/>
      <c r="E41" s="58" t="str">
        <f>IF(Dec[[#This Row],[Name]]="","",Dec[[#This Row],[December Weight (kg)]]/(VLOOKUP(Dec[[#This Row],[Name]],Overview[],2,FALSE)/100)^2)</f>
        <v/>
      </c>
      <c r="F41" s="58" t="str">
        <f>IF(Dec[[#This Row],[Name]]="","",IF(VLOOKUP(Dec[[#This Row],[Name]],Overview[],19,FALSE)="","N/A",Dec[[#This Row],[December Weight (kg)]]-VLOOKUP(Dec[[#This Row],[Name]],Overview[],19,FALSE)))</f>
        <v/>
      </c>
      <c r="G41" s="175" t="str">
        <f>IF(Dec[[#This Row],[Name]]="","",IF(VLOOKUP(Dec[[#This Row],[Name]],Overview[],19,FALSE)="","N/A",(Dec[[#This Row],[December Weight (kg)]]-VLOOKUP(Dec[[#This Row],[Name]],Overview[],19,FALSE))/VLOOKUP(Dec[[#This Row],[Name]],Overview[],19,FALSE)))</f>
        <v/>
      </c>
      <c r="H41" s="61" t="str" cm="1">
        <f t="array" ref="H41">IF(Dec[[#This Row],[Name]]="","",IF(SUMPRODUCT((Overview[Name]=Dec[[#This Row],[Name]])*ISNUMBER(Overview[[June 
Weight (kg)]:[September Weight (kg) ]]))=0,"N/A",MAX(IF((Overview[Name]=Dec[[#This Row],[Name]])*ISNUMBER(Overview[[June 
Weight (kg)]:[September Weight (kg) ]]),Overview[[June 
Weight (kg)]:[September Weight (kg) ]]))))</f>
        <v/>
      </c>
      <c r="I41" s="57" t="str">
        <f>IF(Dec[[#This Row],[Name]]="","",IF(NOT(ISNUMBER(Dec[[#This Row],[Highest Weight in the Past 3 - 6 Months]])),"N/A",IF(Dec[[#This Row],[December Weight (kg)]]=Dec[[#This Row],[Highest Weight in the Past 3 - 6 Months]],0,Dec[[#This Row],[December Weight (kg)]]-Dec[[#This Row],[Highest Weight in the Past 3 - 6 Months]])))</f>
        <v/>
      </c>
      <c r="J41"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41" s="130"/>
      <c r="L41" s="131"/>
      <c r="M41" s="76"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41" s="64" t="str">
        <f>IF(Dec[[#This Row],[Name]]="","",IF(Dec[[#This Row],[December MUST Score ]]=0,"Low",IF(Dec[[#This Row],[December MUST Score ]]=1,"Medium","High")))</f>
        <v/>
      </c>
      <c r="O41" s="10"/>
      <c r="P41" s="70"/>
      <c r="Q41" s="12"/>
      <c r="R41" s="17"/>
      <c r="S41" s="10"/>
      <c r="T41" s="17"/>
      <c r="U41" s="70"/>
      <c r="V41" s="11"/>
      <c r="W41" s="94"/>
      <c r="X41" s="12"/>
      <c r="Y41" s="11"/>
    </row>
    <row r="42" spans="2:25" ht="15.75" thickBot="1" x14ac:dyDescent="0.3">
      <c r="B42" s="18"/>
      <c r="C42" s="132"/>
      <c r="D42" s="95"/>
      <c r="E42" s="60" t="str">
        <f>IF(Dec[[#This Row],[Name]]="","",Dec[[#This Row],[December Weight (kg)]]/(VLOOKUP(Dec[[#This Row],[Name]],Overview[],2,FALSE)/100)^2)</f>
        <v/>
      </c>
      <c r="F42" s="60" t="str">
        <f>IF(Dec[[#This Row],[Name]]="","",IF(VLOOKUP(Dec[[#This Row],[Name]],Overview[],19,FALSE)="","N/A",Dec[[#This Row],[December Weight (kg)]]-VLOOKUP(Dec[[#This Row],[Name]],Overview[],19,FALSE)))</f>
        <v/>
      </c>
      <c r="G42" s="176" t="str">
        <f>IF(Dec[[#This Row],[Name]]="","",IF(VLOOKUP(Dec[[#This Row],[Name]],Overview[],19,FALSE)="","N/A",(Dec[[#This Row],[December Weight (kg)]]-VLOOKUP(Dec[[#This Row],[Name]],Overview[],19,FALSE))/VLOOKUP(Dec[[#This Row],[Name]],Overview[],19,FALSE)))</f>
        <v/>
      </c>
      <c r="H42" s="61" t="str" cm="1">
        <f t="array" ref="H42">IF(Dec[[#This Row],[Name]]="","",IF(SUMPRODUCT((Overview[Name]=Dec[[#This Row],[Name]])*ISNUMBER(Overview[[June 
Weight (kg)]:[September Weight (kg) ]]))=0,"N/A",MAX(IF((Overview[Name]=Dec[[#This Row],[Name]])*ISNUMBER(Overview[[June 
Weight (kg)]:[September Weight (kg) ]]),Overview[[June 
Weight (kg)]:[September Weight (kg) ]]))))</f>
        <v/>
      </c>
      <c r="I42" s="57" t="str">
        <f>IF(Dec[[#This Row],[Name]]="","",IF(NOT(ISNUMBER(Dec[[#This Row],[Highest Weight in the Past 3 - 6 Months]])),"N/A",IF(Dec[[#This Row],[December Weight (kg)]]=Dec[[#This Row],[Highest Weight in the Past 3 - 6 Months]],0,Dec[[#This Row],[December Weight (kg)]]-Dec[[#This Row],[Highest Weight in the Past 3 - 6 Months]])))</f>
        <v/>
      </c>
      <c r="J42" s="179" t="str">
        <f>IF(Dec[[#This Row],[Name]]="","",IF(OR(Dec[[#This Row],[Highest Weight in the Past 3 - 6 Months]]="",Dec[[#This Row],[Highest Weight in the Past 3 - 6 Months]]="N/A"),"N/A",IFERROR(Dec[[#This Row],[Weight (kg) Difference from Highest Weight in Past 3 - 6 Months (Current Month - Highest Month)]]/Dec[[#This Row],[Highest Weight in the Past 3 - 6 Months]],"N/A")))</f>
        <v/>
      </c>
      <c r="K42" s="133"/>
      <c r="L42" s="134"/>
      <c r="M42" s="77" t="str">
        <f>IF(Dec[[#This Row],[Name]]="","",IFERROR(IF(Dec[[#This Row],[December BMI (kg/m2)]]&gt;20,0,IF(Dec[[#This Row],[December BMI (kg/m2)]]&gt;=18.5,1,2))+IF(Dec[[#This Row],[If Weight has been lost, is this Planned? (Yes/No)]]="Yes",0,IF(Dec[[#This Row],[Weight (kg) Difference from Highest Weight in 3 - 6 months as %]]&gt;-0.05,0,IF(Dec[[#This Row],[Weight (kg) Difference from Highest Weight in 3 - 6 months as %]]&gt;=-0.1,1,2))),""))</f>
        <v/>
      </c>
      <c r="N42" s="64" t="str">
        <f>IF(Dec[[#This Row],[Name]]="","",IF(Dec[[#This Row],[December MUST Score ]]=0,"Low",IF(Dec[[#This Row],[December MUST Score ]]=1,"Medium","High")))</f>
        <v/>
      </c>
      <c r="O42" s="13"/>
      <c r="P42" s="82"/>
      <c r="Q42" s="15"/>
      <c r="R42" s="19"/>
      <c r="S42" s="13"/>
      <c r="T42" s="24"/>
      <c r="U42" s="82"/>
      <c r="V42" s="14"/>
      <c r="W42" s="95"/>
      <c r="X42" s="15"/>
      <c r="Y42" s="14"/>
    </row>
  </sheetData>
  <sheetProtection sheet="1" formatCells="0" formatColumns="0" formatRows="0" insertColumns="0" insertRows="0" insertHyperlinks="0" deleteColumns="0" deleteRows="0" sort="0" autoFilter="0" pivotTables="0"/>
  <mergeCells count="6">
    <mergeCell ref="B2:Y2"/>
    <mergeCell ref="C6:G6"/>
    <mergeCell ref="H6:K6"/>
    <mergeCell ref="L6:N6"/>
    <mergeCell ref="O6:R6"/>
    <mergeCell ref="S6:V6"/>
  </mergeCells>
  <conditionalFormatting sqref="M8:M42">
    <cfRule type="containsBlanks" priority="1" stopIfTrue="1">
      <formula>LEN(TRIM(M8))=0</formula>
    </cfRule>
    <cfRule type="cellIs" dxfId="13" priority="6" operator="greaterThanOrEqual">
      <formula>2</formula>
    </cfRule>
    <cfRule type="cellIs" dxfId="12" priority="7" operator="equal">
      <formula>1</formula>
    </cfRule>
    <cfRule type="cellIs" dxfId="11" priority="8" operator="equal">
      <formula>0</formula>
    </cfRule>
  </conditionalFormatting>
  <conditionalFormatting sqref="N8:N42">
    <cfRule type="containsText" dxfId="10" priority="2" operator="containsText" text="High">
      <formula>NOT(ISERROR(SEARCH("High",N8)))</formula>
    </cfRule>
    <cfRule type="containsText" dxfId="9" priority="3" operator="containsText" text="Medium">
      <formula>NOT(ISERROR(SEARCH("Medium",N8)))</formula>
    </cfRule>
    <cfRule type="containsText" dxfId="8" priority="4" operator="containsText" text="Low">
      <formula>NOT(ISERROR(SEARCH("Low",N8)))</formula>
    </cfRule>
  </conditionalFormatting>
  <conditionalFormatting sqref="W8:X42">
    <cfRule type="containsText" dxfId="7" priority="5" operator="containsText" text="Yes">
      <formula>NOT(ISERROR(SEARCH("Yes",W8)))</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B5402878-60DB-4CFC-ABB3-30D701531529}">
          <x14:formula1>
            <xm:f>Validation!$A$2:$A$3</xm:f>
          </x14:formula1>
          <xm:sqref>O8:O42 K8:L42 W8:W42 Q8:Q42 S8:S42</xm:sqref>
        </x14:dataValidation>
        <x14:dataValidation type="list" allowBlank="1" showInputMessage="1" showErrorMessage="1" xr:uid="{EEEF33A0-61FB-4BFF-AA45-AA0E0ADFD56A}">
          <x14:formula1>
            <xm:f>'Weight Overview'!$B$4:$B$38</xm:f>
          </x14:formula1>
          <xm:sqref>B8:B42</xm:sqref>
        </x14:dataValidation>
        <x14:dataValidation type="list" allowBlank="1" showInputMessage="1" showErrorMessage="1" xr:uid="{4E35FC70-DB65-4221-9035-E8877AA253CA}">
          <x14:formula1>
            <xm:f>Validation!$A$27:$A$31</xm:f>
          </x14:formula1>
          <xm:sqref>U8:U42</xm:sqref>
        </x14:dataValidation>
        <x14:dataValidation type="list" allowBlank="1" showInputMessage="1" showErrorMessage="1" xr:uid="{AC5E9413-3B90-4C04-B1EE-76DE42160E6F}">
          <x14:formula1>
            <xm:f>Validation!$A$33:$A$37</xm:f>
          </x14:formula1>
          <xm:sqref>V8:V42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C7517-8D9B-4769-8B37-E95038598498}">
  <dimension ref="B2:K35"/>
  <sheetViews>
    <sheetView zoomScaleNormal="100" workbookViewId="0">
      <selection activeCell="C8" sqref="C8"/>
    </sheetView>
  </sheetViews>
  <sheetFormatPr defaultRowHeight="15" x14ac:dyDescent="0.25"/>
  <cols>
    <col min="1" max="1" width="4.85546875" customWidth="1"/>
    <col min="2" max="2" width="20.7109375" customWidth="1"/>
    <col min="3" max="3" width="17.7109375" customWidth="1"/>
    <col min="4" max="4" width="12.7109375" customWidth="1"/>
    <col min="5" max="5" width="45.7109375" customWidth="1"/>
    <col min="6" max="6" width="20.7109375" customWidth="1"/>
    <col min="7" max="7" width="12.7109375" customWidth="1"/>
    <col min="8" max="8" width="16.7109375" customWidth="1"/>
    <col min="9" max="9" width="45.7109375" customWidth="1"/>
    <col min="10" max="10" width="17.7109375" customWidth="1"/>
    <col min="11" max="11" width="12.7109375" customWidth="1"/>
  </cols>
  <sheetData>
    <row r="2" spans="2:11" x14ac:dyDescent="0.25">
      <c r="B2" s="328" t="s">
        <v>35</v>
      </c>
      <c r="C2" s="328"/>
      <c r="D2" s="328"/>
      <c r="E2" s="328"/>
      <c r="F2" s="328"/>
      <c r="G2" s="328"/>
      <c r="H2" s="328"/>
      <c r="I2" s="328"/>
      <c r="J2" s="328"/>
      <c r="K2" s="328"/>
    </row>
    <row r="4" spans="2:11" x14ac:dyDescent="0.25">
      <c r="B4" s="35" t="s">
        <v>22</v>
      </c>
      <c r="C4" s="329"/>
      <c r="D4" s="329"/>
      <c r="E4" s="329"/>
      <c r="J4" s="35" t="s">
        <v>2</v>
      </c>
      <c r="K4" s="25"/>
    </row>
    <row r="5" spans="2:11" ht="15.75" thickBot="1" x14ac:dyDescent="0.3"/>
    <row r="6" spans="2:11" x14ac:dyDescent="0.25">
      <c r="H6" s="325" t="s">
        <v>26</v>
      </c>
      <c r="I6" s="326"/>
      <c r="J6" s="326"/>
      <c r="K6" s="327"/>
    </row>
    <row r="7" spans="2:11" ht="59.25" customHeight="1" thickBot="1" x14ac:dyDescent="0.3">
      <c r="B7" s="38" t="s">
        <v>23</v>
      </c>
      <c r="C7" s="39" t="s">
        <v>24</v>
      </c>
      <c r="D7" s="39" t="s">
        <v>33</v>
      </c>
      <c r="E7" s="39" t="s">
        <v>234</v>
      </c>
      <c r="F7" s="39" t="s">
        <v>34</v>
      </c>
      <c r="G7" s="40" t="s">
        <v>25</v>
      </c>
      <c r="H7" s="41" t="s">
        <v>30</v>
      </c>
      <c r="I7" s="39" t="s">
        <v>27</v>
      </c>
      <c r="J7" s="39" t="s">
        <v>29</v>
      </c>
      <c r="K7" s="40" t="s">
        <v>28</v>
      </c>
    </row>
    <row r="8" spans="2:11" x14ac:dyDescent="0.25">
      <c r="B8" s="26"/>
      <c r="C8" s="27"/>
      <c r="D8" s="43"/>
      <c r="E8" s="27"/>
      <c r="F8" s="27"/>
      <c r="G8" s="28"/>
      <c r="H8" s="36"/>
      <c r="I8" s="27"/>
      <c r="J8" s="27"/>
      <c r="K8" s="28"/>
    </row>
    <row r="9" spans="2:11" x14ac:dyDescent="0.25">
      <c r="B9" s="29"/>
      <c r="C9" s="30"/>
      <c r="D9" s="30"/>
      <c r="E9" s="30"/>
      <c r="F9" s="30"/>
      <c r="G9" s="31"/>
      <c r="H9" s="37"/>
      <c r="I9" s="30"/>
      <c r="J9" s="30"/>
      <c r="K9" s="31"/>
    </row>
    <row r="10" spans="2:11" x14ac:dyDescent="0.25">
      <c r="B10" s="29"/>
      <c r="C10" s="30"/>
      <c r="D10" s="30"/>
      <c r="E10" s="30"/>
      <c r="F10" s="30"/>
      <c r="G10" s="31"/>
      <c r="H10" s="37"/>
      <c r="I10" s="30"/>
      <c r="J10" s="30"/>
      <c r="K10" s="31"/>
    </row>
    <row r="11" spans="2:11" x14ac:dyDescent="0.25">
      <c r="B11" s="29"/>
      <c r="C11" s="30"/>
      <c r="D11" s="30"/>
      <c r="E11" s="30"/>
      <c r="F11" s="30"/>
      <c r="G11" s="31"/>
      <c r="H11" s="37"/>
      <c r="I11" s="30"/>
      <c r="J11" s="30"/>
      <c r="K11" s="31"/>
    </row>
    <row r="12" spans="2:11" x14ac:dyDescent="0.25">
      <c r="B12" s="29"/>
      <c r="C12" s="30"/>
      <c r="D12" s="30"/>
      <c r="E12" s="30"/>
      <c r="F12" s="30"/>
      <c r="G12" s="31"/>
      <c r="H12" s="37"/>
      <c r="I12" s="30"/>
      <c r="J12" s="30"/>
      <c r="K12" s="31"/>
    </row>
    <row r="13" spans="2:11" x14ac:dyDescent="0.25">
      <c r="B13" s="29"/>
      <c r="C13" s="30"/>
      <c r="D13" s="30"/>
      <c r="E13" s="30"/>
      <c r="F13" s="30"/>
      <c r="G13" s="31"/>
      <c r="H13" s="37"/>
      <c r="I13" s="30"/>
      <c r="J13" s="30"/>
      <c r="K13" s="31"/>
    </row>
    <row r="14" spans="2:11" x14ac:dyDescent="0.25">
      <c r="B14" s="29"/>
      <c r="C14" s="30"/>
      <c r="D14" s="30"/>
      <c r="E14" s="30"/>
      <c r="F14" s="30"/>
      <c r="G14" s="31"/>
      <c r="H14" s="37"/>
      <c r="I14" s="30"/>
      <c r="J14" s="30"/>
      <c r="K14" s="31"/>
    </row>
    <row r="15" spans="2:11" x14ac:dyDescent="0.25">
      <c r="B15" s="29"/>
      <c r="C15" s="30"/>
      <c r="D15" s="30"/>
      <c r="E15" s="30"/>
      <c r="F15" s="30"/>
      <c r="G15" s="31"/>
      <c r="H15" s="37"/>
      <c r="I15" s="30"/>
      <c r="J15" s="30"/>
      <c r="K15" s="31"/>
    </row>
    <row r="16" spans="2:11" x14ac:dyDescent="0.25">
      <c r="B16" s="29"/>
      <c r="C16" s="30"/>
      <c r="D16" s="30"/>
      <c r="E16" s="30"/>
      <c r="F16" s="30"/>
      <c r="G16" s="31"/>
      <c r="H16" s="37"/>
      <c r="I16" s="30"/>
      <c r="J16" s="30"/>
      <c r="K16" s="31"/>
    </row>
    <row r="17" spans="2:11" x14ac:dyDescent="0.25">
      <c r="B17" s="29"/>
      <c r="C17" s="30"/>
      <c r="D17" s="30"/>
      <c r="E17" s="30"/>
      <c r="F17" s="30"/>
      <c r="G17" s="31"/>
      <c r="H17" s="37"/>
      <c r="I17" s="30"/>
      <c r="J17" s="30"/>
      <c r="K17" s="31"/>
    </row>
    <row r="18" spans="2:11" x14ac:dyDescent="0.25">
      <c r="B18" s="29"/>
      <c r="C18" s="30"/>
      <c r="D18" s="30"/>
      <c r="E18" s="30"/>
      <c r="F18" s="30"/>
      <c r="G18" s="31"/>
      <c r="H18" s="37"/>
      <c r="I18" s="30"/>
      <c r="J18" s="30"/>
      <c r="K18" s="31"/>
    </row>
    <row r="19" spans="2:11" x14ac:dyDescent="0.25">
      <c r="B19" s="29"/>
      <c r="C19" s="30"/>
      <c r="D19" s="30"/>
      <c r="E19" s="30"/>
      <c r="F19" s="30"/>
      <c r="G19" s="31"/>
      <c r="H19" s="37"/>
      <c r="I19" s="30"/>
      <c r="J19" s="30"/>
      <c r="K19" s="31"/>
    </row>
    <row r="20" spans="2:11" x14ac:dyDescent="0.25">
      <c r="B20" s="29"/>
      <c r="C20" s="30"/>
      <c r="D20" s="30"/>
      <c r="E20" s="30"/>
      <c r="F20" s="30"/>
      <c r="G20" s="31"/>
      <c r="H20" s="37"/>
      <c r="I20" s="30"/>
      <c r="J20" s="30"/>
      <c r="K20" s="31"/>
    </row>
    <row r="21" spans="2:11" x14ac:dyDescent="0.25">
      <c r="B21" s="29"/>
      <c r="C21" s="30"/>
      <c r="D21" s="30"/>
      <c r="E21" s="30"/>
      <c r="F21" s="30"/>
      <c r="G21" s="31"/>
      <c r="H21" s="37"/>
      <c r="I21" s="30"/>
      <c r="J21" s="30"/>
      <c r="K21" s="31"/>
    </row>
    <row r="22" spans="2:11" x14ac:dyDescent="0.25">
      <c r="B22" s="29"/>
      <c r="C22" s="30"/>
      <c r="D22" s="30"/>
      <c r="E22" s="30"/>
      <c r="F22" s="30"/>
      <c r="G22" s="31"/>
      <c r="H22" s="37"/>
      <c r="I22" s="30"/>
      <c r="J22" s="30"/>
      <c r="K22" s="31"/>
    </row>
    <row r="23" spans="2:11" x14ac:dyDescent="0.25">
      <c r="B23" s="29"/>
      <c r="C23" s="30"/>
      <c r="D23" s="30"/>
      <c r="E23" s="30"/>
      <c r="F23" s="30"/>
      <c r="G23" s="31"/>
      <c r="H23" s="37"/>
      <c r="I23" s="30"/>
      <c r="J23" s="30"/>
      <c r="K23" s="31"/>
    </row>
    <row r="24" spans="2:11" x14ac:dyDescent="0.25">
      <c r="B24" s="29"/>
      <c r="C24" s="30"/>
      <c r="D24" s="30"/>
      <c r="E24" s="30"/>
      <c r="F24" s="30"/>
      <c r="G24" s="31"/>
      <c r="H24" s="37"/>
      <c r="I24" s="30"/>
      <c r="J24" s="30"/>
      <c r="K24" s="31"/>
    </row>
    <row r="25" spans="2:11" x14ac:dyDescent="0.25">
      <c r="B25" s="29"/>
      <c r="C25" s="30"/>
      <c r="D25" s="30"/>
      <c r="E25" s="30"/>
      <c r="F25" s="30"/>
      <c r="G25" s="31"/>
      <c r="H25" s="37"/>
      <c r="I25" s="30"/>
      <c r="J25" s="30"/>
      <c r="K25" s="31"/>
    </row>
    <row r="26" spans="2:11" x14ac:dyDescent="0.25">
      <c r="B26" s="29"/>
      <c r="C26" s="30"/>
      <c r="D26" s="30"/>
      <c r="E26" s="30"/>
      <c r="F26" s="30"/>
      <c r="G26" s="31"/>
      <c r="H26" s="37"/>
      <c r="I26" s="30"/>
      <c r="J26" s="30"/>
      <c r="K26" s="31"/>
    </row>
    <row r="27" spans="2:11" x14ac:dyDescent="0.25">
      <c r="B27" s="29"/>
      <c r="C27" s="30"/>
      <c r="D27" s="30"/>
      <c r="E27" s="30"/>
      <c r="F27" s="30"/>
      <c r="G27" s="31"/>
      <c r="H27" s="37"/>
      <c r="I27" s="30"/>
      <c r="J27" s="30"/>
      <c r="K27" s="31"/>
    </row>
    <row r="28" spans="2:11" x14ac:dyDescent="0.25">
      <c r="B28" s="29"/>
      <c r="C28" s="30"/>
      <c r="D28" s="30"/>
      <c r="E28" s="30"/>
      <c r="F28" s="30"/>
      <c r="G28" s="31"/>
      <c r="H28" s="37"/>
      <c r="I28" s="30"/>
      <c r="J28" s="30"/>
      <c r="K28" s="31"/>
    </row>
    <row r="29" spans="2:11" x14ac:dyDescent="0.25">
      <c r="B29" s="29"/>
      <c r="C29" s="30"/>
      <c r="D29" s="30"/>
      <c r="E29" s="30"/>
      <c r="F29" s="30"/>
      <c r="G29" s="31"/>
      <c r="H29" s="37"/>
      <c r="I29" s="30"/>
      <c r="J29" s="30"/>
      <c r="K29" s="31"/>
    </row>
    <row r="30" spans="2:11" x14ac:dyDescent="0.25">
      <c r="B30" s="29"/>
      <c r="C30" s="30"/>
      <c r="D30" s="30"/>
      <c r="E30" s="30"/>
      <c r="F30" s="30"/>
      <c r="G30" s="31"/>
      <c r="H30" s="37"/>
      <c r="I30" s="30"/>
      <c r="J30" s="30"/>
      <c r="K30" s="31"/>
    </row>
    <row r="31" spans="2:11" x14ac:dyDescent="0.25">
      <c r="B31" s="29"/>
      <c r="C31" s="30"/>
      <c r="D31" s="30"/>
      <c r="E31" s="30"/>
      <c r="F31" s="30"/>
      <c r="G31" s="31"/>
      <c r="H31" s="37"/>
      <c r="I31" s="30"/>
      <c r="J31" s="30"/>
      <c r="K31" s="31"/>
    </row>
    <row r="32" spans="2:11" x14ac:dyDescent="0.25">
      <c r="B32" s="29"/>
      <c r="C32" s="30"/>
      <c r="D32" s="30"/>
      <c r="E32" s="30"/>
      <c r="F32" s="30"/>
      <c r="G32" s="31"/>
      <c r="H32" s="37"/>
      <c r="I32" s="30"/>
      <c r="J32" s="30"/>
      <c r="K32" s="31"/>
    </row>
    <row r="33" spans="2:11" x14ac:dyDescent="0.25">
      <c r="B33" s="29"/>
      <c r="C33" s="30"/>
      <c r="D33" s="30"/>
      <c r="E33" s="30"/>
      <c r="F33" s="30"/>
      <c r="G33" s="31"/>
      <c r="H33" s="37"/>
      <c r="I33" s="30"/>
      <c r="J33" s="30"/>
      <c r="K33" s="31"/>
    </row>
    <row r="34" spans="2:11" x14ac:dyDescent="0.25">
      <c r="B34" s="29"/>
      <c r="C34" s="30"/>
      <c r="D34" s="30"/>
      <c r="E34" s="30"/>
      <c r="F34" s="30"/>
      <c r="G34" s="31"/>
      <c r="H34" s="37"/>
      <c r="I34" s="30"/>
      <c r="J34" s="30"/>
      <c r="K34" s="31"/>
    </row>
    <row r="35" spans="2:11" x14ac:dyDescent="0.25">
      <c r="B35" s="32"/>
      <c r="C35" s="33"/>
      <c r="D35" s="33"/>
      <c r="E35" s="33"/>
      <c r="F35" s="33"/>
      <c r="G35" s="34"/>
      <c r="H35" s="42"/>
      <c r="I35" s="33"/>
      <c r="J35" s="33"/>
      <c r="K35" s="34"/>
    </row>
  </sheetData>
  <mergeCells count="3">
    <mergeCell ref="H6:K6"/>
    <mergeCell ref="B2:K2"/>
    <mergeCell ref="C4:E4"/>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9CE2C70B-E38A-48D3-BCED-C602974DB520}">
          <x14:formula1>
            <xm:f>Validation!$A$5:$A$17</xm:f>
          </x14:formula1>
          <xm:sqref>C8:C35</xm:sqref>
        </x14:dataValidation>
        <x14:dataValidation type="list" allowBlank="1" showInputMessage="1" showErrorMessage="1" xr:uid="{58F83508-0185-490B-A5F7-C9B3780642B1}">
          <x14:formula1>
            <xm:f>Validation!$A$2:$A$3</xm:f>
          </x14:formula1>
          <xm:sqref>H8:H35 J8:J35</xm:sqref>
        </x14:dataValidation>
        <x14:dataValidation type="list" allowBlank="1" showInputMessage="1" showErrorMessage="1" xr:uid="{113AF120-B580-4F20-A6BA-C1F0CCA1FFF3}">
          <x14:formula1>
            <xm:f>'Weight Overview'!$B$4:$B$38</xm:f>
          </x14:formula1>
          <xm:sqref>B8:B35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109FA-54E4-4122-BA02-D2E5A9E9DB39}">
  <dimension ref="B1:Z25"/>
  <sheetViews>
    <sheetView zoomScale="80" zoomScaleNormal="80" workbookViewId="0">
      <pane xSplit="2" ySplit="6" topLeftCell="C7" activePane="bottomRight" state="frozen"/>
      <selection pane="topRight" activeCell="C1" sqref="C1"/>
      <selection pane="bottomLeft" activeCell="A7" sqref="A7"/>
      <selection pane="bottomRight" activeCell="B2" sqref="B2"/>
    </sheetView>
  </sheetViews>
  <sheetFormatPr defaultRowHeight="15" x14ac:dyDescent="0.25"/>
  <cols>
    <col min="1" max="1" width="2" style="1" customWidth="1"/>
    <col min="2" max="2" width="12.7109375" style="1" bestFit="1" customWidth="1"/>
    <col min="3" max="22" width="15.7109375" style="1" customWidth="1"/>
    <col min="23" max="26" width="50.7109375" style="1" customWidth="1"/>
    <col min="27" max="16384" width="9.140625" style="1"/>
  </cols>
  <sheetData>
    <row r="1" spans="2:26" ht="15.75" thickBot="1" x14ac:dyDescent="0.3"/>
    <row r="2" spans="2:26" ht="45.75" customHeight="1" thickBot="1" x14ac:dyDescent="0.3">
      <c r="C2" s="330" t="s">
        <v>235</v>
      </c>
      <c r="D2" s="331"/>
      <c r="E2" s="331"/>
      <c r="F2" s="331"/>
      <c r="G2" s="331"/>
      <c r="H2" s="331"/>
      <c r="I2" s="331"/>
      <c r="J2" s="331"/>
      <c r="K2" s="331"/>
      <c r="L2" s="332"/>
    </row>
    <row r="3" spans="2:26" ht="15.75" thickBot="1" x14ac:dyDescent="0.3"/>
    <row r="4" spans="2:26" ht="15" customHeight="1" thickBot="1" x14ac:dyDescent="0.3">
      <c r="C4" s="307" t="s">
        <v>201</v>
      </c>
      <c r="D4" s="333"/>
      <c r="E4" s="333"/>
      <c r="F4" s="333"/>
      <c r="G4" s="333"/>
      <c r="H4" s="333"/>
      <c r="I4" s="333"/>
      <c r="J4" s="333"/>
      <c r="K4" s="333"/>
      <c r="L4" s="308"/>
      <c r="M4" s="307" t="s">
        <v>215</v>
      </c>
      <c r="N4" s="333"/>
      <c r="O4" s="333"/>
      <c r="P4" s="333"/>
      <c r="Q4" s="333"/>
      <c r="R4" s="333"/>
      <c r="S4" s="333"/>
      <c r="T4" s="333"/>
      <c r="U4" s="333"/>
      <c r="V4" s="308"/>
    </row>
    <row r="5" spans="2:26" ht="39.75" customHeight="1" thickBot="1" x14ac:dyDescent="0.3">
      <c r="C5" s="200"/>
      <c r="D5" s="333" t="s">
        <v>233</v>
      </c>
      <c r="E5" s="333"/>
      <c r="F5" s="333"/>
      <c r="G5" s="307" t="s">
        <v>69</v>
      </c>
      <c r="H5" s="333"/>
      <c r="I5" s="308"/>
      <c r="J5" s="333" t="s">
        <v>84</v>
      </c>
      <c r="K5" s="333"/>
      <c r="L5" s="308"/>
      <c r="M5" s="334" t="s">
        <v>214</v>
      </c>
      <c r="N5" s="335"/>
      <c r="O5" s="335"/>
      <c r="P5" s="336"/>
      <c r="Q5" s="337" t="s">
        <v>227</v>
      </c>
      <c r="R5" s="337"/>
      <c r="S5" s="337"/>
      <c r="T5" s="338" t="s">
        <v>228</v>
      </c>
      <c r="U5" s="339"/>
      <c r="V5" s="340"/>
      <c r="W5" s="307" t="s">
        <v>222</v>
      </c>
      <c r="X5" s="333"/>
      <c r="Y5" s="333"/>
      <c r="Z5" s="308"/>
    </row>
    <row r="6" spans="2:26" ht="118.5" customHeight="1" thickBot="1" x14ac:dyDescent="0.3">
      <c r="B6" s="198" t="s">
        <v>203</v>
      </c>
      <c r="C6" s="198" t="s">
        <v>204</v>
      </c>
      <c r="D6" s="6" t="s">
        <v>205</v>
      </c>
      <c r="E6" s="4" t="s">
        <v>206</v>
      </c>
      <c r="F6" s="199" t="s">
        <v>212</v>
      </c>
      <c r="G6" s="3" t="s">
        <v>207</v>
      </c>
      <c r="H6" s="4" t="s">
        <v>208</v>
      </c>
      <c r="I6" s="5" t="s">
        <v>209</v>
      </c>
      <c r="J6" s="6" t="s">
        <v>213</v>
      </c>
      <c r="K6" s="4" t="s">
        <v>210</v>
      </c>
      <c r="L6" s="199" t="s">
        <v>211</v>
      </c>
      <c r="M6" s="3" t="s">
        <v>229</v>
      </c>
      <c r="N6" s="4" t="s">
        <v>230</v>
      </c>
      <c r="O6" s="4" t="s">
        <v>232</v>
      </c>
      <c r="P6" s="5" t="s">
        <v>231</v>
      </c>
      <c r="Q6" s="3" t="s">
        <v>216</v>
      </c>
      <c r="R6" s="4" t="s">
        <v>219</v>
      </c>
      <c r="S6" s="5" t="s">
        <v>218</v>
      </c>
      <c r="T6" s="6" t="s">
        <v>220</v>
      </c>
      <c r="U6" s="4" t="s">
        <v>217</v>
      </c>
      <c r="V6" s="199" t="s">
        <v>221</v>
      </c>
      <c r="W6" s="4" t="s">
        <v>223</v>
      </c>
      <c r="X6" s="4" t="s">
        <v>224</v>
      </c>
      <c r="Y6" s="4" t="s">
        <v>225</v>
      </c>
      <c r="Z6" s="5" t="s">
        <v>226</v>
      </c>
    </row>
    <row r="7" spans="2:26" ht="50.1" customHeight="1" x14ac:dyDescent="0.25">
      <c r="B7" s="188" t="s">
        <v>6</v>
      </c>
      <c r="C7" s="201">
        <f>COUNTA(Jan[Name])</f>
        <v>0</v>
      </c>
      <c r="D7" s="193">
        <f>COUNTIF(Jan[January BMI (kg/m2)],"&gt;20")</f>
        <v>0</v>
      </c>
      <c r="E7" s="194">
        <f>COUNTIFS(Jan[January BMI (kg/m2)], "&gt;=18.5", Jan[January BMI (kg/m2)], "&lt;=20")</f>
        <v>0</v>
      </c>
      <c r="F7" s="195">
        <f>COUNTIF(Jan[January BMI (kg/m2)],"&lt;18.5")</f>
        <v>0</v>
      </c>
      <c r="G7" s="196">
        <f>COUNTIF(Jan[[January MUST Score ]],"0")</f>
        <v>0</v>
      </c>
      <c r="H7" s="194">
        <f>COUNTIF(Jan[[January MUST Score ]],"1")</f>
        <v>0</v>
      </c>
      <c r="I7" s="195">
        <f>COUNTIF(Jan[[January MUST Score ]],"&gt;1")</f>
        <v>0</v>
      </c>
      <c r="J7" s="341">
        <f>COUNTIF(Jan[Is the adult on a special/fortified diet? (e.g. cultural, dietary restrictions, fortified etc) (Yes/No)],"Yes")</f>
        <v>0</v>
      </c>
      <c r="K7" s="342" cm="1">
        <f t="array" ref="K7">SUMPRODUCT(COUNTIF(Jan[If the adult has been assessed for texture-modified Food, please record the level below],Validation!$A$27:$A$31))</f>
        <v>0</v>
      </c>
      <c r="L7" s="343" cm="1">
        <f t="array" ref="L7">SUMPRODUCT(COUNTIF(Jan[If the adult has been assessed for texture-modified Fluid, please record the level below],Validation!$A$33:$A$37))</f>
        <v>0</v>
      </c>
      <c r="M7" s="196">
        <f>COUNTIFS(Jan[If Weight has been lost, is this Planned? (Yes/No)],"No",Jan[Name],"&lt;&gt;")</f>
        <v>0</v>
      </c>
      <c r="N7" s="194">
        <f>COUNTIFS(Jan[Name],"&lt;&gt;",Jan[If Weight has been lost, is this Planned? (Yes/No)],"No",Jan[Weight (kg) Difference from Highest Weight in 3 - 6 months as %],"&lt;0",Jan[Weight (kg) Difference from Highest Weight in 3 - 6 months as %],"&gt;-0.05")</f>
        <v>0</v>
      </c>
      <c r="O7" s="194">
        <f>COUNTIFS(Jan[Name],"&lt;&gt;",Jan[If Weight has been lost, is this Planned? (Yes/No)],"No",Jan[Weight (kg) Difference from Highest Weight in 3 - 6 months as %],"&lt;=-0.05",Jan[Weight (kg) Difference from Highest Weight in 3 - 6 months as %],"&gt;-0.10")</f>
        <v>0</v>
      </c>
      <c r="P7" s="197">
        <f>COUNTIFS(Jan[Name],"&lt;&gt;",Jan[If Weight has been lost, is this Planned? (Yes/No)],"No",Jan[Weight (kg) Difference from Highest Weight in 3 - 6 months as %],"&lt;=-0.10")</f>
        <v>0</v>
      </c>
      <c r="Q7" s="193">
        <f>COUNTIFS(Jan[Name],"&lt;&gt;",Jan[If Weight has been lost, is this Planned? (Yes/No)],"No",Jan[Weight (kg) Difference from Highest Weight in 3 - 6 months as %],"&lt;=-0.05",Jan[Weight (kg) Difference from Highest Weight in 3 - 6 months as %],"&gt;-0.10",Jan[Is the adult on a special/fortified diet? (e.g. cultural, dietary restrictions, fortified etc) (Yes/No)],"Yes")</f>
        <v>0</v>
      </c>
      <c r="R7" s="194">
        <f>COUNTIFS(Jan[Name],"&lt;&gt;",Jan[If Weight has been lost, is this Planned? (Yes/No)],"No",Jan[Weight (kg) Difference from Highest Weight in 3 - 6 months as %],"&lt;=-0.05",Jan[Weight (kg) Difference from Highest Weight in 3 - 6 months as %],"&gt;-0.10",Jan[If the adult has been assessed for texture-modified Food, please record the level below],"&lt;&gt;")</f>
        <v>0</v>
      </c>
      <c r="S7" s="195">
        <f>COUNTIFS(Jan[Name],"&lt;&gt;",Jan[If Weight has been lost, is this Planned? (Yes/No)],"No",Jan[Weight (kg) Difference from Highest Weight in 3 - 6 months as %],"&lt;=-0.05",Jan[Weight (kg) Difference from Highest Weight in 3 - 6 months as %],"&gt;-0.10",Jan[If the adult has been assessed for texture-modified Fluid, please record the level below],"&lt;&gt;")</f>
        <v>0</v>
      </c>
      <c r="T7" s="196">
        <f>COUNTIFS(Jan[Name],"&lt;&gt;",Jan[If Weight has been lost, is this Planned? (Yes/No)],"No",Jan[Weight (kg) Difference from Highest Weight in 3 - 6 months as %],"&lt;=-0.10",Jan[Is the adult on a special/fortified diet? (e.g. cultural, dietary restrictions, fortified etc) (Yes/No)],"Yes")</f>
        <v>0</v>
      </c>
      <c r="U7" s="194">
        <f>COUNTIFS(Jan[Name],"&lt;&gt;",Jan[If Weight has been lost, is this Planned? (Yes/No)],"No",Jan[Weight (kg) Difference from Highest Weight in 3 - 6 months as %],"&lt;=-0.10",Jan[If the adult has been assessed for texture-modified Food, please record the level below],"&lt;&gt;")</f>
        <v>0</v>
      </c>
      <c r="V7" s="197">
        <f>COUNTIFS(Jan[Name],"&lt;&gt;",Jan[If Weight has been lost, is this Planned? (Yes/No)],"No",Jan[Weight (kg) Difference from Highest Weight in 3 - 6 months as %],"&lt;=-0.10",Jan[If the adult has been assessed for texture-modified Fluid, please record the level below],"&lt;&gt;")</f>
        <v>0</v>
      </c>
      <c r="W7" s="170"/>
      <c r="X7" s="66"/>
      <c r="Y7" s="66"/>
      <c r="Z7" s="22"/>
    </row>
    <row r="8" spans="2:26" ht="50.1" customHeight="1" x14ac:dyDescent="0.25">
      <c r="B8" s="189" t="s">
        <v>196</v>
      </c>
      <c r="C8" s="202">
        <f>COUNTA(Feb[Name])</f>
        <v>0</v>
      </c>
      <c r="D8" s="184">
        <f>COUNTIF(Feb[February BMI (kg/m2)],"&gt;20")</f>
        <v>0</v>
      </c>
      <c r="E8" s="180">
        <f>COUNTIFS(Feb[February BMI (kg/m2)], "&gt;=18.5", Feb[February BMI (kg/m2)], "&lt;=20")</f>
        <v>0</v>
      </c>
      <c r="F8" s="182">
        <f>COUNTIF(Feb[February BMI (kg/m2)],"&lt;18.5")</f>
        <v>0</v>
      </c>
      <c r="G8" s="186">
        <f>COUNTIF(Feb[[February MUST Score ]],"0")</f>
        <v>0</v>
      </c>
      <c r="H8" s="180">
        <f>COUNTIF(Feb[[February MUST Score ]],"1")</f>
        <v>0</v>
      </c>
      <c r="I8" s="182">
        <f>COUNTIF(Feb[[February MUST Score ]],"&gt;1")</f>
        <v>0</v>
      </c>
      <c r="J8" s="186">
        <f>COUNTIF(Feb[Is the adult on a special/fortified diet? 
(e.g. cultural, dietary restrictions, fortified etc)
(Yes/No)],"Yes")</f>
        <v>0</v>
      </c>
      <c r="K8" s="180" cm="1">
        <f t="array" ref="K8">SUMPRODUCT(COUNTIF(Feb[If the adult has been assessed for texture-modified Food, please record the level below],Validation!$A$27:$A$31))</f>
        <v>0</v>
      </c>
      <c r="L8" s="187" cm="1">
        <f t="array" ref="L8">SUMPRODUCT(COUNTIF(Feb[If the adult has been assessed for texture-modified Fluid, please record the level below],Validation!$A$33:$A$37))</f>
        <v>0</v>
      </c>
      <c r="M8" s="186">
        <f>COUNTIFS(Feb[If Weight has been lost, is this Planned? (Yes/No)],"No",Feb[Name],"&lt;&gt;")</f>
        <v>0</v>
      </c>
      <c r="N8" s="180">
        <f>COUNTIFS(Feb[Name],"&lt;&gt;",Feb[If Weight has been lost, is this Planned? (Yes/No)],"No",Feb[Weight (kg) Difference from Highest Weight in 3 - 6 months as %],"&lt;0",Feb[Weight (kg) Difference from Highest Weight in 3 - 6 months as %],"&gt;-0.05")</f>
        <v>0</v>
      </c>
      <c r="O8" s="180">
        <f>COUNTIFS(Feb[Name],"&lt;&gt;",Feb[If Weight has been lost, is this Planned? (Yes/No)],"No",Feb[Weight (kg) Difference from Highest Weight in 3 - 6 months as %],"&lt;=-0.05",Feb[Weight (kg) Difference from Highest Weight in 3 - 6 months as %],"&gt;-0.10")</f>
        <v>0</v>
      </c>
      <c r="P8" s="187">
        <f>COUNTIFS(Feb[Name],"&lt;&gt;",Feb[If Weight has been lost, is this Planned? (Yes/No)],"No",Feb[Weight (kg) Difference from Highest Weight in 3 - 6 months as %],"&lt;=-0.10")</f>
        <v>0</v>
      </c>
      <c r="Q8" s="184">
        <f>COUNTIFS(Feb[Name],"&lt;&gt;",Feb[If Weight has been lost, is this Planned? (Yes/No)],"No",Feb[Weight (kg) Difference from Highest Weight in 3 - 6 months as %],"&lt;=-0.05",Feb[Weight (kg) Difference from Highest Weight in 3 - 6 months as %],"&gt;-0.10",Feb[Is the adult on a special/fortified diet? 
(e.g. cultural, dietary restrictions, fortified etc)
(Yes/No)],"Yes")</f>
        <v>0</v>
      </c>
      <c r="R8" s="180">
        <f>COUNTIFS(Feb[Name],"&lt;&gt;",Feb[If Weight has been lost, is this Planned? (Yes/No)],"No",Feb[Weight (kg) Difference from Highest Weight in 3 - 6 months as %],"&lt;=-0.05",Feb[Weight (kg) Difference from Highest Weight in 3 - 6 months as %],"&gt;-0.10",Feb[If the adult has been assessed for texture-modified Food, please record the level below],"&lt;&gt;")</f>
        <v>0</v>
      </c>
      <c r="S8" s="182">
        <f>COUNTIFS(Feb[Name],"&lt;&gt;",Feb[If Weight has been lost, is this Planned? (Yes/No)],"No",Feb[Weight (kg) Difference from Highest Weight in 3 - 6 months as %],"&lt;=-0.05",Feb[Weight (kg) Difference from Highest Weight in 3 - 6 months as %],"&gt;-0.10",Feb[If the adult has been assessed for texture-modified Fluid, please record the level below],"&lt;&gt;")</f>
        <v>0</v>
      </c>
      <c r="T8" s="186">
        <f>COUNTIFS(Feb[Name],"&lt;&gt;",Feb[If Weight has been lost, is this Planned? (Yes/No)],"No",Feb[Weight (kg) Difference from Highest Weight in 3 - 6 months as %],"&lt;=-0.10",Feb[Is the adult on a special/fortified diet? 
(e.g. cultural, dietary restrictions, fortified etc)
(Yes/No)],"Yes")</f>
        <v>0</v>
      </c>
      <c r="U8" s="180">
        <f>COUNTIFS(Feb[Name],"&lt;&gt;",Feb[If Weight has been lost, is this Planned? (Yes/No)],"No",Feb[Weight (kg) Difference from Highest Weight in 3 - 6 months as %],"&lt;=-0.10",Feb[If the adult has been assessed for texture-modified Food, please record the level below],"&lt;&gt;")</f>
        <v>0</v>
      </c>
      <c r="V8" s="187">
        <f>COUNTIFS(Feb[Name],"&lt;&gt;",Feb[If Weight has been lost, is this Planned? (Yes/No)],"No",Feb[Weight (kg) Difference from Highest Weight in 3 - 6 months as %],"&lt;=-0.10",Feb[If the adult has been assessed for texture-modified Fluid, please record the level below],"&lt;&gt;")</f>
        <v>0</v>
      </c>
      <c r="W8" s="94"/>
      <c r="X8" s="70"/>
      <c r="Y8" s="70"/>
      <c r="Z8" s="17"/>
    </row>
    <row r="9" spans="2:26" ht="50.1" customHeight="1" thickBot="1" x14ac:dyDescent="0.3">
      <c r="B9" s="190" t="s">
        <v>8</v>
      </c>
      <c r="C9" s="203">
        <f>COUNTA(Mar[Name])</f>
        <v>0</v>
      </c>
      <c r="D9" s="185">
        <f>COUNTIF(Mar[March BMI (kg/m2)],"&gt;20")</f>
        <v>0</v>
      </c>
      <c r="E9" s="181">
        <f>COUNTIFS(Mar[March BMI (kg/m2)], "&gt;=18.5", Mar[March BMI (kg/m2)], "&lt;=20")</f>
        <v>0</v>
      </c>
      <c r="F9" s="183">
        <f>COUNTIF(Mar[March BMI (kg/m2)],"&lt;18.5")</f>
        <v>0</v>
      </c>
      <c r="G9" s="191">
        <f>COUNTIF(Mar[[March MUST Score ]],"0")</f>
        <v>0</v>
      </c>
      <c r="H9" s="181">
        <f>COUNTIF(Mar[[March MUST Score ]],"1")</f>
        <v>0</v>
      </c>
      <c r="I9" s="183">
        <f>COUNTIF(Mar[[March MUST Score ]],"&gt;1")</f>
        <v>0</v>
      </c>
      <c r="J9" s="191">
        <f>COUNTIF(Mar[Is the adult on a special/fortified diet? 
(e.g. cultural, dietary restrictions, fortified etc)
(Yes/No)],"Yes")</f>
        <v>0</v>
      </c>
      <c r="K9" s="181" cm="1">
        <f t="array" ref="K9">SUMPRODUCT(COUNTIF(Mar[If the adult has been assessed for texture-modified Food, please record the level below],Validation!$A$27:$A$31))</f>
        <v>0</v>
      </c>
      <c r="L9" s="192" cm="1">
        <f t="array" ref="L9">SUMPRODUCT(COUNTIF(Mar[If the adult has been assessed for texture-modified Fluid, please record the level below],Validation!$A$33:$A$37))</f>
        <v>0</v>
      </c>
      <c r="M9" s="191">
        <f>COUNTIFS(May[If Weight has been lost, is this Planned? (Yes/No)],"No",May[Name],"&lt;&gt;")</f>
        <v>0</v>
      </c>
      <c r="N9" s="181">
        <f>COUNTIFS(Mar[Name],"&lt;&gt;",Mar[If Weight has been lost, is this Planned? (Yes/No)],"No",Mar[Weight (kg) Difference from Highest Weight in 3 - 6 months as %],"&lt;0",Mar[Weight (kg) Difference from Highest Weight in 3 - 6 months as %],"&gt;-0.05")</f>
        <v>0</v>
      </c>
      <c r="O9" s="181">
        <f>COUNTIFS(Mar[Name],"&lt;&gt;",Mar[If Weight has been lost, is this Planned? (Yes/No)],"No",Mar[Weight (kg) Difference from Highest Weight in 3 - 6 months as %],"&lt;=-0.05",Mar[Weight (kg) Difference from Highest Weight in 3 - 6 months as %],"&gt;-0.10")</f>
        <v>0</v>
      </c>
      <c r="P9" s="192">
        <f>COUNTIFS(Mar[Name],"&lt;&gt;",Mar[If Weight has been lost, is this Planned? (Yes/No)],"No",Mar[Weight (kg) Difference from Highest Weight in 3 - 6 months as %],"&lt;=-0.10")</f>
        <v>0</v>
      </c>
      <c r="Q9" s="185">
        <f>COUNTIFS(Mar[Name],"&lt;&gt;",Mar[If Weight has been lost, is this Planned? (Yes/No)],"No",Mar[Weight (kg) Difference from Highest Weight in 3 - 6 months as %],"&lt;=-0.05",Mar[Weight (kg) Difference from Highest Weight in 3 - 6 months as %],"&gt;-0.10",Mar[Is the adult on a special/fortified diet? 
(e.g. cultural, dietary restrictions, fortified etc)
(Yes/No)],"Yes")</f>
        <v>0</v>
      </c>
      <c r="R9" s="181">
        <f>COUNTIFS(Mar[Name],"&lt;&gt;",Mar[If Weight has been lost, is this Planned? (Yes/No)],"No",Mar[Weight (kg) Difference from Highest Weight in 3 - 6 months as %],"&lt;=-0.05",Mar[Weight (kg) Difference from Highest Weight in 3 - 6 months as %],"&gt;-0.10",Mar[If the adult has been assessed for texture-modified Food, please record the level below],"&lt;&gt;")</f>
        <v>0</v>
      </c>
      <c r="S9" s="183">
        <f>COUNTIFS(Mar[Name],"&lt;&gt;",Mar[If Weight has been lost, is this Planned? (Yes/No)],"No",Mar[Weight (kg) Difference from Highest Weight in 3 - 6 months as %],"&lt;=-0.05",Mar[Weight (kg) Difference from Highest Weight in 3 - 6 months as %],"&gt;-0.10",Mar[If the adult has been assessed for texture-modified Fluid, please record the level below],"&lt;&gt;")</f>
        <v>0</v>
      </c>
      <c r="T9" s="191">
        <f>COUNTIFS(Mar[Name],"&lt;&gt;",Mar[If Weight has been lost, is this Planned? (Yes/No)],"No",Mar[Weight (kg) Difference from Highest Weight in 3 - 6 months as %],"&lt;=-0.10",Mar[Is the adult on a special/fortified diet? 
(e.g. cultural, dietary restrictions, fortified etc)
(Yes/No)],"Yes")</f>
        <v>0</v>
      </c>
      <c r="U9" s="181">
        <f>COUNTIFS(Mar[Name],"&lt;&gt;",Mar[If Weight has been lost, is this Planned? (Yes/No)],"No",Mar[Weight (kg) Difference from Highest Weight in 3 - 6 months as %],"&lt;=-0.10",Mar[If the adult has been assessed for texture-modified Food, please record the level below],"&lt;&gt;")</f>
        <v>0</v>
      </c>
      <c r="V9" s="192">
        <f>COUNTIFS(Mar[Name],"&lt;&gt;",Mar[If Weight has been lost, is this Planned? (Yes/No)],"No",Mar[Weight (kg) Difference from Highest Weight in 3 - 6 months as %],"&lt;=-0.10",Mar[If the adult has been assessed for texture-modified Fluid, please record the level below],"&lt;&gt;")</f>
        <v>0</v>
      </c>
      <c r="W9" s="171"/>
      <c r="X9" s="172"/>
      <c r="Y9" s="172"/>
      <c r="Z9" s="19"/>
    </row>
    <row r="10" spans="2:26" ht="75" customHeight="1" thickBot="1" x14ac:dyDescent="0.3">
      <c r="B10" s="344" t="s">
        <v>197</v>
      </c>
      <c r="C10" s="345" t="e" cm="1" vm="1">
        <f t="array" ref="C10">_xlfn.LET(_xlpm.X,_xlfn.VSTACK(Jan[Name],Feb[Name],Mar[Name]),_xlpm.Clean,TRIM(_xlpm.X),_xlpm.NonBlank,_xlfn._xlws.FILTER(_xlpm.Clean,_xlpm.Clean&lt;&gt;"",_xlfn.SEQUENCE(0)),IF(ROWS(_xlpm.NonBlank)=0,0,ROWS(_xlfn.UNIQUE(UPPER(_xlpm.NonBlank)))))</f>
        <v>#VALUE!</v>
      </c>
      <c r="D10" s="346" t="e" cm="1" vm="1">
        <f t="array" ref="D10">_xlfn.LET(_xlpm.Names,_xlfn.VSTACK(Jan[Name],Feb[Name],Mar[Name]),_xlpm.BMI,_xlfn.VSTACK(Jan[January BMI (kg/m2)],Feb[February BMI (kg/m2)],Mar[March BMI (kg/m2)]),_xlpm.CleanNames,TRIM(_xlpm.Names),_xlpm.Valid,_xlfn._xlws.FILTER(_xlpm.CleanNames,(_xlpm.CleanNames&lt;&gt;"")*(_xlpm.BMI&gt;20),_xlfn.SEQUENCE(0)),IF(ROWS(_xlpm.Valid)=0,0,ROWS(_xlfn.UNIQUE(UPPER(_xlpm.Valid)))))</f>
        <v>#VALUE!</v>
      </c>
      <c r="E10" s="347" t="e" cm="1" vm="1">
        <f t="array" ref="E10">_xlfn.LET(_xlpm.Names,_xlfn.VSTACK(Jan[Name],Feb[Name],Mar[Name]),_xlpm.BMI,_xlfn.VSTACK(Jan[January BMI (kg/m2)],Feb[February BMI (kg/m2)],Mar[March BMI (kg/m2)]),_xlpm.CleanNames,TRIM(_xlpm.Names),_xlpm.Valid,_xlfn._xlws.FILTER(_xlpm.CleanNames,(_xlpm.CleanNames&lt;&gt;"")*ISNUMBER(_xlpm.BMI)*(_xlpm.BMI&gt;=18.5)*(_xlpm.BMI&lt;=20),_xlfn.SEQUENCE(0)),IF(ROWS(_xlpm.Valid)=0,0,ROWS(_xlfn.UNIQUE(UPPER(_xlpm.Valid)))))</f>
        <v>#VALUE!</v>
      </c>
      <c r="F10" s="346" t="e" cm="1" vm="1">
        <f t="array" ref="F10">_xlfn.LET(_xlpm.Names,_xlfn.VSTACK(Jan[Name],Feb[Name],Mar[Name]),_xlpm.BMI,_xlfn.VSTACK(Jan[January BMI (kg/m2)],Feb[February BMI (kg/m2)],Mar[March BMI (kg/m2)]),_xlpm.CleanNames,TRIM(_xlpm.Names),_xlpm.Valid,_xlfn._xlws.FILTER(_xlpm.CleanNames,(_xlpm.CleanNames&lt;&gt;"")*ISNUMBER(_xlpm.BMI)*(_xlpm.BMI&lt;18.5),_xlfn.SEQUENCE(0)),IF(ROWS(_xlpm.Valid)=0,0,ROWS(_xlfn.UNIQUE(UPPER(_xlpm.Valid)))))</f>
        <v>#VALUE!</v>
      </c>
      <c r="G10" s="348" t="e" cm="1" vm="1">
        <f t="array" ref="G10">_xlfn.LET(_xlpm.Names,_xlfn.VSTACK(Jan[Name],Feb[Name],Mar[Name]),_xlpm.Musts,_xlfn.VSTACK(Jan[[January MUST Score ]],Feb[[February MUST Score ]],Mar[[March MUST Score ]]),_xlpm.CleanNames,TRIM(_xlpm.Names),_xlpm.Valid,_xlfn._xlws.FILTER(_xlpm.CleanNames,(_xlpm.CleanNames&lt;&gt;"")*ISNUMBER(_xlpm.Musts)*(_xlpm.Musts=0),_xlfn.SEQUENCE(0)),IF(ROWS(_xlpm.Valid)=0,0,ROWS(_xlfn.UNIQUE(UPPER(_xlpm.Valid)))))</f>
        <v>#VALUE!</v>
      </c>
      <c r="H10" s="349" t="e" cm="1" vm="1">
        <f t="array" ref="H10">_xlfn.LET(_xlpm.Names,_xlfn.VSTACK(Jan[Name],Feb[Name],Mar[Name]),_xlpm.Musts,_xlfn.VSTACK(Jan[[January MUST Score ]],Feb[[February MUST Score ]],Mar[[March MUST Score ]]),_xlpm.CleanNames,TRIM(_xlpm.Names),_xlpm.Valid,_xlfn._xlws.FILTER(_xlpm.CleanNames,(_xlpm.CleanNames&lt;&gt;"")*ISNUMBER(_xlpm.Musts)*(_xlpm.Musts=1),_xlfn.SEQUENCE(0)),IF(ROWS(_xlpm.Valid)=0,0,ROWS(_xlfn.UNIQUE(UPPER(_xlpm.Valid)))))</f>
        <v>#VALUE!</v>
      </c>
      <c r="I10" s="349" t="e" cm="1" vm="1">
        <f t="array" ref="I10">_xlfn.LET(_xlpm.Names,_xlfn.VSTACK(Jan[Name],Feb[Name],Mar[Name]),_xlpm.Musts,_xlfn.VSTACK(Jan[[January MUST Score ]],Feb[[February MUST Score ]],Mar[[March MUST Score ]]),_xlpm.CleanNames,TRIM(_xlpm.Names),_xlpm.Valid,_xlfn._xlws.FILTER(_xlpm.CleanNames,(_xlpm.CleanNames&lt;&gt;"")*ISNUMBER(_xlpm.Musts)*(_xlpm.Musts&gt;=2),_xlfn.SEQUENCE(0)),IF(ROWS(_xlpm.Valid)=0,0,ROWS(_xlfn.UNIQUE(UPPER(_xlpm.Valid)))))</f>
        <v>#VALUE!</v>
      </c>
      <c r="J10" s="350" t="e" cm="1" vm="1">
        <f t="array" ref="J10">_xlfn.LET(_xlpm.Names,_xlfn.VSTACK(Jan[Name],Feb[Name],Mar[Name]),_xlpm.Diet,_xlfn.VSTACK(Jan[Is the adult on a special/fortified diet? (e.g. cultural, dietary restrictions, fortified etc) (Yes/No)],Feb[Is the adult on a special/fortified diet? 
(e.g. cultural, dietary restrictions, fortified etc)
(Yes/No)],Mar[Is the adult on a special/fortified diet? 
(e.g. cultural, dietary restrictions, fortified etc)
(Yes/No)]),_xlpm.Valid,_xlfn._xlws.FILTER(_xlpm.Names,(_xlpm.Names&lt;&gt;"")*(_xlpm.Diet="Yes"),_xlfn.SEQUENCE(0)),IF(ROWS(_xlpm.Valid)=0,0,ROWS(_xlfn.UNIQUE(UPPER(TRIM(_xlpm.Valid))))))</f>
        <v>#VALUE!</v>
      </c>
      <c r="K10" s="347" t="e" cm="1" vm="1">
        <f t="array" ref="K10">_xlfn.LET(_xlpm.Names,_xlfn.VSTACK(Jan[Name],Feb[Name],Mar[Name]),_xlpm.Food,_xlfn.VSTACK(Jan[If the adult has been assessed for texture-modified Food, please record the level below],Feb[If the adult has been assessed for texture-modified Food, please record the level below],Mar[If the adult has been assessed for texture-modified Food, please record the level below]),_xlpm.CleanNames,TRIM(_xlpm.Names),_xlpm.Valid,_xlfn._xlws.FILTER(_xlpm.CleanNames,(_xlpm.CleanNames&lt;&gt;"")*(_xlpm.Food&lt;&gt;""),_xlfn.SEQUENCE(0)),IF(ROWS(_xlpm.Valid)=0,0,ROWS(_xlfn.UNIQUE(UPPER(_xlpm.Valid)))))</f>
        <v>#VALUE!</v>
      </c>
      <c r="L10" s="351" t="e" cm="1" vm="1">
        <f t="array" ref="L10">_xlfn.LET(
    _xlpm.Names, _xlfn.VSTACK(Jan[Name], Feb[Name], Mar[Name]),
    _xlpm.Fluid, _xlfn.VSTACK(Jan[If the adult has been assessed for texture-modified Fluid, please record the level below],
                  Feb[If the adult has been assessed for texture-modified Fluid, please record the level below],
                  Mar[If the adult has been assessed for texture-modified Fluid, please record the level below]),
    _xlpm.CleanNames, TRIM(_xlpm.Names),
    _xlpm.Valid, _xlfn._xlws.FILTER(_xlpm.CleanNames, (_xlpm.CleanNames&lt;&gt;"") * (_xlpm.Fluid&lt;&gt;""), _xlfn.SEQUENCE(0)),
    IF(ROWS(_xlpm.Valid)=0,0,ROWS(_xlfn.UNIQUE(UPPER(_xlpm.Valid))))
)</f>
        <v>#VALUE!</v>
      </c>
      <c r="M10" s="350" t="e" cm="1" vm="1">
        <f t="array" ref="M10">_xlfn.LET(
    _xlpm.Names, _xlfn.VSTACK(Jan[Name], Feb[Name], Mar[Name]),
    _xlpm.Planned, _xlfn.VSTACK(Jan[If Weight has been lost, is this Planned? (Yes/No)],
                    Feb[If Weight has been lost, is this Planned? (Yes/No)],
                    Mar[If Weight has been lost, is this Planned? (Yes/No)]),
    _xlpm.Valid, _xlfn._xlws.FILTER(
              _xlpm.Names,
              (_xlpm.Names &lt;&gt; "") *
              (_xlpm.Planned = "No"),
              _xlfn.SEQUENCE(0)
          ),
    IF(
        ROWS(_xlpm.Valid) = 0,
        0,
        ROWS(_xlfn.UNIQUE(UPPER(TRIM(_xlpm.Valid))))
    )
)</f>
        <v>#VALUE!</v>
      </c>
      <c r="N10" s="347" cm="1">
        <f t="array" ref="N10">_xlfn.LET(
    _xlpm.N, _xlfn.VSTACK(Jan[Name], Feb[Name], Mar[Name]),
    _xlpm.P, _xlfn.VSTACK(Jan[If Weight has been lost, is this Planned? (Yes/No)],
              Feb[If Weight has been lost, is this Planned? (Yes/No)],
              Mar[If Weight has been lost, is this Planned? (Yes/No)]),
    _xlpm.R, _xlfn.VSTACK(Jan[Weight (kg) Difference from Highest Weight in 3 - 6 months as %],
              Feb[Weight (kg) Difference from Highest Weight in 3 - 6 months as %],
              Mar[Weight (kg) Difference from Highest Weight in 3 - 6 months as %]),
    _xlpm.Rn, IFERROR(--_xlpm.R, ""),
    _xlpm.V, _xlfn._xlws.FILTER(_xlpm.N,
              (_xlpm.N&lt;&gt;"") *
              (UPPER(TRIM(_xlpm.P))="NO") *
              (_xlpm.Rn&lt;0) *
              (_xlpm.Rn&gt;-0.05),
              ""),
    IF(_xlpm.V="", 0, ROWS(_xlfn.UNIQUE(UPPER(TRIM(_xlpm.V)))))
)</f>
        <v>0</v>
      </c>
      <c r="O10" s="347" t="e" cm="1" vm="1">
        <f t="array" ref="O10">_xlfn.LET(
  _xlpm.N, _xlfn.VSTACK(Jan[Name], Feb[Name], Mar[Name]),
  _xlpm.P, _xlfn.VSTACK(Jan[If Weight has been lost, is this Planned? (Yes/No)],
            Feb[If Weight has been lost, is this Planned? (Yes/No)],
            Mar[If Weight has been lost, is this Planned? (Yes/No)]),
  _xlpm.R, _xlfn.VSTACK(Jan[Weight (kg) Difference from Highest Weight in 3 - 6 months as %],
            Feb[Weight (kg) Difference from Highest Weight in 3 - 6 months as %],
            Mar[Weight (kg) Difference from Highest Weight in 3 - 6 months as %]),
  _xlpm.Rn, IFERROR(--_xlpm.R,""),
  _xlpm.V, _xlfn._xlws.FILTER(
        _xlpm.N,
        (_xlpm.N&lt;&gt;"") *
        (UPPER(TRIM(_xlpm.P))="NO") *
        (ISNUMBER(_xlpm.Rn)) *
        (_xlpm.Rn&lt;0) * (_xlpm.Rn&lt;=-0.05) * (_xlpm.Rn&gt;-0.1),
        _xlfn.SEQUENCE(0)
     ),
  IF(ROWS(_xlpm.V)=0, 0, ROWS(_xlfn.UNIQUE(UPPER(TRIM(_xlpm.V)))))
)</f>
        <v>#VALUE!</v>
      </c>
      <c r="P10" s="351" cm="1">
        <f t="array" ref="P10">_xlfn.LET(
 _xlpm.N, _xlfn.VSTACK(Jan[Name], Feb[Name], Mar[Name]),
 _xlpm.P, _xlfn.VSTACK(Jan[If Weight has been lost, is this Planned? (Yes/No)],
           Feb[If Weight has been lost, is this Planned? (Yes/No)],
           Mar[If Weight has been lost, is this Planned? (Yes/No)]),
 _xlpm.R, _xlfn.VSTACK(Jan[Weight (kg) Difference from Highest Weight in 3 - 6 months as %],
           Feb[Weight (kg) Difference from Highest Weight in 3 - 6 months as %],
           Mar[Weight (kg) Difference from Highest Weight in 3 - 6 months as %]),
 _xlpm.Rn, IFERROR(--_xlpm.R,""),
 _xlpm.V, _xlfn._xlws.FILTER(_xlpm.N,(_xlpm.N&lt;&gt;"")*(UPPER(TRIM(_xlpm.P))="NO")*(ISNUMBER(_xlpm.Rn))*(_xlpm.Rn&lt;-0.1),""),
 IF(_xlpm.V="",0,ROWS(_xlfn.UNIQUE(UPPER(TRIM(_xlpm.V)))))
)</f>
        <v>0</v>
      </c>
      <c r="Q10" s="346" cm="1">
        <f t="array" ref="Q10">_xlfn.LET(
 _xlpm.N, _xlfn.VSTACK(Jan[Name], Feb[Name], Mar[Name]),
 _xlpm.P, _xlfn.VSTACK(Jan[If Weight has been lost, is this Planned? (Yes/No)],
           Feb[If Weight has been lost, is this Planned? (Yes/No)],
           Mar[If Weight has been lost, is this Planned? (Yes/No)]),
 _xlpm.D, _xlfn.VSTACK(Jan[Is the adult on a special/fortified diet? (e.g. cultural, dietary restrictions, fortified etc) (Yes/No)],
           Feb[Is the adult on a special/fortified diet? 
(e.g. cultural, dietary restrictions, fortified etc)
(Yes/No)],
           Mar[Is the adult on a special/fortified diet? 
(e.g. cultural, dietary restrictions, fortified etc)
(Yes/No)]),
 _xlpm.R, _xlfn.VSTACK(Jan[Weight (kg) Difference from Highest Weight in 3 - 6 months as %],
           Feb[Weight (kg) Difference from Highest Weight in 3 - 6 months as %],
           Mar[Weight (kg) Difference from Highest Weight in 3 - 6 months as %]),
 _xlpm.Rn, IFERROR(--_xlpm.R, ""),
 _xlpm.V, _xlfn._xlws.FILTER(
       _xlpm.N,
       (_xlpm.N&lt;&gt;"") *
       (UPPER(TRIM(_xlpm.P))="NO") *
       (UPPER(TRIM(_xlpm.D))="YES") *
       (ISNUMBER(_xlpm.Rn)) *
       (_xlpm.Rn&lt;0) * (_xlpm.Rn&lt;=-0.05) * (_xlpm.Rn&gt;-0.1),
       ""
    ),
 IF(_xlpm.V="",0,ROWS(_xlfn.UNIQUE(UPPER(TRIM(_xlpm.V)))))
)</f>
        <v>0</v>
      </c>
      <c r="R10" s="347" cm="1">
        <f t="array" ref="R10">_xlfn.LET(
 _xlpm.N, _xlfn.VSTACK(Jan[Name], Feb[Name], Mar[Name]),
 _xlpm.P, _xlfn.VSTACK(Jan[If Weight has been lost, is this Planned? (Yes/No)],
           Feb[If Weight has been lost, is this Planned? (Yes/No)],
           Mar[If Weight has been lost, is this Planned? (Yes/No)]),
 _xlpm.F, _xlfn.VSTACK(Jan[If the adult has been assessed for texture-modified Food, please record the level below],
           Feb[If the adult has been assessed for texture-modified Food, please record the level below],
           Mar[If the adult has been assessed for texture-modified Food, please record the level below]),
 _xlpm.R, _xlfn.VSTACK(Jan[Weight (kg) Difference from Highest Weight in 3 - 6 months as %],
           Feb[Weight (kg) Difference from Highest Weight in 3 - 6 months as %],
           Mar[Weight (kg) Difference from Highest Weight in 3 - 6 months as %]),
 _xlpm.Rn, IFERROR(--_xlpm.R,""),
 _xlpm.V, _xlfn._xlws.FILTER(
       _xlpm.N,
       (_xlpm.N&lt;&gt;"") *
       (UPPER(TRIM(_xlpm.P))="NO") *
       (_xlpm.F&lt;&gt;"") *
       (ISNUMBER(_xlpm.Rn)) *
       (_xlpm.Rn&lt;0) * (_xlpm.Rn&lt;=-0.05) * (_xlpm.Rn&gt;-0.1),
       ""
     ),
 IF(_xlpm.V="",0,ROWS(_xlfn.UNIQUE(UPPER(TRIM(_xlpm.V)))))
)</f>
        <v>0</v>
      </c>
      <c r="S10" s="349" cm="1">
        <f t="array" ref="S10">_xlfn.LET(
 _xlpm.N, _xlfn.VSTACK(Jan[Name], Feb[Name], Mar[Name]),
 _xlpm.P, _xlfn.VSTACK(Jan[If Weight has been lost, is this Planned? (Yes/No)],
           Feb[If Weight has been lost, is this Planned? (Yes/No)],
           Mar[If Weight has been lost, is this Planned? (Yes/No)]),
 _xlpm.FL, _xlfn.VSTACK(Jan[If the adult has been assessed for texture-modified Fluid, please record the level below],
            Feb[If the adult has been assessed for texture-modified Fluid, please record the level below],
            Mar[If the adult has been assessed for texture-modified Fluid, please record the level below]),
 _xlpm.R, _xlfn.VSTACK(Jan[Weight (kg) Difference from Highest Weight in 3 - 6 months as %],
           Feb[Weight (kg) Difference from Highest Weight in 3 - 6 months as %],
           Mar[Weight (kg) Difference from Highest Weight in 3 - 6 months as %]),
 _xlpm.Rn, IFERROR(--_xlpm.R,""),
 _xlpm.V, _xlfn._xlws.FILTER(
       _xlpm.N,
       (_xlpm.N&lt;&gt;"") *
       (UPPER(TRIM(_xlpm.P))="NO") *
       (_xlpm.FL&lt;&gt;"") *
       (ISNUMBER(_xlpm.Rn)) *
       (_xlpm.Rn&lt;0) * (_xlpm.Rn&lt;=-0.05) * (_xlpm.Rn&gt;-0.1),
       ""
     ),
 IF(_xlpm.V="",0,ROWS(_xlfn.UNIQUE(UPPER(TRIM(_xlpm.V)))))
)</f>
        <v>0</v>
      </c>
      <c r="T10" s="350" cm="1">
        <f t="array" ref="T10">_xlfn.LET(
 _xlpm.N, _xlfn.VSTACK(Jan[Name], Feb[Name], Mar[Name]),
 _xlpm.P, _xlfn.VSTACK(Jan[If Weight has been lost, is this Planned? (Yes/No)],
           Feb[If Weight has been lost, is this Planned? (Yes/No)],
           Mar[If Weight has been lost, is this Planned? (Yes/No)]),
 _xlpm.D, _xlfn.VSTACK(Jan[Is the adult on a special/fortified diet? (e.g. cultural, dietary restrictions, fortified etc) (Yes/No)],
           Feb[Is the adult on a special/fortified diet? 
(e.g. cultural, dietary restrictions, fortified etc)
(Yes/No)],
           Mar[Is the adult on a special/fortified diet? 
(e.g. cultural, dietary restrictions, fortified etc)
(Yes/No)]),
 _xlpm.R, _xlfn.VSTACK(Jan[Weight (kg) Difference from Highest Weight in 3 - 6 months as %],
           Feb[Weight (kg) Difference from Highest Weight in 3 - 6 months as %],
           Mar[Weight (kg) Difference from Highest Weight in 3 - 6 months as %]),
 _xlpm.Rn, IFERROR(--_xlpm.R,""),
 _xlpm.V, _xlfn._xlws.FILTER(
        _xlpm.N,
        (_xlpm.N&lt;&gt;"") *
        (UPPER(TRIM(_xlpm.P))="NO") *
        (UPPER(TRIM(_xlpm.D))="YES") *
        (ISNUMBER(_xlpm.Rn)) *
        (_xlpm.Rn&lt;-0.1),
        ""
     ),
 IF(_xlpm.V="",0,ROWS(_xlfn.UNIQUE(UPPER(TRIM(_xlpm.V)))))
)</f>
        <v>0</v>
      </c>
      <c r="U10" s="347" cm="1">
        <f t="array" ref="U10">_xlfn.LET(
 _xlpm.N, _xlfn.VSTACK(Jan[Name], Feb[Name], Mar[Name]),
 _xlpm.P, _xlfn.VSTACK(Jan[If Weight has been lost, is this Planned? (Yes/No)],
           Feb[If Weight has been lost, is this Planned? (Yes/No)],
           Mar[If Weight has been lost, is this Planned? (Yes/No)]),
 _xlpm.F, _xlfn.VSTACK(Jan[If the adult has been assessed for texture-modified Food, please record the level below],
           Feb[If the adult has been assessed for texture-modified Food, please record the level below],
           Mar[If the adult has been assessed for texture-modified Food, please record the level below]),
 _xlpm.R, _xlfn.VSTACK(Jan[Weight (kg) Difference from Highest Weight in 3 - 6 months as %],
           Feb[Weight (kg) Difference from Highest Weight in 3 - 6 months as %],
           Mar[Weight (kg) Difference from Highest Weight in 3 - 6 months as %]),
 _xlpm.Rn, IFERROR(--_xlpm.R,""),
 _xlpm.V, _xlfn._xlws.FILTER(_xlpm.N,
           (_xlpm.N&lt;&gt;"") *
           (UPPER(TRIM(_xlpm.P))="NO") *
           (_xlpm.F&lt;&gt;"") *
           (ISNUMBER(_xlpm.Rn)) *
           (_xlpm.Rn&lt;-0.1),
           ""),
 IF(_xlpm.V="",0,ROWS(_xlfn.UNIQUE(UPPER(TRIM(_xlpm.V)))))
)</f>
        <v>0</v>
      </c>
      <c r="V10" s="351" cm="1">
        <f t="array" ref="V10">_xlfn.LET(
 _xlpm.N, _xlfn.VSTACK(Jan[Name], Feb[Name], Mar[Name]),
 _xlpm.P, _xlfn.VSTACK(Jan[If Weight has been lost, is this Planned? (Yes/No)],
           Feb[If Weight has been lost, is this Planned? (Yes/No)],
           Mar[If Weight has been lost, is this Planned? (Yes/No)]),
 _xlpm.FL, _xlfn.VSTACK(Jan[If the adult has been assessed for texture-modified Fluid, please record the level below],
            Feb[If the adult has been assessed for texture-modified Fluid, please record the level below],
            Mar[If the adult has been assessed for texture-modified Fluid, please record the level below]),
 _xlpm.R, _xlfn.VSTACK(Jan[Weight (kg) Difference from Highest Weight in 3 - 6 months as %],
           Feb[Weight (kg) Difference from Highest Weight in 3 - 6 months as %],
           Mar[Weight (kg) Difference from Highest Weight in 3 - 6 months as %]),
 _xlpm.Rn, IFERROR(--_xlpm.R,""),
 _xlpm.V, _xlfn._xlws.FILTER(
       _xlpm.N,
       (_xlpm.N&lt;&gt;"") *
       (UPPER(TRIM(_xlpm.P))="NO") *
       (_xlpm.FL&lt;&gt;"") *
       (ISNUMBER(_xlpm.Rn)) *
       (_xlpm.Rn&lt;-0.1),
       ""
     ),
 IF(_xlpm.V="",0,ROWS(_xlfn.UNIQUE(UPPER(TRIM(_xlpm.V)))))
)</f>
        <v>0</v>
      </c>
      <c r="W10" s="352"/>
      <c r="X10" s="353"/>
      <c r="Y10" s="353"/>
      <c r="Z10" s="354"/>
    </row>
    <row r="11" spans="2:26" ht="50.1" customHeight="1" x14ac:dyDescent="0.25">
      <c r="B11" s="188" t="s">
        <v>9</v>
      </c>
      <c r="C11" s="201">
        <f>COUNTA(Apr[Name])</f>
        <v>0</v>
      </c>
      <c r="D11" s="193">
        <f>COUNTIF(Apr[April BMI (kg/m2)],"&gt;20")</f>
        <v>0</v>
      </c>
      <c r="E11" s="194">
        <f>COUNTIFS(Apr[April BMI (kg/m2)], "&gt;=18.5", Apr[April BMI (kg/m2)], "&lt;=20")</f>
        <v>0</v>
      </c>
      <c r="F11" s="195">
        <f>COUNTIF(Apr[April BMI (kg/m2)],"&lt;18.5")</f>
        <v>0</v>
      </c>
      <c r="G11" s="196">
        <f>COUNTIF(Apr[[April MUST Score ]],"0")</f>
        <v>0</v>
      </c>
      <c r="H11" s="194">
        <f>COUNTIF(Apr[[April MUST Score ]],"1")</f>
        <v>0</v>
      </c>
      <c r="I11" s="195">
        <f>COUNTIF(Apr[[April MUST Score ]],"&gt;1")</f>
        <v>0</v>
      </c>
      <c r="J11" s="196">
        <f>COUNTIF(Apr[Is the adult on a special/fortified diet? 
(e.g. cultural, dietary restrictions, fortified etc)
(Yes/No)],"Yes")</f>
        <v>0</v>
      </c>
      <c r="K11" s="194" cm="1">
        <f t="array" ref="K11">SUMPRODUCT(COUNTIF(Apr[If the adult has been assessed for texture-modified Food, please record the level below],Validation!$A$27:$A$31))</f>
        <v>0</v>
      </c>
      <c r="L11" s="197" cm="1">
        <f t="array" ref="L11">SUMPRODUCT(COUNTIF(Apr[If the adult has been assessed for texture-modified Fluid, please record the level below],Validation!$A$33:$A$37))</f>
        <v>0</v>
      </c>
      <c r="M11" s="196">
        <f>COUNTIFS(Apr[If Weight has been lost, is this Planned? (Yes/No)],"No",Apr[Name],"&lt;&gt;")</f>
        <v>0</v>
      </c>
      <c r="N11" s="194">
        <f>COUNTIFS(Apr[Name],"&lt;&gt;",Apr[If Weight has been lost, is this Planned? (Yes/No)],"No",Apr[Weight (kg) Difference from Highest Weight in 3 - 6 months as %],"&lt;0",Apr[Weight (kg) Difference from Highest Weight in 3 - 6 months as %],"&gt;-0.05")</f>
        <v>0</v>
      </c>
      <c r="O11" s="194">
        <f>COUNTIFS(Apr[Name],"&lt;&gt;",Apr[If Weight has been lost, is this Planned? (Yes/No)],"No",Apr[Weight (kg) Difference from Highest Weight in 3 - 6 months as %],"&lt;=-0.05",Apr[Weight (kg) Difference from Highest Weight in 3 - 6 months as %],"&gt;-0.10")</f>
        <v>0</v>
      </c>
      <c r="P11" s="197">
        <f>COUNTIFS(Apr[Name],"&lt;&gt;",Apr[If Weight has been lost, is this Planned? (Yes/No)],"No",Apr[Weight (kg) Difference from Highest Weight in 3 - 6 months as %],"&lt;=-0.10")</f>
        <v>0</v>
      </c>
      <c r="Q11" s="193">
        <f>COUNTIFS(Apr[Name],"&lt;&gt;",Apr[If Weight has been lost, is this Planned? (Yes/No)],"No",Apr[Weight (kg) Difference from Highest Weight in 3 - 6 months as %],"&lt;=-0.05",Apr[Weight (kg) Difference from Highest Weight in 3 - 6 months as %],"&gt;-0.10",Apr[Is the adult on a special/fortified diet? 
(e.g. cultural, dietary restrictions, fortified etc)
(Yes/No)],"Yes")</f>
        <v>0</v>
      </c>
      <c r="R11" s="194">
        <f>COUNTIFS(Apr[Name],"&lt;&gt;",Apr[If Weight has been lost, is this Planned? (Yes/No)],"No",Apr[Weight (kg) Difference from Highest Weight in 3 - 6 months as %],"&lt;=-0.05",Apr[Weight (kg) Difference from Highest Weight in 3 - 6 months as %],"&gt;-0.10",Apr[If the adult has been assessed for texture-modified Food, please record the level below],"&lt;&gt;")</f>
        <v>0</v>
      </c>
      <c r="S11" s="195">
        <f>COUNTIFS(Apr[Name],"&lt;&gt;",Apr[If Weight has been lost, is this Planned? (Yes/No)],"No",Apr[Weight (kg) Difference from Highest Weight in 3 - 6 months as %],"&lt;=-0.05",Apr[Weight (kg) Difference from Highest Weight in 3 - 6 months as %],"&gt;-0.10",Apr[If the adult has been assessed for texture-modified Fluid, please record the level below],"&lt;&gt;")</f>
        <v>0</v>
      </c>
      <c r="T11" s="196">
        <f>COUNTIFS(Apr[Name],"&lt;&gt;",Apr[If Weight has been lost, is this Planned? (Yes/No)],"No",Apr[Weight (kg) Difference from Highest Weight in 3 - 6 months as %],"&lt;=-0.10",Apr[Is the adult on a special/fortified diet? 
(e.g. cultural, dietary restrictions, fortified etc)
(Yes/No)],"Yes")</f>
        <v>0</v>
      </c>
      <c r="U11" s="194">
        <f>COUNTIFS(Apr[Name],"&lt;&gt;",Apr[If Weight has been lost, is this Planned? (Yes/No)],"No",Apr[Weight (kg) Difference from Highest Weight in 3 - 6 months as %],"&lt;=-0.10",Apr[If the adult has been assessed for texture-modified Food, please record the level below],"&lt;&gt;")</f>
        <v>0</v>
      </c>
      <c r="V11" s="197">
        <f>COUNTIFS(Apr[Name],"&lt;&gt;",Apr[If Weight has been lost, is this Planned? (Yes/No)],"No",Apr[Weight (kg) Difference from Highest Weight in 3 - 6 months as %],"&lt;=-0.10",Apr[If the adult has been assessed for texture-modified Fluid, please record the level below],"&lt;&gt;")</f>
        <v>0</v>
      </c>
      <c r="W11" s="170"/>
      <c r="X11" s="66"/>
      <c r="Y11" s="66"/>
      <c r="Z11" s="22"/>
    </row>
    <row r="12" spans="2:26" ht="50.1" customHeight="1" x14ac:dyDescent="0.25">
      <c r="B12" s="189" t="s">
        <v>10</v>
      </c>
      <c r="C12" s="202">
        <f>COUNTA(May[Name])</f>
        <v>0</v>
      </c>
      <c r="D12" s="184">
        <f>COUNTIF(May[May BMI (kg/m2)],"&gt;20")</f>
        <v>0</v>
      </c>
      <c r="E12" s="180">
        <f>COUNTIFS(May[May BMI (kg/m2)], "&gt;=18.5", May[May BMI (kg/m2)], "&lt;=20")</f>
        <v>0</v>
      </c>
      <c r="F12" s="182">
        <f>COUNTIF(May[May BMI (kg/m2)],"&lt;18.5")</f>
        <v>0</v>
      </c>
      <c r="G12" s="186">
        <f>COUNTIF(May[[May MUST Score ]],"0")</f>
        <v>0</v>
      </c>
      <c r="H12" s="180">
        <f>COUNTIF(May[[May MUST Score ]],"1")</f>
        <v>0</v>
      </c>
      <c r="I12" s="182">
        <f>COUNTIF(May[[May MUST Score ]],"&gt;1")</f>
        <v>0</v>
      </c>
      <c r="J12" s="186">
        <f>COUNTIF(May[Is the adult on a special/fortified diet? 
(e.g. cultural, dietary restrictions, fortified etc)
(Yes/No)],"Yes")</f>
        <v>0</v>
      </c>
      <c r="K12" s="180" cm="1">
        <f t="array" ref="K12">SUMPRODUCT(COUNTIF(May[If the adult has been assessed for texture-modified Food, please record the level below],Validation!$A$27:$A$31))</f>
        <v>0</v>
      </c>
      <c r="L12" s="187" cm="1">
        <f t="array" ref="L12">SUMPRODUCT(COUNTIF(May[If the adult has been assessed for texture-modified Fluid, please record the level below],Validation!$A$33:$A$37))</f>
        <v>0</v>
      </c>
      <c r="M12" s="186">
        <f>COUNTIFS(May[If Weight has been lost, is this Planned? (Yes/No)],"No",May[Name],"&lt;&gt;")</f>
        <v>0</v>
      </c>
      <c r="N12" s="180">
        <f>COUNTIFS(May[Name],"&lt;&gt;",May[If Weight has been lost, is this Planned? (Yes/No)],"No",May[Weight (kg) Difference from Highest Weight in 3 - 6 months as %],"&lt;0",May[Weight (kg) Difference from Highest Weight in 3 - 6 months as %],"&gt;-0.05")</f>
        <v>0</v>
      </c>
      <c r="O12" s="180">
        <f>COUNTIFS(May[Name],"&lt;&gt;",May[If Weight has been lost, is this Planned? (Yes/No)],"No",May[Weight (kg) Difference from Highest Weight in 3 - 6 months as %],"&lt;=-0.05",May[Weight (kg) Difference from Highest Weight in 3 - 6 months as %],"&gt;-0.10")</f>
        <v>0</v>
      </c>
      <c r="P12" s="187">
        <f>COUNTIFS(May[Name],"&lt;&gt;",May[If Weight has been lost, is this Planned? (Yes/No)],"No",May[Weight (kg) Difference from Highest Weight in 3 - 6 months as %],"&lt;=-0.10")</f>
        <v>0</v>
      </c>
      <c r="Q12" s="184">
        <f>COUNTIFS(May[Name],"&lt;&gt;",May[If Weight has been lost, is this Planned? (Yes/No)],"No",May[Weight (kg) Difference from Highest Weight in 3 - 6 months as %],"&lt;=-0.05",May[Weight (kg) Difference from Highest Weight in 3 - 6 months as %],"&gt;-0.10",May[Is the adult on a special/fortified diet? 
(e.g. cultural, dietary restrictions, fortified etc)
(Yes/No)],"Yes")</f>
        <v>0</v>
      </c>
      <c r="R12" s="180">
        <f>COUNTIFS(May[Name],"&lt;&gt;",May[If Weight has been lost, is this Planned? (Yes/No)],"No",May[Weight (kg) Difference from Highest Weight in 3 - 6 months as %],"&lt;=-0.05",May[Weight (kg) Difference from Highest Weight in 3 - 6 months as %],"&gt;-0.10",May[If the adult has been assessed for texture-modified Food, please record the level below],"&lt;&gt;")</f>
        <v>0</v>
      </c>
      <c r="S12" s="182">
        <f>COUNTIFS(May[Name],"&lt;&gt;",May[If Weight has been lost, is this Planned? (Yes/No)],"No",May[Weight (kg) Difference from Highest Weight in 3 - 6 months as %],"&lt;=-0.05",May[Weight (kg) Difference from Highest Weight in 3 - 6 months as %],"&gt;-0.10",May[If the adult has been assessed for texture-modified Fluid, please record the level below],"&lt;&gt;")</f>
        <v>0</v>
      </c>
      <c r="T12" s="186">
        <f>COUNTIFS(May[Name],"&lt;&gt;",May[If Weight has been lost, is this Planned? (Yes/No)],"No",May[Weight (kg) Difference from Highest Weight in 3 - 6 months as %],"&lt;=-0.10",May[Is the adult on a special/fortified diet? 
(e.g. cultural, dietary restrictions, fortified etc)
(Yes/No)],"Yes")</f>
        <v>0</v>
      </c>
      <c r="U12" s="180">
        <f>COUNTIFS(May[Name],"&lt;&gt;",May[If Weight has been lost, is this Planned? (Yes/No)],"No",May[Weight (kg) Difference from Highest Weight in 3 - 6 months as %],"&lt;=-0.10",May[If the adult has been assessed for texture-modified Food, please record the level below],"&lt;&gt;")</f>
        <v>0</v>
      </c>
      <c r="V12" s="187">
        <f>COUNTIFS(May[Name],"&lt;&gt;",May[If Weight has been lost, is this Planned? (Yes/No)],"No",May[Weight (kg) Difference from Highest Weight in 3 - 6 months as %],"&lt;=-0.10",May[If the adult has been assessed for texture-modified Fluid, please record the level below],"&lt;&gt;")</f>
        <v>0</v>
      </c>
      <c r="W12" s="94"/>
      <c r="X12" s="70"/>
      <c r="Y12" s="70"/>
      <c r="Z12" s="17"/>
    </row>
    <row r="13" spans="2:26" ht="50.1" customHeight="1" thickBot="1" x14ac:dyDescent="0.3">
      <c r="B13" s="190" t="s">
        <v>11</v>
      </c>
      <c r="C13" s="203">
        <f>COUNTA(Jun[Name])</f>
        <v>0</v>
      </c>
      <c r="D13" s="185">
        <f>COUNTIF(Jun[June BMI (kg/m2)],"&gt;20")</f>
        <v>0</v>
      </c>
      <c r="E13" s="181">
        <f>COUNTIFS(Jun[June BMI (kg/m2)], "&gt;=18.5", Jun[June BMI (kg/m2)], "&lt;=20")</f>
        <v>0</v>
      </c>
      <c r="F13" s="183">
        <f>COUNTIF(Jun[June BMI (kg/m2)],"&lt;18.5")</f>
        <v>0</v>
      </c>
      <c r="G13" s="191">
        <f>COUNTIF(Jun[[June MUST Score ]],"0")</f>
        <v>0</v>
      </c>
      <c r="H13" s="181">
        <f>COUNTIF(Jun[[June MUST Score ]],"1")</f>
        <v>0</v>
      </c>
      <c r="I13" s="183">
        <f>COUNTIF(Jun[[June MUST Score ]],"&gt;1")</f>
        <v>0</v>
      </c>
      <c r="J13" s="191">
        <f>COUNTIF(Jun[Is the adult on a special/fortified diet? 
(e.g. cultural, dietary restrictions, fortified etc)
(Yes/No)],"Yes")</f>
        <v>0</v>
      </c>
      <c r="K13" s="181" cm="1">
        <f t="array" ref="K13">SUMPRODUCT(COUNTIF(Jun[If the adult has been assessed for texture-modified Food, please record the level below],Validation!$A$27:$A$31))</f>
        <v>0</v>
      </c>
      <c r="L13" s="192" cm="1">
        <f t="array" ref="L13">SUMPRODUCT(COUNTIF(Jun[If the adult has been assessed for texture-modified Fluid, please record the level below],Validation!$A$33:$A$37))</f>
        <v>0</v>
      </c>
      <c r="M13" s="191">
        <f>COUNTIFS(Jun[If Weight has been lost, is this Planned? (Yes/No)],"No",Jun[Name],"&lt;&gt;")</f>
        <v>0</v>
      </c>
      <c r="N13" s="181">
        <f>COUNTIFS(Jun[Name],"&lt;&gt;",Jun[If Weight has been lost, is this Planned? (Yes/No)],"No",Jun[Weight (kg) Difference from Highest Weight in 3 - 6 months as %],"&lt;0",Jun[Weight (kg) Difference from Highest Weight in 3 - 6 months as %],"&gt;-0.05")</f>
        <v>0</v>
      </c>
      <c r="O13" s="181">
        <f>COUNTIFS(Jun[Name],"&lt;&gt;",Jun[If Weight has been lost, is this Planned? (Yes/No)],"No",Jun[Weight (kg) Difference from Highest Weight in 3 - 6 months as %],"&lt;=-0.05",Jun[Weight (kg) Difference from Highest Weight in 3 - 6 months as %],"&gt;-0.10")</f>
        <v>0</v>
      </c>
      <c r="P13" s="192">
        <f>COUNTIFS(Jun[Name],"&lt;&gt;",Jun[If Weight has been lost, is this Planned? (Yes/No)],"No",Jun[Weight (kg) Difference from Highest Weight in 3 - 6 months as %],"&lt;=-0.10")</f>
        <v>0</v>
      </c>
      <c r="Q13" s="185">
        <f>COUNTIFS(Jun[Name],"&lt;&gt;",Jun[If Weight has been lost, is this Planned? (Yes/No)],"No",Jun[Weight (kg) Difference from Highest Weight in 3 - 6 months as %],"&lt;=-0.05",Jun[Weight (kg) Difference from Highest Weight in 3 - 6 months as %],"&gt;-0.10",Jun[Is the adult on a special/fortified diet? 
(e.g. cultural, dietary restrictions, fortified etc)
(Yes/No)],"Yes")</f>
        <v>0</v>
      </c>
      <c r="R13" s="181">
        <f>COUNTIFS(Jun[Name],"&lt;&gt;",Jun[If Weight has been lost, is this Planned? (Yes/No)],"No",Jun[Weight (kg) Difference from Highest Weight in 3 - 6 months as %],"&lt;=-0.05",Jun[Weight (kg) Difference from Highest Weight in 3 - 6 months as %],"&gt;-0.10",Jun[If the adult has been assessed for texture-modified Food, please record the level below],"&lt;&gt;")</f>
        <v>0</v>
      </c>
      <c r="S13" s="183">
        <f>COUNTIFS(Jun[Name],"&lt;&gt;",Jun[If Weight has been lost, is this Planned? (Yes/No)],"No",Jun[Weight (kg) Difference from Highest Weight in 3 - 6 months as %],"&lt;=-0.05",Jun[Weight (kg) Difference from Highest Weight in 3 - 6 months as %],"&gt;-0.10",Jun[If the adult has been assessed for texture-modified Fluid, please record the level below],"&lt;&gt;")</f>
        <v>0</v>
      </c>
      <c r="T13" s="191">
        <f>COUNTIFS(Jun[Name],"&lt;&gt;",Jun[If Weight has been lost, is this Planned? (Yes/No)],"No",Jun[Weight (kg) Difference from Highest Weight in 3 - 6 months as %],"&lt;=-0.10",Jun[Is the adult on a special/fortified diet? 
(e.g. cultural, dietary restrictions, fortified etc)
(Yes/No)],"Yes")</f>
        <v>0</v>
      </c>
      <c r="U13" s="181">
        <f>COUNTIFS(Jun[Name],"&lt;&gt;",Jun[If Weight has been lost, is this Planned? (Yes/No)],"No",Jun[Weight (kg) Difference from Highest Weight in 3 - 6 months as %],"&lt;=-0.10",Jun[If the adult has been assessed for texture-modified Food, please record the level below],"&lt;&gt;")</f>
        <v>0</v>
      </c>
      <c r="V13" s="192">
        <f>COUNTIFS(Jun[Name],"&lt;&gt;",Jun[If Weight has been lost, is this Planned? (Yes/No)],"No",Jun[Weight (kg) Difference from Highest Weight in 3 - 6 months as %],"&lt;=-0.10",Jun[If the adult has been assessed for texture-modified Fluid, please record the level below],"&lt;&gt;")</f>
        <v>0</v>
      </c>
      <c r="W13" s="171"/>
      <c r="X13" s="172"/>
      <c r="Y13" s="172"/>
      <c r="Z13" s="19"/>
    </row>
    <row r="14" spans="2:26" ht="75" customHeight="1" thickBot="1" x14ac:dyDescent="0.3">
      <c r="B14" s="344" t="s">
        <v>198</v>
      </c>
      <c r="C14" s="345" t="e" cm="1" vm="1">
        <f t="array" ref="C14">_xlfn.LET(_xlpm.X,_xlfn.VSTACK(Apr[Name],May[Name],Jun[Name]),_xlpm.Clean,TRIM(_xlpm.X),_xlpm.NonBlank,_xlfn._xlws.FILTER(_xlpm.Clean,_xlpm.Clean&lt;&gt;"",_xlfn.SEQUENCE(0)),IF(ROWS(_xlpm.NonBlank)=0,0,ROWS(_xlfn.UNIQUE(UPPER(_xlpm.NonBlank)))))</f>
        <v>#VALUE!</v>
      </c>
      <c r="D14" s="346" t="e" cm="1" vm="1">
        <f t="array" ref="D14">_xlfn.LET(_xlpm.Names,_xlfn.VSTACK(Apr[Name],May[Name],Jun[Name]),_xlpm.BMI,_xlfn.VSTACK(Apr[April BMI (kg/m2)],May[May BMI (kg/m2)],Jun[June BMI (kg/m2)]),_xlpm.CleanNames,TRIM(_xlpm.Names),_xlpm.Valid,_xlfn._xlws.FILTER(_xlpm.CleanNames,(_xlpm.CleanNames&lt;&gt;"")*(_xlpm.BMI&gt;20),_xlfn.SEQUENCE(0)),IF(ROWS(_xlpm.Valid)=0,0,ROWS(_xlfn.UNIQUE(UPPER(_xlpm.Valid)))))</f>
        <v>#VALUE!</v>
      </c>
      <c r="E14" s="347" t="e" cm="1" vm="1">
        <f t="array" ref="E14">_xlfn.LET(_xlpm.Names,_xlfn.VSTACK(Apr[Name],May[Name],Jun[Name]),_xlpm.BMI,_xlfn.VSTACK(Apr[April BMI (kg/m2)],May[May BMI (kg/m2)],Jun[June BMI (kg/m2)]),_xlpm.CleanNames,TRIM(_xlpm.Names),_xlpm.Valid,_xlfn._xlws.FILTER(_xlpm.CleanNames,(_xlpm.CleanNames&lt;&gt;"")*ISNUMBER(_xlpm.BMI)*(_xlpm.BMI&gt;=18.5)*(_xlpm.BMI&lt;=20),_xlfn.SEQUENCE(0)),IF(ROWS(_xlpm.Valid)=0,0,ROWS(_xlfn.UNIQUE(UPPER(_xlpm.Valid)))))</f>
        <v>#VALUE!</v>
      </c>
      <c r="F14" s="346" t="e" cm="1" vm="1">
        <f t="array" ref="F14">_xlfn.LET(_xlpm.Names,_xlfn.VSTACK(Apr[Name],May[Name],Jun[Name]),_xlpm.BMI,_xlfn.VSTACK(Apr[April BMI (kg/m2)],May[May BMI (kg/m2)],Jun[June BMI (kg/m2)]),_xlpm.CleanNames,TRIM(_xlpm.Names),_xlpm.Valid,_xlfn._xlws.FILTER(_xlpm.CleanNames,(_xlpm.CleanNames&lt;&gt;"")*ISNUMBER(_xlpm.BMI)*(_xlpm.BMI&lt;18.5),_xlfn.SEQUENCE(0)),IF(ROWS(_xlpm.Valid)=0,0,ROWS(_xlfn.UNIQUE(UPPER(_xlpm.Valid)))))</f>
        <v>#VALUE!</v>
      </c>
      <c r="G14" s="348" t="e" cm="1" vm="1">
        <f t="array" ref="G14">_xlfn.LET(_xlpm.Names,_xlfn.VSTACK(Apr[Name],May[Name],Jun[Name]),_xlpm.Musts,_xlfn.VSTACK(Apr[[April MUST Score ]],May[[May MUST Score ]],Jun[[June MUST Score ]]),_xlpm.CleanNames,TRIM(_xlpm.Names),_xlpm.Valid,_xlfn._xlws.FILTER(_xlpm.CleanNames,(_xlpm.CleanNames&lt;&gt;"")*ISNUMBER(_xlpm.Musts)*(_xlpm.Musts=0),_xlfn.SEQUENCE(0)),IF(ROWS(_xlpm.Valid)=0,0,ROWS(_xlfn.UNIQUE(UPPER(_xlpm.Valid)))))</f>
        <v>#VALUE!</v>
      </c>
      <c r="H14" s="347" t="e" cm="1" vm="1">
        <f t="array" ref="H14">_xlfn.LET(_xlpm.Names,_xlfn.VSTACK(Apr[Name],May[Name],Jun[Name]),_xlpm.Musts,_xlfn.VSTACK(Apr[[April MUST Score ]],May[[May MUST Score ]],Jun[[June MUST Score ]]),_xlpm.CleanNames,TRIM(_xlpm.Names),_xlpm.Valid,_xlfn._xlws.FILTER(_xlpm.CleanNames,(_xlpm.CleanNames&lt;&gt;"")*ISNUMBER(_xlpm.Musts)*(_xlpm.Musts=1),_xlfn.SEQUENCE(0)),IF(ROWS(_xlpm.Valid)=0,0,ROWS(_xlfn.UNIQUE(UPPER(_xlpm.Valid)))))</f>
        <v>#VALUE!</v>
      </c>
      <c r="I14" s="349" t="e" cm="1" vm="1">
        <f t="array" ref="I14">_xlfn.LET(_xlpm.Names,_xlfn.VSTACK(Apr[Name],May[Name],Jun[Name]),_xlpm.Musts,_xlfn.VSTACK(Apr[[April MUST Score ]],May[[May MUST Score ]],Jun[[June MUST Score ]]),_xlpm.CleanNames,TRIM(_xlpm.Names),_xlpm.Valid,_xlfn._xlws.FILTER(_xlpm.CleanNames,(_xlpm.CleanNames&lt;&gt;"")*ISNUMBER(_xlpm.Musts)*(_xlpm.Musts&gt;=2),_xlfn.SEQUENCE(0)),IF(ROWS(_xlpm.Valid)=0,0,ROWS(_xlfn.UNIQUE(UPPER(_xlpm.Valid)))))</f>
        <v>#VALUE!</v>
      </c>
      <c r="J14" s="350" t="e" cm="1" vm="1">
        <f t="array" ref="J14">_xlfn.LET(_xlpm.Names,_xlfn.VSTACK(Apr[Name],May[Name],Jun[Name]),_xlpm.Diet,_xlfn.VSTACK(Apr[Is the adult on a special/fortified diet? 
(e.g. cultural, dietary restrictions, fortified etc)
(Yes/No)],May[Is the adult on a special/fortified diet? 
(e.g. cultural, dietary restrictions, fortified etc)
(Yes/No)],Jun[Is the adult on a special/fortified diet? 
(e.g. cultural, dietary restrictions, fortified etc)
(Yes/No)]),_xlpm.Valid,_xlfn._xlws.FILTER(_xlpm.Names,(_xlpm.Names&lt;&gt;"")*(_xlpm.Diet="Yes"),_xlfn.SEQUENCE(0)),IF(ROWS(_xlpm.Valid)=0,0,ROWS(_xlfn.UNIQUE(UPPER(TRIM(_xlpm.Valid))))))</f>
        <v>#VALUE!</v>
      </c>
      <c r="K14" s="347" t="e" cm="1" vm="1">
        <f t="array" ref="K14">_xlfn.LET(
    _xlpm.Names, _xlfn.VSTACK(Apr[Name], May[Name], Jun[Name]),
    _xlpm.Food,  _xlfn.VSTACK(Apr[If the adult has been assessed for texture-modified Food, please record the level below],
                  May[If the adult has been assessed for texture-modified Food, please record the level below],
                  Jun[If the adult has been assessed for texture-modified Food, please record the level below]),
    _xlpm.CleanNames, TRIM(_xlpm.Names),
    _xlpm.Valid, _xlfn._xlws.FILTER(_xlpm.CleanNames, (_xlpm.CleanNames&lt;&gt;"") * (_xlpm.Food&lt;&gt;""), _xlfn.SEQUENCE(0)),
    IF(ROWS(_xlpm.Valid)=0,0,ROWS(_xlfn.UNIQUE(UPPER(_xlpm.Valid)))))</f>
        <v>#VALUE!</v>
      </c>
      <c r="L14" s="351" t="e" cm="1" vm="1">
        <f t="array" ref="L14">_xlfn.LET(
    _xlpm.Names, _xlfn.VSTACK(Apr[Name], May[Name], Jun[Name]),
    _xlpm.Fluid, _xlfn.VSTACK(Apr[If the adult has been assessed for texture-modified Fluid, please record the level below],
                  May[If the adult has been assessed for texture-modified Fluid, please record the level below],
                  Jun[If the adult has been assessed for texture-modified Fluid, please record the level below]),
    _xlpm.CleanNames, TRIM(_xlpm.Names),
    _xlpm.Valid, _xlfn._xlws.FILTER(_xlpm.CleanNames, (_xlpm.CleanNames&lt;&gt;"") * (_xlpm.Fluid&lt;&gt;""), _xlfn.SEQUENCE(0)),
    IF(ROWS(_xlpm.Valid)=0,0,ROWS(_xlfn.UNIQUE(UPPER(_xlpm.Valid))))
)</f>
        <v>#VALUE!</v>
      </c>
      <c r="M14" s="350" t="e" cm="1" vm="1">
        <f t="array" ref="M14">_xlfn.LET(
    _xlpm.Names, _xlfn.VSTACK(Apr[Name], May[Name], Jun[Name]),
    _xlpm.Planned, _xlfn.VSTACK(Apr[If Weight has been lost, is this Planned? (Yes/No)],
                    May[If Weight has been lost, is this Planned? (Yes/No)],
                    Jun[If Weight has been lost, is this Planned? (Yes/No)]),
    _xlpm.Valid, _xlfn._xlws.FILTER(_xlpm.Names, (_xlpm.Names&lt;&gt;"") * (_xlpm.Planned="No"), _xlfn.SEQUENCE(0)),
IF(ROWS(_xlpm.Valid)=0,0,ROWS(_xlfn.UNIQUE(UPPER(TRIM(_xlpm.Valid)))))
)</f>
        <v>#VALUE!</v>
      </c>
      <c r="N14" s="347" cm="1">
        <f t="array" ref="N14">_xlfn.LET(
 _xlpm.N, _xlfn.VSTACK(Apr[Name], May[Name], Jun[Name]),
 _xlpm.P, _xlfn.VSTACK(Apr[If Weight has been lost, is this Planned? (Yes/No)],
           May[If Weight has been lost, is this Planned? (Yes/No)],
           Jun[If Weight has been lost, is this Planned? (Yes/No)]),
 _xlpm.R, _xlfn.VSTACK(Apr[Weight (kg) Difference from Highest Weight in 3 - 6 months as %],
           May[Weight (kg) Difference from Highest Weight in 3 - 6 months as %],
           Jun[Weight (kg) Difference from Highest Weight in 3 - 6 months as %]),
 _xlpm.Rn, IFERROR(--_xlpm.R, ""),
 _xlpm.V, _xlfn._xlws.FILTER(_xlpm.N, (_xlpm.N&lt;&gt;"")*(UPPER(TRIM(_xlpm.P))="NO")*(_xlpm.Rn&lt;0)*(_xlpm.Rn&gt;-0.05), ""),
 IF(_xlpm.V="",0,ROWS(_xlfn.UNIQUE(UPPER(TRIM(_xlpm.V)))))
)</f>
        <v>0</v>
      </c>
      <c r="O14" s="347" t="e" cm="1" vm="1">
        <f t="array" ref="O14">_xlfn.LET(
  _xlpm.N, _xlfn.VSTACK(Apr[Name], May[Name], Jun[Name]),
  _xlpm.P, _xlfn.VSTACK(Apr[If Weight has been lost, is this Planned? (Yes/No)],
            May[If Weight has been lost, is this Planned? (Yes/No)],
            Jun[If Weight has been lost, is this Planned? (Yes/No)]),
  _xlpm.R, _xlfn.VSTACK(Apr[Weight (kg) Difference from Highest Weight in 3 - 6 months as %],
            May[Weight (kg) Difference from Highest Weight in 3 - 6 months as %],
            Jun[Weight (kg) Difference from Highest Weight in 3 - 6 months as %]),
  _xlpm.Rn, IFERROR(--_xlpm.R,""),
  _xlpm.V, _xlfn._xlws.FILTER(
        _xlpm.N,
        (_xlpm.N&lt;&gt;"") *
        (UPPER(TRIM(_xlpm.P))="NO") *
        (ISNUMBER(_xlpm.Rn)) *
        (_xlpm.Rn&lt;0) * (_xlpm.Rn&lt;=-0.05) * (_xlpm.Rn&gt;-0.1),
        _xlfn.SEQUENCE(0)
     ),
  IF(ROWS(_xlpm.V)=0, 0, ROWS(_xlfn.UNIQUE(UPPER(TRIM(_xlpm.V)))))
)</f>
        <v>#VALUE!</v>
      </c>
      <c r="P14" s="351" cm="1">
        <f t="array" ref="P14">_xlfn.LET(
 _xlpm.N, _xlfn.VSTACK(Apr[Name], May[Name], Jun[Name]),
 _xlpm.P, _xlfn.VSTACK(Apr[If Weight has been lost, is this Planned? (Yes/No)],
           May[If Weight has been lost, is this Planned? (Yes/No)],
           Jun[If Weight has been lost, is this Planned? (Yes/No)]),
 _xlpm.R, _xlfn.VSTACK(Apr[Weight (kg) Difference from Highest Weight in 3 - 6 months as %],
           May[Weight (kg) Difference from Highest Weight in 3 - 6 months as %],
           Jun[Weight (kg) Difference from Highest Weight in 3 - 6 months as %]),
 _xlpm.Rn, IFERROR(--_xlpm.R,""),
 _xlpm.V, _xlfn._xlws.FILTER(_xlpm.N,(_xlpm.N&lt;&gt;"")*(UPPER(TRIM(_xlpm.P))="NO")*(ISNUMBER(_xlpm.Rn))*(_xlpm.Rn&lt;-0.1),""),
 IF(_xlpm.V="",0,ROWS(_xlfn.UNIQUE(UPPER(TRIM(_xlpm.V)))))
)</f>
        <v>0</v>
      </c>
      <c r="Q14" s="346" cm="1">
        <f t="array" ref="Q14">_xlfn.LET(
 _xlpm.N, _xlfn.VSTACK(Apr[Name], May[Name], Jun[Name]),
 _xlpm.P, _xlfn.VSTACK(Apr[If Weight has been lost, is this Planned? (Yes/No)],
           May[If Weight has been lost, is this Planned? (Yes/No)],
           Jun[If Weight has been lost, is this Planned? (Yes/No)]),
 _xlpm.D, _xlfn.VSTACK(Apr[Is the adult on a special/fortified diet? 
(e.g. cultural, dietary restrictions, fortified etc)
(Yes/No)],
           May[Is the adult on a special/fortified diet? 
(e.g. cultural, dietary restrictions, fortified etc)
(Yes/No)],
           Jun[Is the adult on a special/fortified diet? 
(e.g. cultural, dietary restrictions, fortified etc)
(Yes/No)]),
 _xlpm.R, _xlfn.VSTACK(Apr[Weight (kg) Difference from Highest Weight in 3 - 6 months as %],
           May[Weight (kg) Difference from Highest Weight in 3 - 6 months as %],
           Jun[Weight (kg) Difference from Highest Weight in 3 - 6 months as %]),
 _xlpm.Rn, IFERROR(--_xlpm.R, ""),
 _xlpm.V, _xlfn._xlws.FILTER(
       _xlpm.N,
       (_xlpm.N&lt;&gt;"") *
       (UPPER(TRIM(_xlpm.P))="NO") *
       (UPPER(TRIM(_xlpm.D))="YES") *
       (ISNUMBER(_xlpm.Rn)) *
       (_xlpm.Rn&lt;0) * (_xlpm.Rn&lt;=-0.05) * (_xlpm.Rn&gt;-0.1),
       ""
    ),
 IF(_xlpm.V="",0,ROWS(_xlfn.UNIQUE(UPPER(TRIM(_xlpm.V)))))
)</f>
        <v>0</v>
      </c>
      <c r="R14" s="347" cm="1">
        <f t="array" ref="R14">_xlfn.LET(
 _xlpm.N, _xlfn.VSTACK(Apr[Name], May[Name], Jun[Name]),
 _xlpm.P, _xlfn.VSTACK(Apr[If Weight has been lost, is this Planned? (Yes/No)],
           May[If Weight has been lost, is this Planned? (Yes/No)],
           Jun[If Weight has been lost, is this Planned? (Yes/No)]),
 _xlpm.F, _xlfn.VSTACK(Apr[If the adult has been assessed for texture-modified Food, please record the level below],
           May[If the adult has been assessed for texture-modified Food, please record the level below],
           Jun[If the adult has been assessed for texture-modified Food, please record the level below]),
 _xlpm.R, _xlfn.VSTACK(Apr[Weight (kg) Difference from Highest Weight in 3 - 6 months as %],
           May[Weight (kg) Difference from Highest Weight in 3 - 6 months as %],
           Jun[Weight (kg) Difference from Highest Weight in 3 - 6 months as %]),
 _xlpm.Rn, IFERROR(--_xlpm.R,""),
 _xlpm.V, _xlfn._xlws.FILTER(
       _xlpm.N,
       (_xlpm.N&lt;&gt;"") *
       (UPPER(TRIM(_xlpm.P))="NO") *
       (_xlpm.F&lt;&gt;"") *
       (ISNUMBER(_xlpm.Rn)) *
       (_xlpm.Rn&lt;0) * (_xlpm.Rn&lt;=-0.05) * (_xlpm.Rn&gt;-0.1),
       ""
     ),
 IF(_xlpm.V="",0,ROWS(_xlfn.UNIQUE(UPPER(TRIM(_xlpm.V)))))
)</f>
        <v>0</v>
      </c>
      <c r="S14" s="349" cm="1">
        <f t="array" ref="S14">_xlfn.LET(
 _xlpm.N, _xlfn.VSTACK(Apr[Name], May[Name], Jun[Name]),
 _xlpm.P, _xlfn.VSTACK(Apr[If Weight has been lost, is this Planned? (Yes/No)],
           May[If Weight has been lost, is this Planned? (Yes/No)],
           Jun[If Weight has been lost, is this Planned? (Yes/No)]),
 _xlpm.FL, _xlfn.VSTACK(Apr[If the adult has been assessed for texture-modified Fluid, please record the level below],
            May[If the adult has been assessed for texture-modified Fluid, please record the level below],
            Jun[If the adult has been assessed for texture-modified Fluid, please record the level below]),
 _xlpm.R, _xlfn.VSTACK(Apr[Weight (kg) Difference from Highest Weight in 3 - 6 months as %],
           May[Weight (kg) Difference from Highest Weight in 3 - 6 months as %],
           Jun[Weight (kg) Difference from Highest Weight in 3 - 6 months as %]),
 _xlpm.Rn, IFERROR(--_xlpm.R,""),
 _xlpm.V, _xlfn._xlws.FILTER(
       _xlpm.N,
       (_xlpm.N&lt;&gt;"") *
       (UPPER(TRIM(_xlpm.P))="NO") *
       (_xlpm.FL&lt;&gt;"") *
       (ISNUMBER(_xlpm.Rn)) *
       (_xlpm.Rn&lt;0) * (_xlpm.Rn&lt;=-0.05) * (_xlpm.Rn&gt;-0.1),
       ""
     ),
 IF(_xlpm.V="",0,ROWS(_xlfn.UNIQUE(UPPER(TRIM(_xlpm.V)))))
)</f>
        <v>0</v>
      </c>
      <c r="T14" s="350" cm="1">
        <f t="array" ref="T14">_xlfn.LET(
 _xlpm.N, _xlfn.VSTACK(Apr[Name], May[Name], Jun[Name]),
 _xlpm.P, _xlfn.VSTACK(Apr[If Weight has been lost, is this Planned? (Yes/No)],
           May[If Weight has been lost, is this Planned? (Yes/No)],
           Jun[If Weight has been lost, is this Planned? (Yes/No)]),
 _xlpm.D, _xlfn.VSTACK(Apr[Is the adult on a special/fortified diet? 
(e.g. cultural, dietary restrictions, fortified etc)
(Yes/No)],
           May[Is the adult on a special/fortified diet? 
(e.g. cultural, dietary restrictions, fortified etc)
(Yes/No)],
           Jun[Is the adult on a special/fortified diet? 
(e.g. cultural, dietary restrictions, fortified etc)
(Yes/No)]),
 _xlpm.R, _xlfn.VSTACK(Apr[Weight (kg) Difference from Highest Weight in 3 - 6 months as %],
           May[Weight (kg) Difference from Highest Weight in 3 - 6 months as %],
           Jun[Weight (kg) Difference from Highest Weight in 3 - 6 months as %]),
 _xlpm.Rn, IFERROR(--_xlpm.R,""),
 _xlpm.V, _xlfn._xlws.FILTER(
        _xlpm.N,
        (_xlpm.N&lt;&gt;"") *
        (UPPER(TRIM(_xlpm.P))="NO") *
        (UPPER(TRIM(_xlpm.D))="YES") *
        (ISNUMBER(_xlpm.Rn)) *
        (_xlpm.Rn&lt;-0.1),
        ""
     ),
 IF(_xlpm.V="",0,ROWS(_xlfn.UNIQUE(UPPER(TRIM(_xlpm.V)))))
)</f>
        <v>0</v>
      </c>
      <c r="U14" s="347" cm="1">
        <f t="array" ref="U14">_xlfn.LET(
 _xlpm.N, _xlfn.VSTACK(Apr[Name], May[Name], Jun[Name]),
 _xlpm.P, _xlfn.VSTACK(Apr[If Weight has been lost, is this Planned? (Yes/No)],
           May[If Weight has been lost, is this Planned? (Yes/No)],
           Jun[If Weight has been lost, is this Planned? (Yes/No)]),
 _xlpm.F, _xlfn.VSTACK(Apr[If the adult has been assessed for texture-modified Food, please record the level below],
           May[If the adult has been assessed for texture-modified Food, please record the level below],
           Jun[If the adult has been assessed for texture-modified Food, please record the level below]),
 _xlpm.R, _xlfn.VSTACK(Apr[Weight (kg) Difference from Highest Weight in 3 - 6 months as %],
           May[Weight (kg) Difference from Highest Weight in 3 - 6 months as %],
           Jun[Weight (kg) Difference from Highest Weight in 3 - 6 months as %]),
 _xlpm.Rn, IFERROR(--_xlpm.R,""),
 _xlpm.V, _xlfn._xlws.FILTER(_xlpm.N,
           (_xlpm.N&lt;&gt;"") *
           (UPPER(TRIM(_xlpm.P))="NO") *
           (_xlpm.F&lt;&gt;"") *
           (ISNUMBER(_xlpm.Rn)) *
           (_xlpm.Rn&lt;-0.1),
           ""),
 IF(_xlpm.V="",0,ROWS(_xlfn.UNIQUE(UPPER(TRIM(_xlpm.V)))))
)</f>
        <v>0</v>
      </c>
      <c r="V14" s="351" cm="1">
        <f t="array" ref="V14">_xlfn.LET(
 _xlpm.N, _xlfn.VSTACK(Apr[Name], May[Name], Jun[Name]),
 _xlpm.P, _xlfn.VSTACK(Apr[If Weight has been lost, is this Planned? (Yes/No)],
           May[If Weight has been lost, is this Planned? (Yes/No)],
           Jun[If Weight has been lost, is this Planned? (Yes/No)]),
 _xlpm.FL, _xlfn.VSTACK(Apr[If the adult has been assessed for texture-modified Fluid, please record the level below],
            May[If the adult has been assessed for texture-modified Fluid, please record the level below],
            Jun[If the adult has been assessed for texture-modified Fluid, please record the level below]),
 _xlpm.R, _xlfn.VSTACK(Apr[Weight (kg) Difference from Highest Weight in 3 - 6 months as %],
           May[Weight (kg) Difference from Highest Weight in 3 - 6 months as %],
           Jun[Weight (kg) Difference from Highest Weight in 3 - 6 months as %]),
 _xlpm.Rn, IFERROR(--_xlpm.R,""),
 _xlpm.V, _xlfn._xlws.FILTER(
       _xlpm.N,
       (_xlpm.N&lt;&gt;"") *
       (UPPER(TRIM(_xlpm.P))="NO") *
       (_xlpm.FL&lt;&gt;"") *
       (ISNUMBER(_xlpm.Rn)) *
       (_xlpm.Rn&lt;-0.1),
       ""
     ),
 IF(_xlpm.V="",0,ROWS(_xlfn.UNIQUE(UPPER(TRIM(_xlpm.V)))))
)</f>
        <v>0</v>
      </c>
      <c r="W14" s="352"/>
      <c r="X14" s="353"/>
      <c r="Y14" s="353"/>
      <c r="Z14" s="354"/>
    </row>
    <row r="15" spans="2:26" ht="50.1" customHeight="1" x14ac:dyDescent="0.25">
      <c r="B15" s="188" t="s">
        <v>12</v>
      </c>
      <c r="C15" s="201">
        <f>COUNTA(Jul[Name])</f>
        <v>0</v>
      </c>
      <c r="D15" s="193">
        <f>COUNTIF(Jul[July BMI (kg/m2)],"&gt;20")</f>
        <v>0</v>
      </c>
      <c r="E15" s="194">
        <f>COUNTIFS(Jul[July BMI (kg/m2)], "&gt;=18.5", Jul[July BMI (kg/m2)], "&lt;=20")</f>
        <v>0</v>
      </c>
      <c r="F15" s="195">
        <f>COUNTIF(Jul[July BMI (kg/m2)],"&lt;18.5")</f>
        <v>0</v>
      </c>
      <c r="G15" s="196">
        <f>COUNTIF(Jul[[July MUST Score ]],"0")</f>
        <v>0</v>
      </c>
      <c r="H15" s="194">
        <f>COUNTIF(Jul[[July MUST Score ]],"1")</f>
        <v>0</v>
      </c>
      <c r="I15" s="195">
        <f>COUNTIF(Jul[[July MUST Score ]],"&gt;1")</f>
        <v>0</v>
      </c>
      <c r="J15" s="196">
        <f>COUNTIF(Jul[Is the adult on a special/fortified diet? 
(e.g. cultural, dietary restrictions, fortified etc)
(Yes/No)],"Yes")</f>
        <v>0</v>
      </c>
      <c r="K15" s="194" cm="1">
        <f t="array" ref="K15">SUMPRODUCT(COUNTIF(Jul[If the adult has been assessed for texture-modified Food, please record the level below],Validation!$A$27:$A$31))</f>
        <v>0</v>
      </c>
      <c r="L15" s="197" cm="1">
        <f t="array" ref="L15">SUMPRODUCT(COUNTIF(Jul[If the adult has been assessed for texture-modified Fluid, please record the level below],Validation!$A$33:$A$37))</f>
        <v>0</v>
      </c>
      <c r="M15" s="196">
        <f>COUNTIFS(Jul[If Weight has been lost, is this Planned? (Yes/No)],"No",Jul[Name],"&lt;&gt;")</f>
        <v>0</v>
      </c>
      <c r="N15" s="194">
        <f>COUNTIFS(Jul[Name],"&lt;&gt;",Jul[If Weight has been lost, is this Planned? (Yes/No)],"No",Jul[Weight (kg) Difference from Highest Weight in 3 - 6 months as %],"&lt;0",Jul[Weight (kg) Difference from Highest Weight in 3 - 6 months as %],"&gt;-0.05")</f>
        <v>0</v>
      </c>
      <c r="O15" s="194">
        <f>COUNTIFS(Jul[Name],"&lt;&gt;",Jul[If Weight has been lost, is this Planned? (Yes/No)],"No",Jul[Weight (kg) Difference from Highest Weight in 3 - 6 months as %],"&lt;=-0.05",Jul[Weight (kg) Difference from Highest Weight in 3 - 6 months as %],"&gt;-0.10")</f>
        <v>0</v>
      </c>
      <c r="P15" s="197">
        <f>COUNTIFS(Jul[Name],"&lt;&gt;",Jul[If Weight has been lost, is this Planned? (Yes/No)],"No",Jul[Weight (kg) Difference from Highest Weight in 3 - 6 months as %],"&lt;=-0.10")</f>
        <v>0</v>
      </c>
      <c r="Q15" s="193">
        <f>COUNTIFS(Jul[Name],"&lt;&gt;",Jul[If Weight has been lost, is this Planned? (Yes/No)],"No",Jul[Weight (kg) Difference from Highest Weight in 3 - 6 months as %],"&lt;=-0.05",Jul[Weight (kg) Difference from Highest Weight in 3 - 6 months as %],"&gt;-0.10",Jul[Is the adult on a special/fortified diet? 
(e.g. cultural, dietary restrictions, fortified etc)
(Yes/No)],"Yes")</f>
        <v>0</v>
      </c>
      <c r="R15" s="194">
        <f>COUNTIFS(Jul[Name],"&lt;&gt;",Jul[If Weight has been lost, is this Planned? (Yes/No)],"No",Jul[Weight (kg) Difference from Highest Weight in 3 - 6 months as %],"&lt;=-0.05",Jul[Weight (kg) Difference from Highest Weight in 3 - 6 months as %],"&gt;-0.10",Jul[If the adult has been assessed for texture-modified Food, please record the level below],"&lt;&gt;")</f>
        <v>0</v>
      </c>
      <c r="S15" s="195">
        <f>COUNTIFS(Jul[Name],"&lt;&gt;",Jul[If Weight has been lost, is this Planned? (Yes/No)],"No",Jul[Weight (kg) Difference from Highest Weight in 3 - 6 months as %],"&lt;=-0.05",Jul[Weight (kg) Difference from Highest Weight in 3 - 6 months as %],"&gt;-0.10",Jul[If the adult has been assessed for texture-modified Fluid, please record the level below],"&lt;&gt;")</f>
        <v>0</v>
      </c>
      <c r="T15" s="196">
        <f>COUNTIFS(Jul[Name],"&lt;&gt;",Jul[If Weight has been lost, is this Planned? (Yes/No)],"No",Jul[Weight (kg) Difference from Highest Weight in 3 - 6 months as %],"&lt;=-0.10",Jul[Is the adult on a special/fortified diet? 
(e.g. cultural, dietary restrictions, fortified etc)
(Yes/No)],"Yes")</f>
        <v>0</v>
      </c>
      <c r="U15" s="194">
        <f>COUNTIFS(Jul[Name],"&lt;&gt;",Jul[If Weight has been lost, is this Planned? (Yes/No)],"No",Jul[Weight (kg) Difference from Highest Weight in 3 - 6 months as %],"&lt;=-0.10",Jul[If the adult has been assessed for texture-modified Food, please record the level below],"&lt;&gt;")</f>
        <v>0</v>
      </c>
      <c r="V15" s="197">
        <f>COUNTIFS(Jul[Name],"&lt;&gt;",Jul[If Weight has been lost, is this Planned? (Yes/No)],"No",Jul[Weight (kg) Difference from Highest Weight in 3 - 6 months as %],"&lt;=-0.10",Jul[If the adult has been assessed for texture-modified Fluid, please record the level below],"&lt;&gt;")</f>
        <v>0</v>
      </c>
      <c r="W15" s="170"/>
      <c r="X15" s="66"/>
      <c r="Y15" s="66"/>
      <c r="Z15" s="22"/>
    </row>
    <row r="16" spans="2:26" ht="50.1" customHeight="1" x14ac:dyDescent="0.25">
      <c r="B16" s="189" t="s">
        <v>13</v>
      </c>
      <c r="C16" s="202">
        <f>COUNTA(Aug[Name])</f>
        <v>0</v>
      </c>
      <c r="D16" s="184">
        <f>COUNTIF(Aug[August BMI (kg/m2)],"&gt;20")</f>
        <v>0</v>
      </c>
      <c r="E16" s="180">
        <f>COUNTIFS(Aug[August BMI (kg/m2)], "&gt;=18.5", Aug[August BMI (kg/m2)], "&lt;=20")</f>
        <v>0</v>
      </c>
      <c r="F16" s="182">
        <f>COUNTIF(Aug[August BMI (kg/m2)],"&lt;18.5")</f>
        <v>0</v>
      </c>
      <c r="G16" s="186">
        <f>COUNTIF(Aug[[August MUST Score ]],"0")</f>
        <v>0</v>
      </c>
      <c r="H16" s="180">
        <f>COUNTIF(Aug[[August MUST Score ]],"1")</f>
        <v>0</v>
      </c>
      <c r="I16" s="182">
        <f>COUNTIF(Aug[[August MUST Score ]],"&gt;1")</f>
        <v>0</v>
      </c>
      <c r="J16" s="186">
        <f>COUNTIF(Aug[Is the adult on a special/fortified diet? 
(e.g. cultural, dietary restrictions, fortified etc)
(Yes/No)],"Yes")</f>
        <v>0</v>
      </c>
      <c r="K16" s="180" cm="1">
        <f t="array" ref="K16">SUMPRODUCT(COUNTIF(Aug[If the adult has been assessed for texture-modified Food, please record the level below],Validation!$A$27:$A$31))</f>
        <v>0</v>
      </c>
      <c r="L16" s="187" cm="1">
        <f t="array" ref="L16">SUMPRODUCT(COUNTIF(Aug[If the adult has been assessed for texture-modified Fluid, please record the level below],Validation!$A$33:$A$37))</f>
        <v>0</v>
      </c>
      <c r="M16" s="186">
        <f>COUNTIFS(Aug[If Weight has been lost, is this Planned? (Yes/No)],"No",Aug[Name],"&lt;&gt;")</f>
        <v>0</v>
      </c>
      <c r="N16" s="180">
        <f>COUNTIFS(Aug[Name],"&lt;&gt;",Aug[If Weight has been lost, is this Planned? (Yes/No)],"No",Aug[Weight (kg) Difference from Highest Weight in 3 - 6 months as %],"&lt;0",Aug[Weight (kg) Difference from Highest Weight in 3 - 6 months as %],"&gt;-0.05")</f>
        <v>0</v>
      </c>
      <c r="O16" s="180">
        <f>COUNTIFS(Aug[Name],"&lt;&gt;",Aug[If Weight has been lost, is this Planned? (Yes/No)],"No",Aug[Weight (kg) Difference from Highest Weight in 3 - 6 months as %],"&lt;=-0.05",Aug[Weight (kg) Difference from Highest Weight in 3 - 6 months as %],"&gt;-0.10")</f>
        <v>0</v>
      </c>
      <c r="P16" s="187">
        <f>COUNTIFS(Aug[Name],"&lt;&gt;",Aug[If Weight has been lost, is this Planned? (Yes/No)],"No",Aug[Weight (kg) Difference from Highest Weight in 3 - 6 months as %],"&lt;=-0.10")</f>
        <v>0</v>
      </c>
      <c r="Q16" s="184">
        <f>COUNTIFS(Aug[Name],"&lt;&gt;",Aug[If Weight has been lost, is this Planned? (Yes/No)],"No",Aug[Weight (kg) Difference from Highest Weight in 3 - 6 months as %],"&lt;=-0.05",Aug[Weight (kg) Difference from Highest Weight in 3 - 6 months as %],"&gt;-0.10",Aug[Is the adult on a special/fortified diet? 
(e.g. cultural, dietary restrictions, fortified etc)
(Yes/No)],"Yes")</f>
        <v>0</v>
      </c>
      <c r="R16" s="180">
        <f>COUNTIFS(Aug[Name],"&lt;&gt;",Aug[If Weight has been lost, is this Planned? (Yes/No)],"No",Aug[Weight (kg) Difference from Highest Weight in 3 - 6 months as %],"&lt;=-0.05",Aug[Weight (kg) Difference from Highest Weight in 3 - 6 months as %],"&gt;-0.10",Aug[If the adult has been assessed for texture-modified Food, please record the level below],"&lt;&gt;")</f>
        <v>0</v>
      </c>
      <c r="S16" s="182">
        <f>COUNTIFS(Aug[Name],"&lt;&gt;",Aug[If Weight has been lost, is this Planned? (Yes/No)],"No",Aug[Weight (kg) Difference from Highest Weight in 3 - 6 months as %],"&lt;=-0.05",Aug[Weight (kg) Difference from Highest Weight in 3 - 6 months as %],"&gt;-0.10",Aug[If the adult has been assessed for texture-modified Fluid, please record the level below],"&lt;&gt;")</f>
        <v>0</v>
      </c>
      <c r="T16" s="186">
        <f>COUNTIFS(Aug[Name],"&lt;&gt;",Aug[If Weight has been lost, is this Planned? (Yes/No)],"No",Aug[Weight (kg) Difference from Highest Weight in 3 - 6 months as %],"&lt;=-0.10",Aug[Is the adult on a special/fortified diet? 
(e.g. cultural, dietary restrictions, fortified etc)
(Yes/No)],"Yes")</f>
        <v>0</v>
      </c>
      <c r="U16" s="180">
        <f>COUNTIFS(Aug[Name],"&lt;&gt;",Aug[If Weight has been lost, is this Planned? (Yes/No)],"No",Aug[Weight (kg) Difference from Highest Weight in 3 - 6 months as %],"&lt;=-0.10",Aug[If the adult has been assessed for texture-modified Food, please record the level below],"&lt;&gt;")</f>
        <v>0</v>
      </c>
      <c r="V16" s="187">
        <f>COUNTIFS(Aug[Name],"&lt;&gt;",Aug[If Weight has been lost, is this Planned? (Yes/No)],"No",Aug[Weight (kg) Difference from Highest Weight in 3 - 6 months as %],"&lt;=-0.10",Aug[If the adult has been assessed for texture-modified Fluid, please record the level below],"&lt;&gt;")</f>
        <v>0</v>
      </c>
      <c r="W16" s="94"/>
      <c r="X16" s="70"/>
      <c r="Y16" s="70"/>
      <c r="Z16" s="17"/>
    </row>
    <row r="17" spans="2:26" ht="50.1" customHeight="1" thickBot="1" x14ac:dyDescent="0.3">
      <c r="B17" s="190" t="s">
        <v>14</v>
      </c>
      <c r="C17" s="203">
        <f>COUNTA(Sep[Name])</f>
        <v>0</v>
      </c>
      <c r="D17" s="185">
        <f>COUNTIF(Sep[September BMI (kg/m2)],"&gt;20")</f>
        <v>0</v>
      </c>
      <c r="E17" s="181">
        <f>COUNTIFS(Sep[September BMI (kg/m2)], "&gt;=18.5", Sep[September BMI (kg/m2)], "&lt;=20")</f>
        <v>0</v>
      </c>
      <c r="F17" s="183">
        <f>COUNTIF(Sep[September BMI (kg/m2)],"&lt;18.5")</f>
        <v>0</v>
      </c>
      <c r="G17" s="191">
        <f>COUNTIF(Sep[[September MUST Score ]],"0")</f>
        <v>0</v>
      </c>
      <c r="H17" s="181">
        <f>COUNTIF(Sep[[September MUST Score ]],"1")</f>
        <v>0</v>
      </c>
      <c r="I17" s="183">
        <f>COUNTIF(Sep[[September MUST Score ]],"&gt;1")</f>
        <v>0</v>
      </c>
      <c r="J17" s="191">
        <f>COUNTIF(Sep[Is the adult on a special/fortified diet? 
(e.g. cultural, dietary restrictions, fortified etc)
(Yes/No)],"Yes")</f>
        <v>0</v>
      </c>
      <c r="K17" s="181" cm="1">
        <f t="array" ref="K17">SUMPRODUCT(COUNTIF(Sep[If the adult has been assessed for texture-modified Food, please record the level below],Validation!$A$27:$A$31))</f>
        <v>0</v>
      </c>
      <c r="L17" s="192" cm="1">
        <f t="array" ref="L17">SUMPRODUCT(COUNTIF(Sep[If the adult has been assessed for texture-modified Fluid, please record the level below],Validation!$A$33:$A$37))</f>
        <v>0</v>
      </c>
      <c r="M17" s="191">
        <f>COUNTIFS(Sep[If Weight has been lost, is this Planned? (Yes/No)],"No",Sep[Name],"&lt;&gt;")</f>
        <v>0</v>
      </c>
      <c r="N17" s="181">
        <f>COUNTIFS(Sep[Name],"&lt;&gt;",Sep[If Weight has been lost, is this Planned? (Yes/No)],"No",Sep[Weight (kg) Difference from Highest Weight in 3 - 6 months as %],"&lt;0",Sep[Weight (kg) Difference from Highest Weight in 3 - 6 months as %],"&gt;-0.05")</f>
        <v>0</v>
      </c>
      <c r="O17" s="181">
        <f>COUNTIFS(Sep[Name],"&lt;&gt;",Sep[If Weight has been lost, is this Planned? (Yes/No)],"No",Sep[Weight (kg) Difference from Highest Weight in 3 - 6 months as %],"&lt;=-0.05",Sep[Weight (kg) Difference from Highest Weight in 3 - 6 months as %],"&gt;-0.10")</f>
        <v>0</v>
      </c>
      <c r="P17" s="192">
        <f>COUNTIFS(Sep[Name],"&lt;&gt;",Sep[If Weight has been lost, is this Planned? (Yes/No)],"No",Sep[Weight (kg) Difference from Highest Weight in 3 - 6 months as %],"&lt;=-0.10")</f>
        <v>0</v>
      </c>
      <c r="Q17" s="185">
        <f>COUNTIFS(Sep[Name],"&lt;&gt;",Sep[If Weight has been lost, is this Planned? (Yes/No)],"No",Sep[Weight (kg) Difference from Highest Weight in 3 - 6 months as %],"&lt;=-0.05",Sep[Weight (kg) Difference from Highest Weight in 3 - 6 months as %],"&gt;-0.10",Sep[Is the adult on a special/fortified diet? 
(e.g. cultural, dietary restrictions, fortified etc)
(Yes/No)],"Yes")</f>
        <v>0</v>
      </c>
      <c r="R17" s="181">
        <f>COUNTIFS(Sep[Name],"&lt;&gt;",Sep[If Weight has been lost, is this Planned? (Yes/No)],"No",Sep[Weight (kg) Difference from Highest Weight in 3 - 6 months as %],"&lt;=-0.05",Sep[Weight (kg) Difference from Highest Weight in 3 - 6 months as %],"&gt;-0.10",Sep[If the adult has been assessed for texture-modified Food, please record the level below],"&lt;&gt;")</f>
        <v>0</v>
      </c>
      <c r="S17" s="183">
        <f>COUNTIFS(Sep[Name],"&lt;&gt;",Sep[If Weight has been lost, is this Planned? (Yes/No)],"No",Sep[Weight (kg) Difference from Highest Weight in 3 - 6 months as %],"&lt;=-0.05",Sep[Weight (kg) Difference from Highest Weight in 3 - 6 months as %],"&gt;-0.10",Sep[If the adult has been assessed for texture-modified Fluid, please record the level below],"&lt;&gt;")</f>
        <v>0</v>
      </c>
      <c r="T17" s="191">
        <f>COUNTIFS(Sep[Name],"&lt;&gt;",Sep[If Weight has been lost, is this Planned? (Yes/No)],"No",Sep[Weight (kg) Difference from Highest Weight in 3 - 6 months as %],"&lt;=-0.10",Sep[Is the adult on a special/fortified diet? 
(e.g. cultural, dietary restrictions, fortified etc)
(Yes/No)],"Yes")</f>
        <v>0</v>
      </c>
      <c r="U17" s="181">
        <f>COUNTIFS(Sep[Name],"&lt;&gt;",Sep[If Weight has been lost, is this Planned? (Yes/No)],"No",Sep[Weight (kg) Difference from Highest Weight in 3 - 6 months as %],"&lt;=-0.10",Sep[If the adult has been assessed for texture-modified Food, please record the level below],"&lt;&gt;")</f>
        <v>0</v>
      </c>
      <c r="V17" s="192">
        <f>COUNTIFS(Sep[Name],"&lt;&gt;",Sep[If Weight has been lost, is this Planned? (Yes/No)],"No",Sep[Weight (kg) Difference from Highest Weight in 3 - 6 months as %],"&lt;=-0.10",Sep[If the adult has been assessed for texture-modified Fluid, please record the level below],"&lt;&gt;")</f>
        <v>0</v>
      </c>
      <c r="W17" s="171"/>
      <c r="X17" s="172"/>
      <c r="Y17" s="172"/>
      <c r="Z17" s="19"/>
    </row>
    <row r="18" spans="2:26" ht="75" customHeight="1" thickBot="1" x14ac:dyDescent="0.3">
      <c r="B18" s="344" t="s">
        <v>199</v>
      </c>
      <c r="C18" s="345" t="e" cm="1" vm="1">
        <f t="array" ref="C18">_xlfn.LET(_xlpm.X,_xlfn.VSTACK(Jul[Name],Aug[Name],Sep[Name]),_xlpm.Clean,TRIM(_xlpm.X),_xlpm.NonBlank,_xlfn._xlws.FILTER(_xlpm.Clean,_xlpm.Clean&lt;&gt;"",_xlfn.SEQUENCE(0)),IF(ROWS(_xlpm.NonBlank)=0,0,ROWS(_xlfn.UNIQUE(UPPER(_xlpm.NonBlank)))))</f>
        <v>#VALUE!</v>
      </c>
      <c r="D18" s="346" t="e" cm="1" vm="1">
        <f t="array" ref="D18">_xlfn.LET(_xlpm.Names,_xlfn.VSTACK(Jul[Name],Aug[Name],Sep[Name]),_xlpm.BMI,_xlfn.VSTACK(Jul[July BMI (kg/m2)],Aug[August BMI (kg/m2)],Sep[September BMI (kg/m2)]),_xlpm.CleanNames,TRIM(_xlpm.Names),_xlpm.Valid,_xlfn._xlws.FILTER(_xlpm.CleanNames,(_xlpm.CleanNames&lt;&gt;"")*(_xlpm.BMI&gt;20),_xlfn.SEQUENCE(0)),IF(ROWS(_xlpm.Valid)=0,0,ROWS(_xlfn.UNIQUE(UPPER(_xlpm.Valid)))))</f>
        <v>#VALUE!</v>
      </c>
      <c r="E18" s="347" t="e" cm="1" vm="1">
        <f t="array" ref="E18">_xlfn.LET(_xlpm.Names,_xlfn.VSTACK(Jul[Name],Aug[Name],Sep[Name]),_xlpm.BMI,_xlfn.VSTACK(Jul[July BMI (kg/m2)],Aug[August BMI (kg/m2)],Sep[September BMI (kg/m2)]),_xlpm.CleanNames,TRIM(_xlpm.Names),_xlpm.Valid,_xlfn._xlws.FILTER(_xlpm.CleanNames,(_xlpm.CleanNames&lt;&gt;"")*ISNUMBER(_xlpm.BMI)*(_xlpm.BMI&gt;=18.5)*(_xlpm.BMI&lt;=20),_xlfn.SEQUENCE(0)),IF(ROWS(_xlpm.Valid)=0,0,ROWS(_xlfn.UNIQUE(UPPER(_xlpm.Valid)))))</f>
        <v>#VALUE!</v>
      </c>
      <c r="F18" s="346" t="e" cm="1" vm="1">
        <f t="array" ref="F18">_xlfn.LET(_xlpm.Names,_xlfn.VSTACK(Jul[Name],Aug[Name],Sep[Name]),_xlpm.BMI,_xlfn.VSTACK(Jul[July BMI (kg/m2)],Aug[August BMI (kg/m2)],Sep[September BMI (kg/m2)]),_xlpm.CleanNames,TRIM(_xlpm.Names),_xlpm.Valid,_xlfn._xlws.FILTER(_xlpm.CleanNames,(_xlpm.CleanNames&lt;&gt;"")*ISNUMBER(_xlpm.BMI)*(_xlpm.BMI&lt;18.5),_xlfn.SEQUENCE(0)),IF(ROWS(_xlpm.Valid)=0,0,ROWS(_xlfn.UNIQUE(UPPER(_xlpm.Valid)))))</f>
        <v>#VALUE!</v>
      </c>
      <c r="G18" s="348" t="e" cm="1" vm="1">
        <f t="array" ref="G18">_xlfn.LET(_xlpm.Names,_xlfn.VSTACK(Jul[Name],Aug[Name],Sep[Name]),_xlpm.Musts,_xlfn.VSTACK(Jul[[July MUST Score ]],Aug[[August MUST Score ]],Sep[[September MUST Score ]]),_xlpm.CleanNames,TRIM(_xlpm.Names),_xlpm.Valid,_xlfn._xlws.FILTER(_xlpm.CleanNames,(_xlpm.CleanNames&lt;&gt;"")*ISNUMBER(_xlpm.Musts)*(_xlpm.Musts=0),_xlfn.SEQUENCE(0)),IF(ROWS(_xlpm.Valid)=0,0,ROWS(_xlfn.UNIQUE(UPPER(_xlpm.Valid)))))</f>
        <v>#VALUE!</v>
      </c>
      <c r="H18" s="349" t="e" cm="1" vm="1">
        <f t="array" ref="H18">_xlfn.LET(_xlpm.Names,_xlfn.VSTACK(Jul[Name],Aug[Name],Sep[Name]),_xlpm.Musts,_xlfn.VSTACK(Jul[[July MUST Score ]],Aug[[August MUST Score ]],Sep[[September MUST Score ]]),_xlpm.CleanNames,TRIM(_xlpm.Names),_xlpm.Valid,_xlfn._xlws.FILTER(_xlpm.CleanNames,(_xlpm.CleanNames&lt;&gt;"")*ISNUMBER(_xlpm.Musts)*(_xlpm.Musts=1),_xlfn.SEQUENCE(0)),IF(ROWS(_xlpm.Valid)=0,0,ROWS(_xlfn.UNIQUE(UPPER(_xlpm.Valid)))))</f>
        <v>#VALUE!</v>
      </c>
      <c r="I18" s="349" t="e" cm="1" vm="1">
        <f t="array" ref="I18">_xlfn.LET(_xlpm.Names,_xlfn.VSTACK(Jul[Name],Aug[Name],Sep[Name]),_xlpm.Musts,_xlfn.VSTACK(Jul[[July MUST Score ]],Aug[[August MUST Score ]],Sep[[September MUST Score ]]),_xlpm.CleanNames,TRIM(_xlpm.Names),_xlpm.Valid,_xlfn._xlws.FILTER(_xlpm.CleanNames,(_xlpm.CleanNames&lt;&gt;"")*ISNUMBER(_xlpm.Musts)*(_xlpm.Musts&gt;=2),_xlfn.SEQUENCE(0)),IF(ROWS(_xlpm.Valid)=0,0,ROWS(_xlfn.UNIQUE(UPPER(_xlpm.Valid)))))</f>
        <v>#VALUE!</v>
      </c>
      <c r="J18" s="350" t="e" cm="1" vm="1">
        <f t="array" ref="J18">_xlfn.LET(_xlpm.Names,_xlfn.VSTACK(Jul[Name],Aug[Name],Sep[Name]),_xlpm.Diet,_xlfn.VSTACK(Jul[Is the adult on a special/fortified diet? 
(e.g. cultural, dietary restrictions, fortified etc)
(Yes/No)],Aug[Is the adult on a special/fortified diet? 
(e.g. cultural, dietary restrictions, fortified etc)
(Yes/No)],Sep[Is the adult on a special/fortified diet? 
(e.g. cultural, dietary restrictions, fortified etc)
(Yes/No)]),_xlpm.Valid,_xlfn._xlws.FILTER(_xlpm.Names,(_xlpm.Names&lt;&gt;"")*(_xlpm.Diet="Yes"),_xlfn.SEQUENCE(0)),IF(ROWS(_xlpm.Valid)=0,0,ROWS(_xlfn.UNIQUE(UPPER(TRIM(_xlpm.Valid))))))</f>
        <v>#VALUE!</v>
      </c>
      <c r="K18" s="347" t="e" cm="1" vm="1">
        <f t="array" ref="K18">_xlfn.LET(
    _xlpm.Names, _xlfn.VSTACK(Jul[Name], Aug[Name], Sep[Name]),
    _xlpm.Food,  _xlfn.VSTACK(Jul[If the adult has been assessed for texture-modified Food, please record the level below],
                  Aug[If the adult has been assessed for texture-modified Food, please record the level below],
                  Sep[If the adult has been assessed for texture-modified Food, please record the level below]),
    _xlpm.CleanNames, TRIM(_xlpm.Names),
    _xlpm.Valid, _xlfn._xlws.FILTER(_xlpm.CleanNames, (_xlpm.CleanNames&lt;&gt;"") * (_xlpm.Food&lt;&gt;""), _xlfn.SEQUENCE(0)),
    IF(ROWS(_xlpm.Valid)=0,0,ROWS(_xlfn.UNIQUE(UPPER(_xlpm.Valid)))))</f>
        <v>#VALUE!</v>
      </c>
      <c r="L18" s="351" t="e" cm="1" vm="1">
        <f t="array" ref="L18">_xlfn.LET(_xlpm.Names, _xlfn.VSTACK(Jul[Name], Aug[Name], Sep[Name]),
    _xlpm.Fluid, _xlfn.VSTACK(Jul[If the adult has been assessed for texture-modified Fluid, please record the level below],
                  Aug[If the adult has been assessed for texture-modified Fluid, please record the level below],
                  Sep[If the adult has been assessed for texture-modified Fluid, please record the level below]),
    _xlpm.CleanNames, TRIM(_xlpm.Names),
    _xlpm.Valid, _xlfn._xlws.FILTER(_xlpm.CleanNames, (_xlpm.CleanNames&lt;&gt;"") * (_xlpm.Fluid&lt;&gt;""), _xlfn.SEQUENCE(0)),
    IF(ROWS(_xlpm.Valid)=0,0,ROWS(_xlfn.UNIQUE(UPPER(_xlpm.Valid))))
)</f>
        <v>#VALUE!</v>
      </c>
      <c r="M18" s="350" t="e" cm="1" vm="1">
        <f t="array" ref="M18">_xlfn.LET(
    _xlpm.Names, _xlfn.VSTACK(Jul[Name], Aug[Name], Sep[Name]),
    _xlpm.Planned, _xlfn.VSTACK(Jul[If Weight has been lost, is this Planned? (Yes/No)],
                    Aug[If Weight has been lost, is this Planned? (Yes/No)],
                    Sep[If Weight has been lost, is this Planned? (Yes/No)]),
    _xlpm.Valid, _xlfn._xlws.FILTER(_xlpm.Names, (_xlpm.Names&lt;&gt;"") * (_xlpm.Planned="No"), _xlfn.SEQUENCE(0)),
    IF(ROWS(_xlpm.Valid)=0,0,ROWS(_xlfn.UNIQUE(UPPER(TRIM(_xlpm.Valid)))))
)</f>
        <v>#VALUE!</v>
      </c>
      <c r="N18" s="347" cm="1">
        <f t="array" ref="N18">_xlfn.LET(
 _xlpm.N, _xlfn.VSTACK(Jul[Name], Aug[Name], Sep[Name]),
 _xlpm.P, _xlfn.VSTACK(Jul[If Weight has been lost, is this Planned? (Yes/No)],
           Aug[If Weight has been lost, is this Planned? (Yes/No)],
           Sep[If Weight has been lost, is this Planned? (Yes/No)]),
 _xlpm.R, _xlfn.VSTACK(Jul[Weight (kg) Difference from Highest Weight in 3 - 6 months as %],
           Aug[Weight (kg) Difference from Highest Weight in 3 - 6 months as %],
           Sep[Weight (kg) Difference from Highest Weight in 3 - 6 months as %]),
 _xlpm.Rn, IFERROR(--_xlpm.R, ""),
 _xlpm.V, _xlfn._xlws.FILTER(_xlpm.N, (_xlpm.N&lt;&gt;"")*(UPPER(TRIM(_xlpm.P))="NO")*(_xlpm.Rn&lt;0)*(_xlpm.Rn&gt;-0.05), ""),
 IF(_xlpm.V="",0,ROWS(_xlfn.UNIQUE(UPPER(TRIM(_xlpm.V)))))
)</f>
        <v>0</v>
      </c>
      <c r="O18" s="347" t="e" cm="1" vm="1">
        <f t="array" ref="O18">_xlfn.LET(
  _xlpm.N, _xlfn.VSTACK(Jul[Name], Aug[Name], Sep[Name]),
  _xlpm.P, _xlfn.VSTACK(Jul[If Weight has been lost, is this Planned? (Yes/No)],
            Aug[If Weight has been lost, is this Planned? (Yes/No)],
            Sep[If Weight has been lost, is this Planned? (Yes/No)]),
  _xlpm.R, _xlfn.VSTACK(Jul[Weight (kg) Difference from Highest Weight in 3 - 6 months as %],
            Aug[Weight (kg) Difference from Highest Weight in 3 - 6 months as %],
            Sep[Weight (kg) Difference from Highest Weight in 3 - 6 months as %]),
  _xlpm.Rn, IFERROR(--_xlpm.R,""),
  _xlpm.V, _xlfn._xlws.FILTER(
        _xlpm.N,
        (_xlpm.N&lt;&gt;"") *
        (UPPER(TRIM(_xlpm.P))="NO") *
        (ISNUMBER(_xlpm.Rn)) *
        (_xlpm.Rn&lt;0) * (_xlpm.Rn&lt;=-0.05) * (_xlpm.Rn&gt;-0.1),
        _xlfn.SEQUENCE(0)
     ),
  IF(ROWS(_xlpm.V)=0, 0, ROWS(_xlfn.UNIQUE(UPPER(TRIM(_xlpm.V)))))
)</f>
        <v>#VALUE!</v>
      </c>
      <c r="P18" s="351" cm="1">
        <f t="array" ref="P18">_xlfn.LET(
 _xlpm.N, _xlfn.VSTACK(Jul[Name], Aug[Name], Sep[Name]),
 _xlpm.P, _xlfn.VSTACK(Jul[If Weight has been lost, is this Planned? (Yes/No)],
           Aug[If Weight has been lost, is this Planned? (Yes/No)],
           Sep[If Weight has been lost, is this Planned? (Yes/No)]),
 _xlpm.R, _xlfn.VSTACK(Jul[Weight (kg) Difference from Highest Weight in 3 - 6 months as %],
           Aug[Weight (kg) Difference from Highest Weight in 3 - 6 months as %],
           Sep[Weight (kg) Difference from Highest Weight in 3 - 6 months as %]),
 _xlpm.Rn, IFERROR(--_xlpm.R,""),
 _xlpm.V, _xlfn._xlws.FILTER(_xlpm.N,(_xlpm.N&lt;&gt;"")*(UPPER(TRIM(_xlpm.P))="NO")*(ISNUMBER(_xlpm.Rn))*(_xlpm.Rn&lt;-0.1),""),
 IF(_xlpm.V="",0,ROWS(_xlfn.UNIQUE(UPPER(TRIM(_xlpm.V)))))
)</f>
        <v>0</v>
      </c>
      <c r="Q18" s="346" cm="1">
        <f t="array" ref="Q18">_xlfn.LET(
 _xlpm.N, _xlfn.VSTACK(Jul[Name], Aug[Name], Sep[Name]),
 _xlpm.P, _xlfn.VSTACK(Jul[If Weight has been lost, is this Planned? (Yes/No)],
           Aug[If Weight has been lost, is this Planned? (Yes/No)],
           Sep[If Weight has been lost, is this Planned? (Yes/No)]),
 _xlpm.D, _xlfn.VSTACK(Jul[Is the adult on a special/fortified diet? 
(e.g. cultural, dietary restrictions, fortified etc)
(Yes/No)],
           Aug[Is the adult on a special/fortified diet? 
(e.g. cultural, dietary restrictions, fortified etc)
(Yes/No)],
           Sep[Is the adult on a special/fortified diet? 
(e.g. cultural, dietary restrictions, fortified etc)
(Yes/No)]),
 _xlpm.R, _xlfn.VSTACK(Jul[Weight (kg) Difference from Highest Weight in 3 - 6 months as %],
           Aug[Weight (kg) Difference from Highest Weight in 3 - 6 months as %],
           Sep[Weight (kg) Difference from Highest Weight in 3 - 6 months as %]),
 _xlpm.Rn, IFERROR(--_xlpm.R, ""),
 _xlpm.V, _xlfn._xlws.FILTER(
       _xlpm.N,
       (_xlpm.N&lt;&gt;"") *
       (UPPER(TRIM(_xlpm.P))="NO") *
       (UPPER(TRIM(_xlpm.D))="YES") *
       (ISNUMBER(_xlpm.Rn)) *
       (_xlpm.Rn&lt;0) * (_xlpm.Rn&lt;=-0.05) * (_xlpm.Rn&gt;-0.1),
       ""
    ),
 IF(_xlpm.V="",0,ROWS(_xlfn.UNIQUE(UPPER(TRIM(_xlpm.V)))))
)</f>
        <v>0</v>
      </c>
      <c r="R18" s="347" cm="1">
        <f t="array" ref="R18">_xlfn.LET(
 _xlpm.N, _xlfn.VSTACK(Jul[Name], Aug[Name], Sep[Name]),
 _xlpm.P, _xlfn.VSTACK(Jul[If Weight has been lost, is this Planned? (Yes/No)],
           Aug[If Weight has been lost, is this Planned? (Yes/No)],
           Sep[If Weight has been lost, is this Planned? (Yes/No)]),
 _xlpm.F, _xlfn.VSTACK(Jul[If the adult has been assessed for texture-modified Food, please record the level below],
           Aug[If the adult has been assessed for texture-modified Food, please record the level below],
           Sep[If the adult has been assessed for texture-modified Food, please record the level below]),
 _xlpm.R, _xlfn.VSTACK(Jul[Weight (kg) Difference from Highest Weight in 3 - 6 months as %],
           Aug[Weight (kg) Difference from Highest Weight in 3 - 6 months as %],
           Sep[Weight (kg) Difference from Highest Weight in 3 - 6 months as %]),
 _xlpm.Rn, IFERROR(--_xlpm.R,""),
 _xlpm.V, _xlfn._xlws.FILTER(
       _xlpm.N,
       (_xlpm.N&lt;&gt;"") *
       (UPPER(TRIM(_xlpm.P))="NO") *
       (_xlpm.F&lt;&gt;"") *
       (ISNUMBER(_xlpm.Rn)) *
       (_xlpm.Rn&lt;0) * (_xlpm.Rn&lt;=-0.05) * (_xlpm.Rn&gt;-0.1),
       ""
     ),
 IF(_xlpm.V="",0,ROWS(_xlfn.UNIQUE(UPPER(TRIM(_xlpm.V)))))
)</f>
        <v>0</v>
      </c>
      <c r="S18" s="349" cm="1">
        <f t="array" ref="S18">_xlfn.LET(
 _xlpm.N, _xlfn.VSTACK(Jul[Name], Aug[Name], Sep[Name]),
 _xlpm.P, _xlfn.VSTACK(Jul[If Weight has been lost, is this Planned? (Yes/No)],
           Aug[If Weight has been lost, is this Planned? (Yes/No)],
           Sep[If Weight has been lost, is this Planned? (Yes/No)]),
 _xlpm.FL, _xlfn.VSTACK(Jul[If the adult has been assessed for texture-modified Fluid, please record the level below],
            Aug[If the adult has been assessed for texture-modified Fluid, please record the level below],
            Sep[If the adult has been assessed for texture-modified Fluid, please record the level below]),
 _xlpm.R, _xlfn.VSTACK(Jul[Weight (kg) Difference from Highest Weight in 3 - 6 months as %],
           Aug[Weight (kg) Difference from Highest Weight in 3 - 6 months as %],
           Sep[Weight (kg) Difference from Highest Weight in 3 - 6 months as %]),
 _xlpm.Rn, IFERROR(--_xlpm.R,""),
 _xlpm.V, _xlfn._xlws.FILTER(
       _xlpm.N,
       (_xlpm.N&lt;&gt;"") *
       (UPPER(TRIM(_xlpm.P))="NO") *
       (_xlpm.FL&lt;&gt;"") *
       (ISNUMBER(_xlpm.Rn)) *
       (_xlpm.Rn&lt;0) * (_xlpm.Rn&lt;=-0.05) * (_xlpm.Rn&gt;-0.1),
       ""
     ),
 IF(_xlpm.V="",0,ROWS(_xlfn.UNIQUE(UPPER(TRIM(_xlpm.V)))))
)</f>
        <v>0</v>
      </c>
      <c r="T18" s="350" cm="1">
        <f t="array" ref="T18">_xlfn.LET(
 _xlpm.N, _xlfn.VSTACK(Jul[Name], Aug[Name], Sep[Name]),
 _xlpm.P, _xlfn.VSTACK(Jul[If Weight has been lost, is this Planned? (Yes/No)],
           Aug[If Weight has been lost, is this Planned? (Yes/No)],
           Sep[If Weight has been lost, is this Planned? (Yes/No)]),
 _xlpm.D, _xlfn.VSTACK(Jul[Is the adult on a special/fortified diet? 
(e.g. cultural, dietary restrictions, fortified etc)
(Yes/No)],
           Aug[Is the adult on a special/fortified diet? 
(e.g. cultural, dietary restrictions, fortified etc)
(Yes/No)],
           Sep[Is the adult on a special/fortified diet? 
(e.g. cultural, dietary restrictions, fortified etc)
(Yes/No)]),
 _xlpm.R, _xlfn.VSTACK(Jul[Weight (kg) Difference from Highest Weight in 3 - 6 months as %],
           Aug[Weight (kg) Difference from Highest Weight in 3 - 6 months as %],
           Sep[Weight (kg) Difference from Highest Weight in 3 - 6 months as %]),
 _xlpm.Rn, IFERROR(--_xlpm.R,""),
 _xlpm.V, _xlfn._xlws.FILTER(
        _xlpm.N,
        (_xlpm.N&lt;&gt;"") *
        (UPPER(TRIM(_xlpm.P))="NO") *
        (UPPER(TRIM(_xlpm.D))="YES") *
        (ISNUMBER(_xlpm.Rn)) *
        (_xlpm.Rn&lt;-0.1),
        ""
     ),
 IF(_xlpm.V="",0,ROWS(_xlfn.UNIQUE(UPPER(TRIM(_xlpm.V)))))
)</f>
        <v>0</v>
      </c>
      <c r="U18" s="347" cm="1">
        <f t="array" ref="U18">_xlfn.LET(
 _xlpm.N, _xlfn.VSTACK(Jul[Name], Aug[Name], Sep[Name]),
 _xlpm.P, _xlfn.VSTACK(Jul[If Weight has been lost, is this Planned? (Yes/No)],
           Aug[If Weight has been lost, is this Planned? (Yes/No)],
           Sep[If Weight has been lost, is this Planned? (Yes/No)]),
 _xlpm.F, _xlfn.VSTACK(Jul[If the adult has been assessed for texture-modified Food, please record the level below],
           Aug[If the adult has been assessed for texture-modified Food, please record the level below],
           Sep[If the adult has been assessed for texture-modified Food, please record the level below]),
 _xlpm.R, _xlfn.VSTACK(Jul[Weight (kg) Difference from Highest Weight in 3 - 6 months as %],
           Aug[Weight (kg) Difference from Highest Weight in 3 - 6 months as %],
           Sep[Weight (kg) Difference from Highest Weight in 3 - 6 months as %]),
 _xlpm.Rn, IFERROR(--_xlpm.R,""),
 _xlpm.V, _xlfn._xlws.FILTER(_xlpm.N,
           (_xlpm.N&lt;&gt;"") *
           (UPPER(TRIM(_xlpm.P))="NO") *
           (_xlpm.F&lt;&gt;"") *
           (ISNUMBER(_xlpm.Rn)) *
           (_xlpm.Rn&lt;-0.1),
           ""),
 IF(_xlpm.V="",0,ROWS(_xlfn.UNIQUE(UPPER(TRIM(_xlpm.V)))))
)</f>
        <v>0</v>
      </c>
      <c r="V18" s="351" cm="1">
        <f t="array" ref="V18">_xlfn.LET(
 _xlpm.N, _xlfn.VSTACK(Jul[Name], Aug[Name], Sep[Name]),
 _xlpm.P, _xlfn.VSTACK(Jul[If Weight has been lost, is this Planned? (Yes/No)],
           Aug[If Weight has been lost, is this Planned? (Yes/No)],
           Sep[If Weight has been lost, is this Planned? (Yes/No)]),
 _xlpm.FL, _xlfn.VSTACK(Jul[If the adult has been assessed for texture-modified Fluid, please record the level below],
            Aug[If the adult has been assessed for texture-modified Fluid, please record the level below],
            Sep[If the adult has been assessed for texture-modified Fluid, please record the level below]),
 _xlpm.R, _xlfn.VSTACK(Jul[Weight (kg) Difference from Highest Weight in 3 - 6 months as %],
           Aug[Weight (kg) Difference from Highest Weight in 3 - 6 months as %],
           Sep[Weight (kg) Difference from Highest Weight in 3 - 6 months as %]),
 _xlpm.Rn, IFERROR(--_xlpm.R,""),
 _xlpm.V, _xlfn._xlws.FILTER(
       _xlpm.N,
       (_xlpm.N&lt;&gt;"") *
       (UPPER(TRIM(_xlpm.P))="NO") *
       (_xlpm.FL&lt;&gt;"") *
       (ISNUMBER(_xlpm.Rn)) *
       (_xlpm.Rn&lt;-0.1),
       ""
     ),
 IF(_xlpm.V="",0,ROWS(_xlfn.UNIQUE(UPPER(TRIM(_xlpm.V)))))
)</f>
        <v>0</v>
      </c>
      <c r="W18" s="352"/>
      <c r="X18" s="353"/>
      <c r="Y18" s="353"/>
      <c r="Z18" s="354"/>
    </row>
    <row r="19" spans="2:26" ht="50.1" customHeight="1" x14ac:dyDescent="0.25">
      <c r="B19" s="188" t="s">
        <v>5</v>
      </c>
      <c r="C19" s="201">
        <f>COUNTA(Oct[Name])</f>
        <v>0</v>
      </c>
      <c r="D19" s="193">
        <f>COUNTIF(Oct[October BMI (kg/m2)],"&gt;20")</f>
        <v>0</v>
      </c>
      <c r="E19" s="194">
        <f>COUNTIFS(Oct[October BMI (kg/m2)], "&gt;=18.5", Oct[October BMI (kg/m2)], "&lt;=20")</f>
        <v>0</v>
      </c>
      <c r="F19" s="195">
        <f>COUNTIF(Oct[October BMI (kg/m2)],"&lt;18.5")</f>
        <v>0</v>
      </c>
      <c r="G19" s="196">
        <f>COUNTIF(Oct[[October MUST Score ]],"0")</f>
        <v>0</v>
      </c>
      <c r="H19" s="194">
        <f>COUNTIF(Oct[[October MUST Score ]],"1")</f>
        <v>0</v>
      </c>
      <c r="I19" s="195">
        <f>COUNTIF(Oct[[October MUST Score ]],"&gt;1")</f>
        <v>0</v>
      </c>
      <c r="J19" s="196">
        <f>COUNTIF(Oct[Is the adult on a special/fortified diet? 
(e.g. cultural, dietary restrictions, fortified etc)
(Yes/No)],"Yes")</f>
        <v>0</v>
      </c>
      <c r="K19" s="194" cm="1">
        <f t="array" ref="K19">SUMPRODUCT(COUNTIF(Oct[If the adult has been assessed for texture-modified Food, please record the level below],Validation!$A$27:$A$31))</f>
        <v>0</v>
      </c>
      <c r="L19" s="197" cm="1">
        <f t="array" ref="L19">SUMPRODUCT(COUNTIF(Oct[If the adult has been assessed for texture-modified Fluid, please record the level below],Validation!$A$33:$A$37))</f>
        <v>0</v>
      </c>
      <c r="M19" s="196">
        <f>COUNTIFS(Oct[If Weight has been lost, is this Planned? (Yes/No)],"No",Oct[Name],"&lt;&gt;")</f>
        <v>0</v>
      </c>
      <c r="N19" s="194">
        <f>COUNTIFS(Oct[Name],"&lt;&gt;",Oct[If Weight has been lost, is this Planned? (Yes/No)],"No",Oct[Weight (kg) Difference from Highest Weight in 3 - 6 months as %],"&lt;0",Oct[Weight (kg) Difference from Highest Weight in 3 - 6 months as %],"&gt;-0.05")</f>
        <v>0</v>
      </c>
      <c r="O19" s="194">
        <f>COUNTIFS(Oct[Name],"&lt;&gt;",Oct[If Weight has been lost, is this Planned? (Yes/No)],"No",Oct[Weight (kg) Difference from Highest Weight in 3 - 6 months as %],"&lt;=-0.05",Oct[Weight (kg) Difference from Highest Weight in 3 - 6 months as %],"&gt;-0.10")</f>
        <v>0</v>
      </c>
      <c r="P19" s="197">
        <f>COUNTIFS(Oct[Name],"&lt;&gt;",Oct[If Weight has been lost, is this Planned? (Yes/No)],"No",Oct[Weight (kg) Difference from Highest Weight in 3 - 6 months as %],"&lt;=-0.10")</f>
        <v>0</v>
      </c>
      <c r="Q19" s="193">
        <f>COUNTIFS(Oct[Name],"&lt;&gt;",Oct[If Weight has been lost, is this Planned? (Yes/No)],"No",Oct[Weight (kg) Difference from Highest Weight in 3 - 6 months as %],"&lt;=-0.05",Oct[Weight (kg) Difference from Highest Weight in 3 - 6 months as %],"&gt;-0.10",Oct[Is the adult on a special/fortified diet? 
(e.g. cultural, dietary restrictions, fortified etc)
(Yes/No)],"Yes")</f>
        <v>0</v>
      </c>
      <c r="R19" s="194">
        <f>COUNTIFS(Oct[Name],"&lt;&gt;",Oct[If Weight has been lost, is this Planned? (Yes/No)],"No",Oct[Weight (kg) Difference from Highest Weight in 3 - 6 months as %],"&lt;=-0.05",Oct[Weight (kg) Difference from Highest Weight in 3 - 6 months as %],"&gt;-0.10",Oct[If the adult has been assessed for texture-modified Food, please record the level below],"&lt;&gt;")</f>
        <v>0</v>
      </c>
      <c r="S19" s="195">
        <f>COUNTIFS(Oct[Name],"&lt;&gt;",Oct[If Weight has been lost, is this Planned? (Yes/No)],"No",Oct[Weight (kg) Difference from Highest Weight in 3 - 6 months as %],"&lt;=-0.05",Oct[Weight (kg) Difference from Highest Weight in 3 - 6 months as %],"&gt;-0.10",Oct[If the adult has been assessed for texture-modified Fluid, please record the level below],"&lt;&gt;")</f>
        <v>0</v>
      </c>
      <c r="T19" s="196">
        <f>COUNTIFS(Oct[Name],"&lt;&gt;",Oct[If Weight has been lost, is this Planned? (Yes/No)],"No",Oct[Weight (kg) Difference from Highest Weight in 3 - 6 months as %],"&lt;=-0.10",Oct[Is the adult on a special/fortified diet? 
(e.g. cultural, dietary restrictions, fortified etc)
(Yes/No)],"Yes")</f>
        <v>0</v>
      </c>
      <c r="U19" s="194">
        <f>COUNTIFS(Oct[Name],"&lt;&gt;",Oct[If Weight has been lost, is this Planned? (Yes/No)],"No",Oct[Weight (kg) Difference from Highest Weight in 3 - 6 months as %],"&lt;=-0.10",Oct[If the adult has been assessed for texture-modified Food, please record the level below],"&lt;&gt;")</f>
        <v>0</v>
      </c>
      <c r="V19" s="197">
        <f>COUNTIFS(Oct[Name],"&lt;&gt;",Oct[If Weight has been lost, is this Planned? (Yes/No)],"No",Oct[Weight (kg) Difference from Highest Weight in 3 - 6 months as %],"&lt;=-0.10",Oct[If the adult has been assessed for texture-modified Fluid, please record the level below],"&lt;&gt;")</f>
        <v>0</v>
      </c>
      <c r="W19" s="170"/>
      <c r="X19" s="66"/>
      <c r="Y19" s="66"/>
      <c r="Z19" s="22"/>
    </row>
    <row r="20" spans="2:26" ht="50.1" customHeight="1" x14ac:dyDescent="0.25">
      <c r="B20" s="189" t="s">
        <v>4</v>
      </c>
      <c r="C20" s="202">
        <f>COUNTA(Nov[Name])</f>
        <v>0</v>
      </c>
      <c r="D20" s="184">
        <f>COUNTIF(Nov[November BMI (kg/m2)],"&gt;20")</f>
        <v>0</v>
      </c>
      <c r="E20" s="180">
        <f>COUNTIFS(Nov[November BMI (kg/m2)], "&gt;=18.5", Nov[November BMI (kg/m2)], "&lt;=20")</f>
        <v>0</v>
      </c>
      <c r="F20" s="182">
        <f>COUNTIF(Nov[November BMI (kg/m2)],"&lt;18.5")</f>
        <v>0</v>
      </c>
      <c r="G20" s="186">
        <f>COUNTIF(Nov[[November MUST Score ]],"0")</f>
        <v>0</v>
      </c>
      <c r="H20" s="180">
        <f>COUNTIF(Nov[[November MUST Score ]],"1")</f>
        <v>0</v>
      </c>
      <c r="I20" s="182">
        <f>COUNTIF(Nov[[November MUST Score ]],"&gt;1")</f>
        <v>0</v>
      </c>
      <c r="J20" s="186">
        <f>COUNTIF(Nov[Is the adult on a special/fortified diet? 
(e.g. cultural, dietary restrictions, fortified etc)
(Yes/No)],"Yes")</f>
        <v>0</v>
      </c>
      <c r="K20" s="180" cm="1">
        <f t="array" ref="K20">SUMPRODUCT(COUNTIF(Nov[If the adult has been assessed for texture-modified Food, please record the level below],Validation!$A$27:$A$31))</f>
        <v>0</v>
      </c>
      <c r="L20" s="187" cm="1">
        <f t="array" ref="L20">SUMPRODUCT(COUNTIF(Nov[If the adult has been assessed for texture-modified Fluid, please record the level below],Validation!$A$33:$A$37))</f>
        <v>0</v>
      </c>
      <c r="M20" s="186">
        <f>COUNTIFS(Nov[If Weight has been lost, is this Planned? (Yes/No)],"No",Nov[Name],"&lt;&gt;")</f>
        <v>0</v>
      </c>
      <c r="N20" s="180">
        <f>COUNTIFS(Nov[Name],"&lt;&gt;",Nov[If Weight has been lost, is this Planned? (Yes/No)],"No",Nov[Weight (kg) Difference from Highest Weight in 3 - 6 months as %],"&lt;0",Nov[Weight (kg) Difference from Highest Weight in 3 - 6 months as %],"&gt;-0.05")</f>
        <v>0</v>
      </c>
      <c r="O20" s="180">
        <f>COUNTIFS(Nov[Name],"&lt;&gt;",Nov[If Weight has been lost, is this Planned? (Yes/No)],"No",Nov[Weight (kg) Difference from Highest Weight in 3 - 6 months as %],"&lt;=-0.05",Nov[Weight (kg) Difference from Highest Weight in 3 - 6 months as %],"&gt;-0.10")</f>
        <v>0</v>
      </c>
      <c r="P20" s="187">
        <f>COUNTIFS(Nov[Name],"&lt;&gt;",Nov[If Weight has been lost, is this Planned? (Yes/No)],"No",Nov[Weight (kg) Difference from Highest Weight in 3 - 6 months as %],"&lt;=-0.10")</f>
        <v>0</v>
      </c>
      <c r="Q20" s="184">
        <f>COUNTIFS(Nov[Name],"&lt;&gt;",Nov[If Weight has been lost, is this Planned? (Yes/No)],"No",Nov[Weight (kg) Difference from Highest Weight in 3 - 6 months as %],"&lt;=-0.05",Nov[Weight (kg) Difference from Highest Weight in 3 - 6 months as %],"&gt;-0.10",Nov[Is the adult on a special/fortified diet? 
(e.g. cultural, dietary restrictions, fortified etc)
(Yes/No)],"Yes")</f>
        <v>0</v>
      </c>
      <c r="R20" s="180">
        <f>COUNTIFS(Nov[Name],"&lt;&gt;",Nov[If Weight has been lost, is this Planned? (Yes/No)],"No",Nov[Weight (kg) Difference from Highest Weight in 3 - 6 months as %],"&lt;=-0.05",Nov[Weight (kg) Difference from Highest Weight in 3 - 6 months as %],"&gt;-0.10",Nov[If the adult has been assessed for texture-modified Food, please record the level below],"&lt;&gt;")</f>
        <v>0</v>
      </c>
      <c r="S20" s="182">
        <f>COUNTIFS(Nov[Name],"&lt;&gt;",Nov[If Weight has been lost, is this Planned? (Yes/No)],"No",Nov[Weight (kg) Difference from Highest Weight in 3 - 6 months as %],"&lt;=-0.05",Nov[Weight (kg) Difference from Highest Weight in 3 - 6 months as %],"&gt;-0.10",Nov[If the adult has been assessed for texture-modified Fluid, please record the level below],"&lt;&gt;")</f>
        <v>0</v>
      </c>
      <c r="T20" s="186">
        <f>COUNTIFS(Nov[Name],"&lt;&gt;",Nov[If Weight has been lost, is this Planned? (Yes/No)],"No",Nov[Weight (kg) Difference from Highest Weight in 3 - 6 months as %],"&lt;=-0.10",Nov[Is the adult on a special/fortified diet? 
(e.g. cultural, dietary restrictions, fortified etc)
(Yes/No)],"Yes")</f>
        <v>0</v>
      </c>
      <c r="U20" s="180">
        <f>COUNTIFS(Nov[Name],"&lt;&gt;",Nov[If Weight has been lost, is this Planned? (Yes/No)],"No",Nov[Weight (kg) Difference from Highest Weight in 3 - 6 months as %],"&lt;=-0.10",Nov[If the adult has been assessed for texture-modified Food, please record the level below],"&lt;&gt;")</f>
        <v>0</v>
      </c>
      <c r="V20" s="187">
        <f>COUNTIFS(Nov[Name],"&lt;&gt;",Nov[If Weight has been lost, is this Planned? (Yes/No)],"No",Nov[Weight (kg) Difference from Highest Weight in 3 - 6 months as %],"&lt;=-0.10",Nov[If the adult has been assessed for texture-modified Fluid, please record the level below],"&lt;&gt;")</f>
        <v>0</v>
      </c>
      <c r="W20" s="94"/>
      <c r="X20" s="70"/>
      <c r="Y20" s="70"/>
      <c r="Z20" s="17"/>
    </row>
    <row r="21" spans="2:26" ht="50.1" customHeight="1" thickBot="1" x14ac:dyDescent="0.3">
      <c r="B21" s="190" t="s">
        <v>15</v>
      </c>
      <c r="C21" s="203">
        <f>COUNTA(Dec[Name])</f>
        <v>0</v>
      </c>
      <c r="D21" s="185">
        <f>COUNTIF(Dec[December BMI (kg/m2)],"&gt;20")</f>
        <v>0</v>
      </c>
      <c r="E21" s="181">
        <f>COUNTIFS(Dec[December BMI (kg/m2)], "&gt;=18.5", Dec[December BMI (kg/m2)], "&lt;=20")</f>
        <v>0</v>
      </c>
      <c r="F21" s="183">
        <f>COUNTIF(Dec[December BMI (kg/m2)],"&lt;18.5")</f>
        <v>0</v>
      </c>
      <c r="G21" s="191">
        <f>COUNTIF(Dec[[December MUST Score ]],"0")</f>
        <v>0</v>
      </c>
      <c r="H21" s="181">
        <f>COUNTIF(Dec[[December MUST Score ]],"1")</f>
        <v>0</v>
      </c>
      <c r="I21" s="183">
        <f>COUNTIF(Dec[[December MUST Score ]],"&gt;1")</f>
        <v>0</v>
      </c>
      <c r="J21" s="191">
        <f>COUNTIF(Dec[Is the adult on a special/fortified diet? 
(e.g. cultural, dietary restrictions, fortified etc)
(Yes/No)],"Yes")</f>
        <v>0</v>
      </c>
      <c r="K21" s="181" cm="1">
        <f t="array" ref="K21">SUMPRODUCT(COUNTIF(Dec[If the adult has been assessed for texture-modified Food, please record the level below],Validation!$A$27:$A$31))</f>
        <v>0</v>
      </c>
      <c r="L21" s="192" cm="1">
        <f t="array" ref="L21">SUMPRODUCT(COUNTIF(Dec[If the adult has been assessed for texture-modified Fluid, please record the level below],Validation!$A$33:$A$37))</f>
        <v>0</v>
      </c>
      <c r="M21" s="191">
        <f>COUNTIFS(Dec[If Weight has been lost, is this Planned? (Yes/No)],"No",Dec[Name],"&lt;&gt;")</f>
        <v>0</v>
      </c>
      <c r="N21" s="181">
        <f>COUNTIFS(Dec[Name],"&lt;&gt;",Dec[If Weight has been lost, is this Planned? (Yes/No)],"No",Dec[Weight (kg) Difference from Highest Weight in 3 - 6 months as %],"&lt;0",Dec[Weight (kg) Difference from Highest Weight in 3 - 6 months as %],"&gt;-0.05")</f>
        <v>0</v>
      </c>
      <c r="O21" s="181">
        <f>COUNTIFS(Dec[Name],"&lt;&gt;",Dec[If Weight has been lost, is this Planned? (Yes/No)],"No",Dec[Weight (kg) Difference from Highest Weight in 3 - 6 months as %],"&lt;=-0.05",Dec[Weight (kg) Difference from Highest Weight in 3 - 6 months as %],"&gt;-0.10")</f>
        <v>0</v>
      </c>
      <c r="P21" s="192">
        <f>COUNTIFS(Dec[Name],"&lt;&gt;",Dec[If Weight has been lost, is this Planned? (Yes/No)],"No",Dec[Weight (kg) Difference from Highest Weight in 3 - 6 months as %],"&lt;=-0.10")</f>
        <v>0</v>
      </c>
      <c r="Q21" s="185">
        <f>COUNTIFS(Dec[Name],"&lt;&gt;",Dec[If Weight has been lost, is this Planned? (Yes/No)],"No",Dec[Weight (kg) Difference from Highest Weight in 3 - 6 months as %],"&lt;=-0.05",Dec[Weight (kg) Difference from Highest Weight in 3 - 6 months as %],"&gt;-0.10",Dec[Is the adult on a special/fortified diet? 
(e.g. cultural, dietary restrictions, fortified etc)
(Yes/No)],"Yes")</f>
        <v>0</v>
      </c>
      <c r="R21" s="181">
        <f>COUNTIFS(Dec[Name],"&lt;&gt;",Dec[If Weight has been lost, is this Planned? (Yes/No)],"No",Dec[Weight (kg) Difference from Highest Weight in 3 - 6 months as %],"&lt;=-0.05",Dec[Weight (kg) Difference from Highest Weight in 3 - 6 months as %],"&gt;-0.10",Dec[If the adult has been assessed for texture-modified Food, please record the level below],"&lt;&gt;")</f>
        <v>0</v>
      </c>
      <c r="S21" s="183">
        <f>COUNTIFS(Dec[Name],"&lt;&gt;",Dec[If Weight has been lost, is this Planned? (Yes/No)],"No",Dec[Weight (kg) Difference from Highest Weight in 3 - 6 months as %],"&lt;=-0.05",Dec[Weight (kg) Difference from Highest Weight in 3 - 6 months as %],"&gt;-0.10",Dec[If the adult has been assessed for texture-modified Fluid, please record the level below],"&lt;&gt;")</f>
        <v>0</v>
      </c>
      <c r="T21" s="191">
        <f>COUNTIFS(Dec[Name],"&lt;&gt;",Dec[If Weight has been lost, is this Planned? (Yes/No)],"No",Dec[Weight (kg) Difference from Highest Weight in 3 - 6 months as %],"&lt;=-0.10",Dec[Is the adult on a special/fortified diet? 
(e.g. cultural, dietary restrictions, fortified etc)
(Yes/No)],"Yes")</f>
        <v>0</v>
      </c>
      <c r="U21" s="181">
        <f>COUNTIFS(Dec[Name],"&lt;&gt;",Dec[If Weight has been lost, is this Planned? (Yes/No)],"No",Dec[Weight (kg) Difference from Highest Weight in 3 - 6 months as %],"&lt;=-0.10",Dec[If the adult has been assessed for texture-modified Food, please record the level below],"&lt;&gt;")</f>
        <v>0</v>
      </c>
      <c r="V21" s="192">
        <f>COUNTIFS(Dec[Name],"&lt;&gt;",Dec[If Weight has been lost, is this Planned? (Yes/No)],"No",Dec[Weight (kg) Difference from Highest Weight in 3 - 6 months as %],"&lt;=-0.10",Dec[If the adult has been assessed for texture-modified Fluid, please record the level below],"&lt;&gt;")</f>
        <v>0</v>
      </c>
      <c r="W21" s="171"/>
      <c r="X21" s="172"/>
      <c r="Y21" s="172"/>
      <c r="Z21" s="19"/>
    </row>
    <row r="22" spans="2:26" ht="75" customHeight="1" thickBot="1" x14ac:dyDescent="0.3">
      <c r="B22" s="344" t="s">
        <v>200</v>
      </c>
      <c r="C22" s="345" t="e" cm="1" vm="1">
        <f t="array" ref="C22">_xlfn.LET(_xlpm.X,_xlfn.VSTACK(Oct[Name],Nov[Name],Dec[Name]),_xlpm.Clean,TRIM(_xlpm.X),_xlpm.NonBlank,_xlfn._xlws.FILTER(_xlpm.Clean,_xlpm.Clean&lt;&gt;"",_xlfn.SEQUENCE(0)),IF(ROWS(_xlpm.NonBlank)=0,0,ROWS(_xlfn.UNIQUE(UPPER(_xlpm.NonBlank)))))</f>
        <v>#VALUE!</v>
      </c>
      <c r="D22" s="346" t="e" cm="1" vm="1">
        <f t="array" ref="D22">_xlfn.LET(_xlpm.Names,_xlfn.VSTACK(Oct[Name],Nov[Name],Dec[Name]),_xlpm.BMI,_xlfn.VSTACK(Oct[October BMI (kg/m2)],Nov[November BMI (kg/m2)],Dec[December BMI (kg/m2)]),_xlpm.CleanNames,TRIM(_xlpm.Names),_xlpm.Valid,_xlfn._xlws.FILTER(_xlpm.CleanNames,(_xlpm.CleanNames&lt;&gt;"")*(_xlpm.BMI&gt;20),_xlfn.SEQUENCE(0)),IF(ROWS(_xlpm.Valid)=0,0,ROWS(_xlfn.UNIQUE(UPPER(_xlpm.Valid)))))</f>
        <v>#VALUE!</v>
      </c>
      <c r="E22" s="347" t="e" cm="1" vm="1">
        <f t="array" ref="E22">_xlfn.LET(_xlpm.Names,_xlfn.VSTACK(Oct[Name],Nov[Name],Dec[Name]),_xlpm.BMI,_xlfn.VSTACK(Oct[October BMI (kg/m2)],Nov[November BMI (kg/m2)],Dec[December BMI (kg/m2)]),_xlpm.CleanNames,TRIM(_xlpm.Names),_xlpm.Valid,_xlfn._xlws.FILTER(_xlpm.CleanNames,(_xlpm.CleanNames&lt;&gt;"")*ISNUMBER(_xlpm.BMI)*(_xlpm.BMI&gt;=18.5)*(_xlpm.BMI&lt;=20),_xlfn.SEQUENCE(0)),IF(ROWS(_xlpm.Valid)=0,0,ROWS(_xlfn.UNIQUE(UPPER(_xlpm.Valid)))))</f>
        <v>#VALUE!</v>
      </c>
      <c r="F22" s="346" t="e" cm="1" vm="1">
        <f t="array" ref="F22">_xlfn.LET(_xlpm.Names,_xlfn.VSTACK(Oct[Name],Nov[Name],Dec[Name]),_xlpm.BMI,_xlfn.VSTACK(Oct[October BMI (kg/m2)],Nov[November BMI (kg/m2)],Dec[December BMI (kg/m2)]),_xlpm.CleanNames,TRIM(_xlpm.Names),_xlpm.Valid,_xlfn._xlws.FILTER(_xlpm.CleanNames,(_xlpm.CleanNames&lt;&gt;"")*ISNUMBER(_xlpm.BMI)*(_xlpm.BMI&lt;18.5),_xlfn.SEQUENCE(0)),IF(ROWS(_xlpm.Valid)=0,0,ROWS(_xlfn.UNIQUE(UPPER(_xlpm.Valid)))))</f>
        <v>#VALUE!</v>
      </c>
      <c r="G22" s="348" t="e" cm="1" vm="1">
        <f t="array" ref="G22">_xlfn.LET(_xlpm.Names,_xlfn.VSTACK(Oct[Name],Nov[Name],Dec[Name]),_xlpm.Musts,_xlfn.VSTACK(Oct[[October MUST Score ]],Nov[[November MUST Score ]],Dec[[December MUST Score ]]),_xlpm.CleanNames,TRIM(_xlpm.Names),_xlpm.Valid,_xlfn._xlws.FILTER(_xlpm.CleanNames,(_xlpm.CleanNames&lt;&gt;"")*ISNUMBER(_xlpm.Musts)*(_xlpm.Musts=0),_xlfn.SEQUENCE(0)),IF(ROWS(_xlpm.Valid)=0,0,ROWS(_xlfn.UNIQUE(UPPER(_xlpm.Valid)))))</f>
        <v>#VALUE!</v>
      </c>
      <c r="H22" s="349" t="e" cm="1" vm="1">
        <f t="array" ref="H22">_xlfn.LET(_xlpm.Names,_xlfn.VSTACK(Oct[Name],Nov[Name],Dec[Name]),_xlpm.Musts,_xlfn.VSTACK(Oct[[October MUST Score ]],Nov[[November MUST Score ]],Dec[[December MUST Score ]]),_xlpm.CleanNames,TRIM(_xlpm.Names),_xlpm.Valid,_xlfn._xlws.FILTER(_xlpm.CleanNames,(_xlpm.CleanNames&lt;&gt;"")*ISNUMBER(_xlpm.Musts)*(_xlpm.Musts=1),_xlfn.SEQUENCE(0)),IF(ROWS(_xlpm.Valid)=0,0,ROWS(_xlfn.UNIQUE(UPPER(_xlpm.Valid)))))</f>
        <v>#VALUE!</v>
      </c>
      <c r="I22" s="349" t="e" cm="1" vm="1">
        <f t="array" ref="I22">_xlfn.LET(_xlpm.Names,_xlfn.VSTACK(Oct[Name],Nov[Name],Dec[Name]),_xlpm.Musts,_xlfn.VSTACK(Oct[[October MUST Score ]],Nov[[November MUST Score ]],Dec[[December MUST Score ]]),_xlpm.CleanNames,TRIM(_xlpm.Names),_xlpm.Valid,_xlfn._xlws.FILTER(_xlpm.CleanNames,(_xlpm.CleanNames&lt;&gt;"")*ISNUMBER(_xlpm.Musts)*(_xlpm.Musts&gt;=2),_xlfn.SEQUENCE(0)),IF(ROWS(_xlpm.Valid)=0,0,ROWS(_xlfn.UNIQUE(UPPER(_xlpm.Valid)))))</f>
        <v>#VALUE!</v>
      </c>
      <c r="J22" s="350" t="e" cm="1" vm="1">
        <f t="array" ref="J22">_xlfn.LET(_xlpm.Names,_xlfn.VSTACK(Oct[Name],Nov[Name],Dec[Name]),_xlpm.Diet,_xlfn.VSTACK(Oct[Is the adult on a special/fortified diet? 
(e.g. cultural, dietary restrictions, fortified etc)
(Yes/No)],Nov[Is the adult on a special/fortified diet? 
(e.g. cultural, dietary restrictions, fortified etc)
(Yes/No)],Dec[Is the adult on a special/fortified diet? 
(e.g. cultural, dietary restrictions, fortified etc)
(Yes/No)]),_xlpm.Valid,_xlfn._xlws.FILTER(_xlpm.Names,(_xlpm.Names&lt;&gt;"")*(_xlpm.Diet="Yes"),_xlfn.SEQUENCE(0)),IF(ROWS(_xlpm.Valid)=0,0,ROWS(_xlfn.UNIQUE(UPPER(TRIM(_xlpm.Valid))))))</f>
        <v>#VALUE!</v>
      </c>
      <c r="K22" s="347" t="e" cm="1" vm="1">
        <f t="array" ref="K22">_xlfn.LET(
    _xlpm.Names, _xlfn.VSTACK(Oct[Name], Nov[Name], Dec[Name]),
    _xlpm.Food,  _xlfn.VSTACK(Oct[If the adult has been assessed for texture-modified Food, please record the level below],
                  Nov[If the adult has been assessed for texture-modified Food, please record the level below],
                  Dec[If the adult has been assessed for texture-modified Food, please record the level below]),
    _xlpm.CleanNames, TRIM(_xlpm.Names),
    _xlpm.Valid, _xlfn._xlws.FILTER(_xlpm.CleanNames, (_xlpm.CleanNames&lt;&gt;"") * (_xlpm.Food&lt;&gt;""), _xlfn.SEQUENCE(0)),
    IF(ROWS(_xlpm.Valid)=0,0,ROWS(_xlfn.UNIQUE(UPPER(_xlpm.Valid))))
)</f>
        <v>#VALUE!</v>
      </c>
      <c r="L22" s="351" t="e" cm="1" vm="1">
        <f t="array" ref="L22">_xlfn.LET(
    _xlpm.Names, _xlfn.VSTACK(Oct[Name], Nov[Name], Dec[Name]),
    _xlpm.Fluid, _xlfn.VSTACK(Oct[If the adult has been assessed for texture-modified Fluid, please record the level below],
                  Nov[If the adult has been assessed for texture-modified Fluid, please record the level below],
                  Dec[If the adult has been assessed for texture-modified Fluid, please record the level below]),
    _xlpm.CleanNames, TRIM(_xlpm.Names),
    _xlpm.Valid, _xlfn._xlws.FILTER(_xlpm.CleanNames, (_xlpm.CleanNames&lt;&gt;"") * (_xlpm.Fluid&lt;&gt;""), _xlfn.SEQUENCE(0)),
    IF(ROWS(_xlpm.Valid)=0,0,ROWS(_xlfn.UNIQUE(UPPER(_xlpm.Valid))))
)</f>
        <v>#VALUE!</v>
      </c>
      <c r="M22" s="350" t="e" cm="1" vm="1">
        <f t="array" ref="M22">_xlfn.LET(
    _xlpm.Names, _xlfn.VSTACK(Oct[Name], Nov[Name], Dec[Name]),
    _xlpm.Planned, _xlfn.VSTACK(Oct[If Weight has been lost, is this Planned? (Yes/No)],
                    Nov[If Weight has been lost, is this Planned? (Yes/No)],
                    Dec[If Weight has been lost, is this Planned? (Yes/No)]),
    _xlpm.Valid, _xlfn._xlws.FILTER(_xlpm.Names, (_xlpm.Names&lt;&gt;"") * (_xlpm.Planned="No"), _xlfn.SEQUENCE(0)),
    IF(ROWS(_xlpm.Valid)=0,0,ROWS(_xlfn.UNIQUE(UPPER(TRIM(_xlpm.Valid)))))
)</f>
        <v>#VALUE!</v>
      </c>
      <c r="N22" s="347" cm="1">
        <f t="array" ref="N22">_xlfn.LET(
 _xlpm.N, _xlfn.VSTACK(Oct[Name], Nov[Name], Dec[Name]),
 _xlpm.P, _xlfn.VSTACK(Oct[If Weight has been lost, is this Planned? (Yes/No)],
           Nov[If Weight has been lost, is this Planned? (Yes/No)],
           Dec[If Weight has been lost, is this Planned? (Yes/No)]),
 _xlpm.R, _xlfn.VSTACK(Oct[Weight (kg) Difference from Highest Weight in 3 - 6 months as %],
           Nov[Weight (kg) Difference from Highest Weight in 3 - 6 months as %],
           Dec[Weight (kg) Difference from Highest Weight in 3 - 6 months as %]),
 _xlpm.Rn, IFERROR(--_xlpm.R, ""),
 _xlpm.V, _xlfn._xlws.FILTER(_xlpm.N, (_xlpm.N&lt;&gt;"")*(UPPER(TRIM(_xlpm.P))="NO")*(_xlpm.Rn&lt;0)*(_xlpm.Rn&gt;-0.05), ""),
 IF(_xlpm.V="",0,ROWS(_xlfn.UNIQUE(UPPER(TRIM(_xlpm.V)))))
)</f>
        <v>0</v>
      </c>
      <c r="O22" s="347" t="e" cm="1" vm="1">
        <f t="array" ref="O22">_xlfn.LET(
  _xlpm.N, _xlfn.VSTACK(Oct[Name], Nov[Name], Dec[Name]),
  _xlpm.P, _xlfn.VSTACK(Oct[If Weight has been lost, is this Planned? (Yes/No)],
            Nov[If Weight has been lost, is this Planned? (Yes/No)],
            Dec[If Weight has been lost, is this Planned? (Yes/No)]),
  _xlpm.R, _xlfn.VSTACK(Oct[Weight (kg) Difference from Highest Weight in 3 - 6 months as %],
            Nov[Weight (kg) Difference from Highest Weight in 3 - 6 months as %],
            Dec[Weight (kg) Difference from Highest Weight in 3 - 6 months as %]),
  _xlpm.Rn, IFERROR(--_xlpm.R,""),
  _xlpm.V, _xlfn._xlws.FILTER(
        _xlpm.N,
        (_xlpm.N&lt;&gt;"") *
        (UPPER(TRIM(_xlpm.P))="NO") *
        (ISNUMBER(_xlpm.Rn)) *
        (_xlpm.Rn&lt;0) * (_xlpm.Rn&lt;=-0.05) * (_xlpm.Rn&gt;-0.1),
        _xlfn.SEQUENCE(0)
     ),
  IF(ROWS(_xlpm.V)=0, 0, ROWS(_xlfn.UNIQUE(UPPER(TRIM(_xlpm.V)))))
)</f>
        <v>#VALUE!</v>
      </c>
      <c r="P22" s="351" cm="1">
        <f t="array" ref="P22">_xlfn.LET(
 _xlpm.N, _xlfn.VSTACK(Oct[Name], Nov[Name], Dec[Name]),
 _xlpm.P, _xlfn.VSTACK(Oct[If Weight has been lost, is this Planned? (Yes/No)],
           Nov[If Weight has been lost, is this Planned? (Yes/No)],
           Dec[If Weight has been lost, is this Planned? (Yes/No)]),
 _xlpm.R, _xlfn.VSTACK(Oct[Weight (kg) Difference from Highest Weight in 3 - 6 months as %],
           Nov[Weight (kg) Difference from Highest Weight in 3 - 6 months as %],
           Dec[Weight (kg) Difference from Highest Weight in 3 - 6 months as %]),
 _xlpm.Rn, IFERROR(--_xlpm.R,""),
 _xlpm.V, _xlfn._xlws.FILTER(_xlpm.N,(_xlpm.N&lt;&gt;"")*(UPPER(TRIM(_xlpm.P))="NO")*(ISNUMBER(_xlpm.Rn))*(_xlpm.Rn&lt;-0.1),""),
 IF(_xlpm.V="",0,ROWS(_xlfn.UNIQUE(UPPER(TRIM(_xlpm.V)))))
)</f>
        <v>0</v>
      </c>
      <c r="Q22" s="346" cm="1">
        <f t="array" ref="Q22">_xlfn.LET(
 _xlpm.N, _xlfn.VSTACK(Oct[Name], Nov[Name], Dec[Name]),
 _xlpm.P, _xlfn.VSTACK(Oct[If Weight has been lost, is this Planned? (Yes/No)],
           Nov[If Weight has been lost, is this Planned? (Yes/No)],
           Dec[If Weight has been lost, is this Planned? (Yes/No)]),
 _xlpm.D, _xlfn.VSTACK(Oct[Is the adult on a special/fortified diet? 
(e.g. cultural, dietary restrictions, fortified etc)
(Yes/No)],
           Nov[Is the adult on a special/fortified diet? 
(e.g. cultural, dietary restrictions, fortified etc)
(Yes/No)],
           Dec[Is the adult on a special/fortified diet? 
(e.g. cultural, dietary restrictions, fortified etc)
(Yes/No)]),
 _xlpm.R, _xlfn.VSTACK(Oct[Weight (kg) Difference from Highest Weight in 3 - 6 months as %],
           Nov[Weight (kg) Difference from Highest Weight in 3 - 6 months as %],
           Dec[Weight (kg) Difference from Highest Weight in 3 - 6 months as %]),
 _xlpm.Rn, IFERROR(--_xlpm.R, ""),
 _xlpm.V, _xlfn._xlws.FILTER(
       _xlpm.N,
       (_xlpm.N&lt;&gt;"") *
       (UPPER(TRIM(_xlpm.P))="NO") *
       (UPPER(TRIM(_xlpm.D))="YES") *
       (ISNUMBER(_xlpm.Rn)) *
       (_xlpm.Rn&lt;0) * (_xlpm.Rn&lt;=-0.05) * (_xlpm.Rn&gt;-0.1),
       ""
    ),
 IF(_xlpm.V="",0,ROWS(_xlfn.UNIQUE(UPPER(TRIM(_xlpm.V)))))
)</f>
        <v>0</v>
      </c>
      <c r="R22" s="347" cm="1">
        <f t="array" ref="R22">_xlfn.LET(
 _xlpm.N, _xlfn.VSTACK(Oct[Name], Nov[Name], Dec[Name]),
 _xlpm.P, _xlfn.VSTACK(Oct[If Weight has been lost, is this Planned? (Yes/No)],
           Nov[If Weight has been lost, is this Planned? (Yes/No)],
           Dec[If Weight has been lost, is this Planned? (Yes/No)]),
 _xlpm.F, _xlfn.VSTACK(Oct[If the adult has been assessed for texture-modified Food, please record the level below],
           Nov[If the adult has been assessed for texture-modified Food, please record the level below],
           Dec[If the adult has been assessed for texture-modified Food, please record the level below]),
 _xlpm.R, _xlfn.VSTACK(Oct[Weight (kg) Difference from Highest Weight in 3 - 6 months as %],
           Nov[Weight (kg) Difference from Highest Weight in 3 - 6 months as %],
           Dec[Weight (kg) Difference from Highest Weight in 3 - 6 months as %]),
 _xlpm.Rn, IFERROR(--_xlpm.R,""),
 _xlpm.V, _xlfn._xlws.FILTER(
       _xlpm.N,
       (_xlpm.N&lt;&gt;"") *
       (UPPER(TRIM(_xlpm.P))="NO") *
       (_xlpm.F&lt;&gt;"") *
       (ISNUMBER(_xlpm.Rn)) *
       (_xlpm.Rn&lt;0) * (_xlpm.Rn&lt;=-0.05) * (_xlpm.Rn&gt;-0.1),
       ""
     ),
 IF(_xlpm.V="",0,ROWS(_xlfn.UNIQUE(UPPER(TRIM(_xlpm.V)))))
)</f>
        <v>0</v>
      </c>
      <c r="S22" s="349" cm="1">
        <f t="array" ref="S22">_xlfn.LET(
 _xlpm.N, _xlfn.VSTACK(Oct[Name], Nov[Name], Dec[Name]),
 _xlpm.P, _xlfn.VSTACK(Oct[If Weight has been lost, is this Planned? (Yes/No)],
           Nov[If Weight has been lost, is this Planned? (Yes/No)],
           Dec[If Weight has been lost, is this Planned? (Yes/No)]),
 _xlpm.FL, _xlfn.VSTACK(Oct[If the adult has been assessed for texture-modified Fluid, please record the level below],
            Nov[If the adult has been assessed for texture-modified Fluid, please record the level below],
            Dec[If the adult has been assessed for texture-modified Fluid, please record the level below]),
 _xlpm.R, _xlfn.VSTACK(Oct[Weight (kg) Difference from Highest Weight in 3 - 6 months as %],
           Nov[Weight (kg) Difference from Highest Weight in 3 - 6 months as %],
           Dec[Weight (kg) Difference from Highest Weight in 3 - 6 months as %]),
 _xlpm.Rn, IFERROR(--_xlpm.R,""),
 _xlpm.V, _xlfn._xlws.FILTER(
       _xlpm.N,
       (_xlpm.N&lt;&gt;"") *
       (UPPER(TRIM(_xlpm.P))="NO") *
       (_xlpm.FL&lt;&gt;"") *
       (ISNUMBER(_xlpm.Rn)) *
       (_xlpm.Rn&lt;0) * (_xlpm.Rn&lt;=-0.05) * (_xlpm.Rn&gt;-0.1),
       ""
     ),
 IF(_xlpm.V="",0,ROWS(_xlfn.UNIQUE(UPPER(TRIM(_xlpm.V)))))
)</f>
        <v>0</v>
      </c>
      <c r="T22" s="350" cm="1">
        <f t="array" ref="T22">_xlfn.LET(
 _xlpm.N, _xlfn.VSTACK(Oct[Name], Nov[Name], Dec[Name]),
 _xlpm.P, _xlfn.VSTACK(Oct[If Weight has been lost, is this Planned? (Yes/No)],
           Nov[If Weight has been lost, is this Planned? (Yes/No)],
           Dec[If Weight has been lost, is this Planned? (Yes/No)]),
 _xlpm.D, _xlfn.VSTACK(Oct[Is the adult on a special/fortified diet? 
(e.g. cultural, dietary restrictions, fortified etc)
(Yes/No)],
           Nov[Is the adult on a special/fortified diet? 
(e.g. cultural, dietary restrictions, fortified etc)
(Yes/No)],
           Dec[Is the adult on a special/fortified diet? 
(e.g. cultural, dietary restrictions, fortified etc)
(Yes/No)]),
 _xlpm.R, _xlfn.VSTACK(Oct[Weight (kg) Difference from Highest Weight in 3 - 6 months as %],
           Nov[Weight (kg) Difference from Highest Weight in 3 - 6 months as %],
           Dec[Weight (kg) Difference from Highest Weight in 3 - 6 months as %]),
 _xlpm.Rn, IFERROR(--_xlpm.R,""),
 _xlpm.V, _xlfn._xlws.FILTER(
        _xlpm.N,
        (_xlpm.N&lt;&gt;"") *
        (UPPER(TRIM(_xlpm.P))="NO") *
        (UPPER(TRIM(_xlpm.D))="YES") *
        (ISNUMBER(_xlpm.Rn)) *
        (_xlpm.Rn&lt;-0.1),
        ""
     ),
 IF(_xlpm.V="",0,ROWS(_xlfn.UNIQUE(UPPER(TRIM(_xlpm.V)))))
)</f>
        <v>0</v>
      </c>
      <c r="U22" s="347" cm="1">
        <f t="array" ref="U22">_xlfn.LET(
 _xlpm.N, _xlfn.VSTACK(Oct[Name], Nov[Name], Dec[Name]),
 _xlpm.P, _xlfn.VSTACK(Oct[If Weight has been lost, is this Planned? (Yes/No)],
           Nov[If Weight has been lost, is this Planned? (Yes/No)],
           Dec[If Weight has been lost, is this Planned? (Yes/No)]),
 _xlpm.F, _xlfn.VSTACK(Oct[If the adult has been assessed for texture-modified Food, please record the level below],
           Nov[If the adult has been assessed for texture-modified Food, please record the level below],
           Dec[If the adult has been assessed for texture-modified Food, please record the level below]),
 _xlpm.R, _xlfn.VSTACK(Oct[Weight (kg) Difference from Highest Weight in 3 - 6 months as %],
           Nov[Weight (kg) Difference from Highest Weight in 3 - 6 months as %],
           Dec[Weight (kg) Difference from Highest Weight in 3 - 6 months as %]),
 _xlpm.Rn, IFERROR(--_xlpm.R,""),
 _xlpm.V, _xlfn._xlws.FILTER(_xlpm.N,
           (_xlpm.N&lt;&gt;"") *
           (UPPER(TRIM(_xlpm.P))="NO") *
           (_xlpm.F&lt;&gt;"") *
           (ISNUMBER(_xlpm.Rn)) *
           (_xlpm.Rn&lt;-0.1),
           ""),
 IF(_xlpm.V="",0,ROWS(_xlfn.UNIQUE(UPPER(TRIM(_xlpm.V)))))
)</f>
        <v>0</v>
      </c>
      <c r="V22" s="351" cm="1">
        <f t="array" ref="V22">_xlfn.LET(
 _xlpm.N, _xlfn.VSTACK(Oct[Name], Nov[Name], Dec[Name]),
 _xlpm.P, _xlfn.VSTACK(Oct[If Weight has been lost, is this Planned? (Yes/No)],
           Nov[If Weight has been lost, is this Planned? (Yes/No)],
           Dec[If Weight has been lost, is this Planned? (Yes/No)]),
 _xlpm.FL, _xlfn.VSTACK(Oct[If the adult has been assessed for texture-modified Fluid, please record the level below],
            Nov[If the adult has been assessed for texture-modified Fluid, please record the level below],
            Dec[If the adult has been assessed for texture-modified Fluid, please record the level below]),
 _xlpm.R, _xlfn.VSTACK(Oct[Weight (kg) Difference from Highest Weight in 3 - 6 months as %],
           Nov[Weight (kg) Difference from Highest Weight in 3 - 6 months as %],
           Dec[Weight (kg) Difference from Highest Weight in 3 - 6 months as %]),
 _xlpm.Rn, IFERROR(--_xlpm.R,""),
 _xlpm.V, _xlfn._xlws.FILTER(
       _xlpm.N,
       (_xlpm.N&lt;&gt;"") *
       (UPPER(TRIM(_xlpm.P))="NO") *
       (_xlpm.FL&lt;&gt;"") *
       (ISNUMBER(_xlpm.Rn)) *
       (_xlpm.Rn&lt;-0.1),
       ""
     ),
 IF(_xlpm.V="",0,ROWS(_xlfn.UNIQUE(UPPER(TRIM(_xlpm.V)))))
)</f>
        <v>0</v>
      </c>
      <c r="W22" s="352"/>
      <c r="X22" s="353"/>
      <c r="Y22" s="353"/>
      <c r="Z22" s="354"/>
    </row>
    <row r="25" spans="2:26" x14ac:dyDescent="0.25">
      <c r="H25"/>
    </row>
  </sheetData>
  <sheetProtection sheet="1" formatCells="0" formatColumns="0" formatRows="0" insertColumns="0" insertRows="0" insertHyperlinks="0" deleteColumns="0" deleteRows="0" sort="0" autoFilter="0" pivotTables="0"/>
  <mergeCells count="10">
    <mergeCell ref="C2:L2"/>
    <mergeCell ref="W5:Z5"/>
    <mergeCell ref="C4:L4"/>
    <mergeCell ref="D5:F5"/>
    <mergeCell ref="G5:I5"/>
    <mergeCell ref="J5:L5"/>
    <mergeCell ref="M5:P5"/>
    <mergeCell ref="Q5:S5"/>
    <mergeCell ref="T5:V5"/>
    <mergeCell ref="M4:V4"/>
  </mergeCells>
  <phoneticPr fontId="6" type="noConversion"/>
  <pageMargins left="0.7" right="0.7" top="0.75" bottom="0.75" header="0.3" footer="0.3"/>
  <ignoredErrors>
    <ignoredError sqref="C8:C9 D8:O9 K7 N7 C11:O13 C15:O17 C19:O21" calculatedColumn="1"/>
    <ignoredError sqref="C10:O10 C14:O14 C18:O18 C22:O22" evalError="1" calculatedColumn="1"/>
    <ignoredError sqref="P10" evalError="1"/>
  </ignoredErrors>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33A0-64D8-42E4-B242-530772BAC1E8}">
  <dimension ref="A2:E42"/>
  <sheetViews>
    <sheetView topLeftCell="A25" workbookViewId="0">
      <selection activeCell="A43" sqref="A43"/>
    </sheetView>
  </sheetViews>
  <sheetFormatPr defaultRowHeight="15" x14ac:dyDescent="0.25"/>
  <sheetData>
    <row r="2" spans="1:5" x14ac:dyDescent="0.25">
      <c r="A2" t="s">
        <v>20</v>
      </c>
    </row>
    <row r="3" spans="1:5" x14ac:dyDescent="0.25">
      <c r="A3" t="s">
        <v>19</v>
      </c>
    </row>
    <row r="4" spans="1:5" x14ac:dyDescent="0.25">
      <c r="E4" t="s">
        <v>195</v>
      </c>
    </row>
    <row r="5" spans="1:5" x14ac:dyDescent="0.25">
      <c r="A5" t="s">
        <v>6</v>
      </c>
    </row>
    <row r="6" spans="1:5" x14ac:dyDescent="0.25">
      <c r="A6" t="s">
        <v>7</v>
      </c>
    </row>
    <row r="7" spans="1:5" x14ac:dyDescent="0.25">
      <c r="A7" t="s">
        <v>8</v>
      </c>
    </row>
    <row r="8" spans="1:5" x14ac:dyDescent="0.25">
      <c r="A8" t="s">
        <v>31</v>
      </c>
    </row>
    <row r="9" spans="1:5" x14ac:dyDescent="0.25">
      <c r="A9" t="s">
        <v>10</v>
      </c>
    </row>
    <row r="10" spans="1:5" x14ac:dyDescent="0.25">
      <c r="A10" t="s">
        <v>11</v>
      </c>
    </row>
    <row r="11" spans="1:5" x14ac:dyDescent="0.25">
      <c r="A11" t="s">
        <v>12</v>
      </c>
    </row>
    <row r="12" spans="1:5" x14ac:dyDescent="0.25">
      <c r="A12" t="s">
        <v>13</v>
      </c>
    </row>
    <row r="13" spans="1:5" x14ac:dyDescent="0.25">
      <c r="A13" t="s">
        <v>14</v>
      </c>
    </row>
    <row r="14" spans="1:5" x14ac:dyDescent="0.25">
      <c r="A14" t="s">
        <v>5</v>
      </c>
    </row>
    <row r="15" spans="1:5" x14ac:dyDescent="0.25">
      <c r="A15" t="s">
        <v>4</v>
      </c>
    </row>
    <row r="16" spans="1:5" x14ac:dyDescent="0.25">
      <c r="A16" t="s">
        <v>15</v>
      </c>
    </row>
    <row r="17" spans="1:1" x14ac:dyDescent="0.25">
      <c r="A17" t="s">
        <v>32</v>
      </c>
    </row>
    <row r="19" spans="1:1" x14ac:dyDescent="0.25">
      <c r="A19" t="s">
        <v>17</v>
      </c>
    </row>
    <row r="20" spans="1:1" x14ac:dyDescent="0.25">
      <c r="A20" t="s">
        <v>16</v>
      </c>
    </row>
    <row r="21" spans="1:1" x14ac:dyDescent="0.25">
      <c r="A21" t="s">
        <v>21</v>
      </c>
    </row>
    <row r="23" spans="1:1" x14ac:dyDescent="0.25">
      <c r="A23" t="s">
        <v>60</v>
      </c>
    </row>
    <row r="24" spans="1:1" x14ac:dyDescent="0.25">
      <c r="A24" t="s">
        <v>62</v>
      </c>
    </row>
    <row r="25" spans="1:1" x14ac:dyDescent="0.25">
      <c r="A25" t="s">
        <v>61</v>
      </c>
    </row>
    <row r="27" spans="1:1" x14ac:dyDescent="0.25">
      <c r="A27" t="s">
        <v>78</v>
      </c>
    </row>
    <row r="28" spans="1:1" x14ac:dyDescent="0.25">
      <c r="A28" t="s">
        <v>79</v>
      </c>
    </row>
    <row r="29" spans="1:1" x14ac:dyDescent="0.25">
      <c r="A29" t="s">
        <v>80</v>
      </c>
    </row>
    <row r="30" spans="1:1" x14ac:dyDescent="0.25">
      <c r="A30" t="s">
        <v>81</v>
      </c>
    </row>
    <row r="31" spans="1:1" x14ac:dyDescent="0.25">
      <c r="A31" t="s">
        <v>82</v>
      </c>
    </row>
    <row r="33" spans="1:1" x14ac:dyDescent="0.25">
      <c r="A33" t="s">
        <v>77</v>
      </c>
    </row>
    <row r="34" spans="1:1" x14ac:dyDescent="0.25">
      <c r="A34" t="s">
        <v>73</v>
      </c>
    </row>
    <row r="35" spans="1:1" x14ac:dyDescent="0.25">
      <c r="A35" t="s">
        <v>74</v>
      </c>
    </row>
    <row r="36" spans="1:1" x14ac:dyDescent="0.25">
      <c r="A36" t="s">
        <v>75</v>
      </c>
    </row>
    <row r="37" spans="1:1" x14ac:dyDescent="0.25">
      <c r="A37" t="s">
        <v>76</v>
      </c>
    </row>
    <row r="41" spans="1:1" x14ac:dyDescent="0.25">
      <c r="A41" s="214" t="s">
        <v>241</v>
      </c>
    </row>
    <row r="42" spans="1:1" x14ac:dyDescent="0.25">
      <c r="A42" t="s">
        <v>242</v>
      </c>
    </row>
  </sheetData>
  <hyperlinks>
    <hyperlink ref="A41" r:id="rId1" xr:uid="{D4C54AC8-CC45-43D1-B456-6E141768B8E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Guidance Sheet</vt:lpstr>
      <vt:lpstr>Weight Overview</vt:lpstr>
      <vt:lpstr>Jan</vt:lpstr>
      <vt:lpstr>Feb</vt:lpstr>
      <vt:lpstr>Mar</vt:lpstr>
      <vt:lpstr>Apr</vt:lpstr>
      <vt:lpstr>May</vt:lpstr>
      <vt:lpstr>Jun</vt:lpstr>
      <vt:lpstr>Jul</vt:lpstr>
      <vt:lpstr>Aug</vt:lpstr>
      <vt:lpstr>Sep</vt:lpstr>
      <vt:lpstr>Oct</vt:lpstr>
      <vt:lpstr>Nov</vt:lpstr>
      <vt:lpstr>Dec</vt:lpstr>
      <vt:lpstr>Action Plan</vt:lpstr>
      <vt:lpstr>Trend Analysis</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cassie.phillips3</dc:creator>
  <cp:lastModifiedBy>Cassie Phillips - Provider Quality Improvement Officer</cp:lastModifiedBy>
  <dcterms:created xsi:type="dcterms:W3CDTF">2023-06-23T11:06:40Z</dcterms:created>
  <dcterms:modified xsi:type="dcterms:W3CDTF">2026-02-18T12:22:19Z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d8be9e-c8d9-4b9c-bd40-2c27cc7ea2e6_Enabled">
    <vt:lpwstr>true</vt:lpwstr>
  </property>
  <property fmtid="{D5CDD505-2E9C-101B-9397-08002B2CF9AE}" pid="3" name="MSIP_Label_39d8be9e-c8d9-4b9c-bd40-2c27cc7ea2e6_SetDate">
    <vt:lpwstr>2023-06-23T13:13:02Z</vt:lpwstr>
  </property>
  <property fmtid="{D5CDD505-2E9C-101B-9397-08002B2CF9AE}" pid="4" name="MSIP_Label_39d8be9e-c8d9-4b9c-bd40-2c27cc7ea2e6_Method">
    <vt:lpwstr>Privileged</vt:lpwstr>
  </property>
  <property fmtid="{D5CDD505-2E9C-101B-9397-08002B2CF9AE}" pid="5" name="MSIP_Label_39d8be9e-c8d9-4b9c-bd40-2c27cc7ea2e6_Name">
    <vt:lpwstr>39d8be9e-c8d9-4b9c-bd40-2c27cc7ea2e6</vt:lpwstr>
  </property>
  <property fmtid="{D5CDD505-2E9C-101B-9397-08002B2CF9AE}" pid="6" name="MSIP_Label_39d8be9e-c8d9-4b9c-bd40-2c27cc7ea2e6_SiteId">
    <vt:lpwstr>a8b4324f-155c-4215-a0f1-7ed8cc9a992f</vt:lpwstr>
  </property>
  <property fmtid="{D5CDD505-2E9C-101B-9397-08002B2CF9AE}" pid="7" name="MSIP_Label_39d8be9e-c8d9-4b9c-bd40-2c27cc7ea2e6_ActionId">
    <vt:lpwstr>42dee5f2-aae4-4635-8e49-0fa976394cbf</vt:lpwstr>
  </property>
  <property fmtid="{D5CDD505-2E9C-101B-9397-08002B2CF9AE}" pid="8" name="MSIP_Label_39d8be9e-c8d9-4b9c-bd40-2c27cc7ea2e6_ContentBits">
    <vt:lpwstr>0</vt:lpwstr>
  </property>
</Properties>
</file>