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W:\Provider Quality Team\Resource Library\Section F - Quality Assurance\Allocations, Dependency &amp; Rotas\"/>
    </mc:Choice>
  </mc:AlternateContent>
  <xr:revisionPtr revIDLastSave="0" documentId="8_{8DED1CB7-33F7-D44B-88E4-A4C542CB1E58}" xr6:coauthVersionLast="47" xr6:coauthVersionMax="47" xr10:uidLastSave="{00000000-0000-0000-0000-000000000000}"/>
  <bookViews>
    <workbookView xWindow="-120" yWindow="-120" windowWidth="20730" windowHeight="11040" xr2:uid="{576675F9-F007-4583-BD10-5F141FD6DA4B}"/>
  </bookViews>
  <sheets>
    <sheet name="Guidance" sheetId="4" r:id="rId1"/>
    <sheet name="Baseline" sheetId="2" r:id="rId2"/>
    <sheet name="Additional Needs" sheetId="1" r:id="rId3"/>
    <sheet name="Jan" sheetId="3" r:id="rId4"/>
    <sheet name="Feb" sheetId="5" r:id="rId5"/>
    <sheet name="Mar" sheetId="6" r:id="rId6"/>
    <sheet name="Apr" sheetId="7" r:id="rId7"/>
    <sheet name="May" sheetId="8" r:id="rId8"/>
    <sheet name="Jun" sheetId="9" r:id="rId9"/>
    <sheet name="Jul" sheetId="10" r:id="rId10"/>
    <sheet name="Aug" sheetId="11" r:id="rId11"/>
    <sheet name="Sep" sheetId="12" r:id="rId12"/>
    <sheet name="Oct" sheetId="13" r:id="rId13"/>
    <sheet name="Nov" sheetId="14" r:id="rId14"/>
    <sheet name="Dec"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3" i="3" l="1"/>
  <c r="AI13" i="3"/>
  <c r="AG13" i="3"/>
  <c r="AE42" i="15"/>
  <c r="AK43" i="15"/>
  <c r="AE41" i="15"/>
  <c r="AE40" i="15"/>
  <c r="AE38" i="15"/>
  <c r="AK36" i="15"/>
  <c r="AL36" i="15"/>
  <c r="AI36" i="15"/>
  <c r="AJ36" i="15"/>
  <c r="AG36" i="15"/>
  <c r="AH36" i="15"/>
  <c r="AE36" i="15"/>
  <c r="AF36" i="15"/>
  <c r="AK35" i="15"/>
  <c r="AL35" i="15"/>
  <c r="AI35" i="15"/>
  <c r="AJ35" i="15"/>
  <c r="AG35" i="15"/>
  <c r="AH35" i="15"/>
  <c r="AE35" i="15"/>
  <c r="AF35" i="15"/>
  <c r="AK34" i="15"/>
  <c r="AL34" i="15"/>
  <c r="AI34" i="15"/>
  <c r="AJ34" i="15"/>
  <c r="AG34" i="15"/>
  <c r="AH34" i="15"/>
  <c r="AE34" i="15"/>
  <c r="AF34" i="15"/>
  <c r="AK33" i="15"/>
  <c r="AL33" i="15"/>
  <c r="AI33" i="15"/>
  <c r="AJ33" i="15"/>
  <c r="AG33" i="15"/>
  <c r="AH33" i="15"/>
  <c r="AE33" i="15"/>
  <c r="AF33" i="15"/>
  <c r="AK32" i="15"/>
  <c r="AL32" i="15"/>
  <c r="AI32" i="15"/>
  <c r="AJ32" i="15"/>
  <c r="AG32" i="15"/>
  <c r="AH32" i="15"/>
  <c r="AE32" i="15"/>
  <c r="AF32" i="15"/>
  <c r="AK31" i="15"/>
  <c r="AL31" i="15"/>
  <c r="AI31" i="15"/>
  <c r="AJ31" i="15"/>
  <c r="AG31" i="15"/>
  <c r="AH31" i="15"/>
  <c r="AE31" i="15"/>
  <c r="AF31" i="15"/>
  <c r="AK30" i="15"/>
  <c r="AL30" i="15"/>
  <c r="AI30" i="15"/>
  <c r="AJ30" i="15"/>
  <c r="AG30" i="15"/>
  <c r="AH30" i="15"/>
  <c r="AE30" i="15"/>
  <c r="AF30" i="15"/>
  <c r="AK29" i="15"/>
  <c r="AL29" i="15"/>
  <c r="AI29" i="15"/>
  <c r="AJ29" i="15"/>
  <c r="AG29" i="15"/>
  <c r="AH29" i="15"/>
  <c r="AE29" i="15"/>
  <c r="AF29" i="15"/>
  <c r="AK28" i="15"/>
  <c r="AL28" i="15"/>
  <c r="AI28" i="15"/>
  <c r="AJ28" i="15"/>
  <c r="AG28" i="15"/>
  <c r="AH28" i="15"/>
  <c r="AE28" i="15"/>
  <c r="AF28" i="15"/>
  <c r="AK27" i="15"/>
  <c r="AL27" i="15"/>
  <c r="AI27" i="15"/>
  <c r="AJ27" i="15"/>
  <c r="AG27" i="15"/>
  <c r="AH27" i="15"/>
  <c r="AE27" i="15"/>
  <c r="AF27" i="15"/>
  <c r="AK26" i="15"/>
  <c r="AL26" i="15"/>
  <c r="AI26" i="15"/>
  <c r="AJ26" i="15"/>
  <c r="AG26" i="15"/>
  <c r="AH26" i="15"/>
  <c r="AE26" i="15"/>
  <c r="AF26" i="15"/>
  <c r="AK25" i="15"/>
  <c r="AL25" i="15"/>
  <c r="AI25" i="15"/>
  <c r="AJ25" i="15"/>
  <c r="AG25" i="15"/>
  <c r="AH25" i="15"/>
  <c r="AE25" i="15"/>
  <c r="AF25" i="15"/>
  <c r="AK24" i="15"/>
  <c r="AL24" i="15"/>
  <c r="AI24" i="15"/>
  <c r="AJ24" i="15"/>
  <c r="AG24" i="15"/>
  <c r="AH24" i="15"/>
  <c r="AE24" i="15"/>
  <c r="AF24" i="15"/>
  <c r="AK23" i="15"/>
  <c r="AL23" i="15"/>
  <c r="AI23" i="15"/>
  <c r="AJ23" i="15"/>
  <c r="AG23" i="15"/>
  <c r="AH23" i="15"/>
  <c r="AE23" i="15"/>
  <c r="AF23" i="15"/>
  <c r="AK22" i="15"/>
  <c r="AL22" i="15"/>
  <c r="AI22" i="15"/>
  <c r="AJ22" i="15"/>
  <c r="AG22" i="15"/>
  <c r="AH22" i="15"/>
  <c r="AE22" i="15"/>
  <c r="AF22" i="15"/>
  <c r="AK21" i="15"/>
  <c r="AL21" i="15"/>
  <c r="AI21" i="15"/>
  <c r="AJ21" i="15"/>
  <c r="AG21" i="15"/>
  <c r="AH21" i="15"/>
  <c r="AE21" i="15"/>
  <c r="AF21" i="15"/>
  <c r="AK20" i="15"/>
  <c r="AL20" i="15"/>
  <c r="AI20" i="15"/>
  <c r="AJ20" i="15"/>
  <c r="AG20" i="15"/>
  <c r="AH20" i="15"/>
  <c r="AE20" i="15"/>
  <c r="AF20" i="15"/>
  <c r="AK19" i="15"/>
  <c r="AL19" i="15"/>
  <c r="AI19" i="15"/>
  <c r="AJ19" i="15"/>
  <c r="AG19" i="15"/>
  <c r="AH19" i="15"/>
  <c r="AE19" i="15"/>
  <c r="AF19" i="15"/>
  <c r="AK18" i="15"/>
  <c r="AL18" i="15"/>
  <c r="AI18" i="15"/>
  <c r="AJ18" i="15"/>
  <c r="AG18" i="15"/>
  <c r="AH18" i="15"/>
  <c r="AE18" i="15"/>
  <c r="AF18" i="15"/>
  <c r="AK17" i="15"/>
  <c r="AL17" i="15"/>
  <c r="AI17" i="15"/>
  <c r="AJ17" i="15"/>
  <c r="AG17" i="15"/>
  <c r="AH17" i="15"/>
  <c r="AE17" i="15"/>
  <c r="AF17" i="15"/>
  <c r="AK16" i="15"/>
  <c r="AL16" i="15"/>
  <c r="AI16" i="15"/>
  <c r="AJ16" i="15"/>
  <c r="AG16" i="15"/>
  <c r="AH16" i="15"/>
  <c r="AE16" i="15"/>
  <c r="AF16" i="15"/>
  <c r="AK15" i="15"/>
  <c r="AL15" i="15"/>
  <c r="AI15" i="15"/>
  <c r="AJ15" i="15"/>
  <c r="AG15" i="15"/>
  <c r="AH15" i="15"/>
  <c r="AE15" i="15"/>
  <c r="AF15" i="15"/>
  <c r="AK14" i="15"/>
  <c r="AL14" i="15"/>
  <c r="AI14" i="15"/>
  <c r="AJ14" i="15"/>
  <c r="AG14" i="15"/>
  <c r="AH14" i="15"/>
  <c r="AE14" i="15"/>
  <c r="AF14" i="15"/>
  <c r="AK13" i="15"/>
  <c r="AL13" i="15"/>
  <c r="AK37" i="15"/>
  <c r="AK39" i="15"/>
  <c r="AI13" i="15"/>
  <c r="AJ13" i="15"/>
  <c r="AG13" i="15"/>
  <c r="AH13" i="15"/>
  <c r="AG37" i="15"/>
  <c r="AG39" i="15"/>
  <c r="AE13" i="15"/>
  <c r="AF13" i="15"/>
  <c r="V8" i="15"/>
  <c r="V7" i="15"/>
  <c r="V6" i="15"/>
  <c r="V5" i="15"/>
  <c r="AE42" i="14"/>
  <c r="AK43" i="14"/>
  <c r="AE41" i="14"/>
  <c r="AE40" i="14"/>
  <c r="AE38" i="14"/>
  <c r="AK36" i="14"/>
  <c r="AL36" i="14"/>
  <c r="AI36" i="14"/>
  <c r="AJ36" i="14"/>
  <c r="AG36" i="14"/>
  <c r="AH36" i="14"/>
  <c r="AE36" i="14"/>
  <c r="AF36" i="14"/>
  <c r="AK35" i="14"/>
  <c r="AL35" i="14"/>
  <c r="AI35" i="14"/>
  <c r="AJ35" i="14"/>
  <c r="AG35" i="14"/>
  <c r="AH35" i="14"/>
  <c r="AE35" i="14"/>
  <c r="AF35" i="14"/>
  <c r="AK34" i="14"/>
  <c r="AL34" i="14"/>
  <c r="AI34" i="14"/>
  <c r="AJ34" i="14"/>
  <c r="AG34" i="14"/>
  <c r="AH34" i="14"/>
  <c r="AE34" i="14"/>
  <c r="AF34" i="14"/>
  <c r="AK33" i="14"/>
  <c r="AL33" i="14"/>
  <c r="AI33" i="14"/>
  <c r="AJ33" i="14"/>
  <c r="AG33" i="14"/>
  <c r="AH33" i="14"/>
  <c r="AE33" i="14"/>
  <c r="AF33" i="14"/>
  <c r="AK32" i="14"/>
  <c r="AL32" i="14"/>
  <c r="AI32" i="14"/>
  <c r="AJ32" i="14"/>
  <c r="AG32" i="14"/>
  <c r="AH32" i="14"/>
  <c r="AE32" i="14"/>
  <c r="AF32" i="14"/>
  <c r="AK31" i="14"/>
  <c r="AL31" i="14"/>
  <c r="AI31" i="14"/>
  <c r="AJ31" i="14"/>
  <c r="AG31" i="14"/>
  <c r="AH31" i="14"/>
  <c r="AE31" i="14"/>
  <c r="AF31" i="14"/>
  <c r="AK30" i="14"/>
  <c r="AL30" i="14"/>
  <c r="AI30" i="14"/>
  <c r="AJ30" i="14"/>
  <c r="AG30" i="14"/>
  <c r="AH30" i="14"/>
  <c r="AE30" i="14"/>
  <c r="AF30" i="14"/>
  <c r="AK29" i="14"/>
  <c r="AL29" i="14"/>
  <c r="AI29" i="14"/>
  <c r="AJ29" i="14"/>
  <c r="AG29" i="14"/>
  <c r="AH29" i="14"/>
  <c r="AE29" i="14"/>
  <c r="AF29" i="14"/>
  <c r="AK28" i="14"/>
  <c r="AL28" i="14"/>
  <c r="AI28" i="14"/>
  <c r="AJ28" i="14"/>
  <c r="AG28" i="14"/>
  <c r="AH28" i="14"/>
  <c r="AE28" i="14"/>
  <c r="AF28" i="14"/>
  <c r="AK27" i="14"/>
  <c r="AL27" i="14"/>
  <c r="AI27" i="14"/>
  <c r="AJ27" i="14"/>
  <c r="AG27" i="14"/>
  <c r="AH27" i="14"/>
  <c r="AE27" i="14"/>
  <c r="AF27" i="14"/>
  <c r="AK26" i="14"/>
  <c r="AL26" i="14"/>
  <c r="AI26" i="14"/>
  <c r="AJ26" i="14"/>
  <c r="AG26" i="14"/>
  <c r="AH26" i="14"/>
  <c r="AE26" i="14"/>
  <c r="AF26" i="14"/>
  <c r="AK25" i="14"/>
  <c r="AL25" i="14"/>
  <c r="AI25" i="14"/>
  <c r="AJ25" i="14"/>
  <c r="AG25" i="14"/>
  <c r="AH25" i="14"/>
  <c r="AE25" i="14"/>
  <c r="AF25" i="14"/>
  <c r="AK24" i="14"/>
  <c r="AL24" i="14"/>
  <c r="AI24" i="14"/>
  <c r="AJ24" i="14"/>
  <c r="AG24" i="14"/>
  <c r="AH24" i="14"/>
  <c r="AE24" i="14"/>
  <c r="AF24" i="14"/>
  <c r="AK23" i="14"/>
  <c r="AL23" i="14"/>
  <c r="AI23" i="14"/>
  <c r="AJ23" i="14"/>
  <c r="AG23" i="14"/>
  <c r="AH23" i="14"/>
  <c r="AE23" i="14"/>
  <c r="AF23" i="14"/>
  <c r="AK22" i="14"/>
  <c r="AL22" i="14"/>
  <c r="AI22" i="14"/>
  <c r="AJ22" i="14"/>
  <c r="AG22" i="14"/>
  <c r="AH22" i="14"/>
  <c r="AE22" i="14"/>
  <c r="AF22" i="14"/>
  <c r="AK21" i="14"/>
  <c r="AL21" i="14"/>
  <c r="AI21" i="14"/>
  <c r="AJ21" i="14"/>
  <c r="AG21" i="14"/>
  <c r="AH21" i="14"/>
  <c r="AE21" i="14"/>
  <c r="AF21" i="14"/>
  <c r="AK20" i="14"/>
  <c r="AL20" i="14"/>
  <c r="AI20" i="14"/>
  <c r="AJ20" i="14"/>
  <c r="AG20" i="14"/>
  <c r="AH20" i="14"/>
  <c r="AE20" i="14"/>
  <c r="AF20" i="14"/>
  <c r="AK19" i="14"/>
  <c r="AL19" i="14"/>
  <c r="AI19" i="14"/>
  <c r="AJ19" i="14"/>
  <c r="AG19" i="14"/>
  <c r="AH19" i="14"/>
  <c r="AE19" i="14"/>
  <c r="AF19" i="14"/>
  <c r="AK18" i="14"/>
  <c r="AL18" i="14"/>
  <c r="AI18" i="14"/>
  <c r="AJ18" i="14"/>
  <c r="AG18" i="14"/>
  <c r="AH18" i="14"/>
  <c r="AE18" i="14"/>
  <c r="AF18" i="14"/>
  <c r="AK17" i="14"/>
  <c r="AL17" i="14"/>
  <c r="AI17" i="14"/>
  <c r="AJ17" i="14"/>
  <c r="AG17" i="14"/>
  <c r="AH17" i="14"/>
  <c r="AE17" i="14"/>
  <c r="AF17" i="14"/>
  <c r="AK16" i="14"/>
  <c r="AL16" i="14"/>
  <c r="AI16" i="14"/>
  <c r="AJ16" i="14"/>
  <c r="AG16" i="14"/>
  <c r="AH16" i="14"/>
  <c r="AE16" i="14"/>
  <c r="AF16" i="14"/>
  <c r="AK15" i="14"/>
  <c r="AL15" i="14"/>
  <c r="AI15" i="14"/>
  <c r="AJ15" i="14"/>
  <c r="AG15" i="14"/>
  <c r="AH15" i="14"/>
  <c r="AE15" i="14"/>
  <c r="AF15" i="14"/>
  <c r="AK14" i="14"/>
  <c r="AL14" i="14"/>
  <c r="AI14" i="14"/>
  <c r="AJ14" i="14"/>
  <c r="AG14" i="14"/>
  <c r="AH14" i="14"/>
  <c r="AE14" i="14"/>
  <c r="AF14" i="14"/>
  <c r="AK13" i="14"/>
  <c r="AL13" i="14"/>
  <c r="AI13" i="14"/>
  <c r="AJ13" i="14"/>
  <c r="AG13" i="14"/>
  <c r="AH13" i="14"/>
  <c r="AG37" i="14"/>
  <c r="AG39" i="14"/>
  <c r="AE13" i="14"/>
  <c r="AF13" i="14"/>
  <c r="V8" i="14"/>
  <c r="V7" i="14"/>
  <c r="V6" i="14"/>
  <c r="V5" i="14"/>
  <c r="AE42" i="13"/>
  <c r="AK43" i="13"/>
  <c r="AE41" i="13"/>
  <c r="AE40" i="13"/>
  <c r="AE38" i="13"/>
  <c r="AK36" i="13"/>
  <c r="AL36" i="13"/>
  <c r="AI36" i="13"/>
  <c r="AJ36" i="13"/>
  <c r="AG36" i="13"/>
  <c r="AH36" i="13"/>
  <c r="AE36" i="13"/>
  <c r="AF36" i="13"/>
  <c r="AK35" i="13"/>
  <c r="AL35" i="13"/>
  <c r="AI35" i="13"/>
  <c r="AJ35" i="13"/>
  <c r="AG35" i="13"/>
  <c r="AH35" i="13"/>
  <c r="AE35" i="13"/>
  <c r="AF35" i="13"/>
  <c r="AK34" i="13"/>
  <c r="AL34" i="13"/>
  <c r="AI34" i="13"/>
  <c r="AJ34" i="13"/>
  <c r="AG34" i="13"/>
  <c r="AH34" i="13"/>
  <c r="AE34" i="13"/>
  <c r="AF34" i="13"/>
  <c r="AK33" i="13"/>
  <c r="AL33" i="13"/>
  <c r="AI33" i="13"/>
  <c r="AJ33" i="13"/>
  <c r="AG33" i="13"/>
  <c r="AH33" i="13"/>
  <c r="AE33" i="13"/>
  <c r="AF33" i="13"/>
  <c r="AK32" i="13"/>
  <c r="AL32" i="13"/>
  <c r="AI32" i="13"/>
  <c r="AJ32" i="13"/>
  <c r="AG32" i="13"/>
  <c r="AH32" i="13"/>
  <c r="AE32" i="13"/>
  <c r="AF32" i="13"/>
  <c r="AK31" i="13"/>
  <c r="AL31" i="13"/>
  <c r="AI31" i="13"/>
  <c r="AJ31" i="13"/>
  <c r="AG31" i="13"/>
  <c r="AH31" i="13"/>
  <c r="AE31" i="13"/>
  <c r="AF31" i="13"/>
  <c r="AK30" i="13"/>
  <c r="AL30" i="13"/>
  <c r="AI30" i="13"/>
  <c r="AJ30" i="13"/>
  <c r="AG30" i="13"/>
  <c r="AH30" i="13"/>
  <c r="AE30" i="13"/>
  <c r="AF30" i="13"/>
  <c r="AK29" i="13"/>
  <c r="AL29" i="13"/>
  <c r="AI29" i="13"/>
  <c r="AJ29" i="13"/>
  <c r="AG29" i="13"/>
  <c r="AH29" i="13"/>
  <c r="AE29" i="13"/>
  <c r="AF29" i="13"/>
  <c r="AK28" i="13"/>
  <c r="AL28" i="13"/>
  <c r="AI28" i="13"/>
  <c r="AJ28" i="13"/>
  <c r="AG28" i="13"/>
  <c r="AH28" i="13"/>
  <c r="AE28" i="13"/>
  <c r="AF28" i="13"/>
  <c r="AK27" i="13"/>
  <c r="AL27" i="13"/>
  <c r="AI27" i="13"/>
  <c r="AJ27" i="13"/>
  <c r="AG27" i="13"/>
  <c r="AH27" i="13"/>
  <c r="AE27" i="13"/>
  <c r="AF27" i="13"/>
  <c r="AK26" i="13"/>
  <c r="AL26" i="13"/>
  <c r="AI26" i="13"/>
  <c r="AJ26" i="13"/>
  <c r="AG26" i="13"/>
  <c r="AH26" i="13"/>
  <c r="AE26" i="13"/>
  <c r="AF26" i="13"/>
  <c r="AK25" i="13"/>
  <c r="AL25" i="13"/>
  <c r="AI25" i="13"/>
  <c r="AJ25" i="13"/>
  <c r="AG25" i="13"/>
  <c r="AH25" i="13"/>
  <c r="AE25" i="13"/>
  <c r="AF25" i="13"/>
  <c r="AK24" i="13"/>
  <c r="AL24" i="13"/>
  <c r="AI24" i="13"/>
  <c r="AJ24" i="13"/>
  <c r="AG24" i="13"/>
  <c r="AH24" i="13"/>
  <c r="AE24" i="13"/>
  <c r="AF24" i="13"/>
  <c r="AK23" i="13"/>
  <c r="AL23" i="13"/>
  <c r="AI23" i="13"/>
  <c r="AJ23" i="13"/>
  <c r="AG23" i="13"/>
  <c r="AH23" i="13"/>
  <c r="AE23" i="13"/>
  <c r="AF23" i="13"/>
  <c r="AK22" i="13"/>
  <c r="AL22" i="13"/>
  <c r="AI22" i="13"/>
  <c r="AJ22" i="13"/>
  <c r="AG22" i="13"/>
  <c r="AH22" i="13"/>
  <c r="AE22" i="13"/>
  <c r="AF22" i="13"/>
  <c r="AK21" i="13"/>
  <c r="AL21" i="13"/>
  <c r="AI21" i="13"/>
  <c r="AJ21" i="13"/>
  <c r="AG21" i="13"/>
  <c r="AH21" i="13"/>
  <c r="AE21" i="13"/>
  <c r="AF21" i="13"/>
  <c r="AK20" i="13"/>
  <c r="AL20" i="13"/>
  <c r="AI20" i="13"/>
  <c r="AJ20" i="13"/>
  <c r="AG20" i="13"/>
  <c r="AH20" i="13"/>
  <c r="AE20" i="13"/>
  <c r="AF20" i="13"/>
  <c r="AK19" i="13"/>
  <c r="AL19" i="13"/>
  <c r="AI19" i="13"/>
  <c r="AJ19" i="13"/>
  <c r="AG19" i="13"/>
  <c r="AH19" i="13"/>
  <c r="AE19" i="13"/>
  <c r="AF19" i="13"/>
  <c r="AK18" i="13"/>
  <c r="AL18" i="13"/>
  <c r="AI18" i="13"/>
  <c r="AJ18" i="13"/>
  <c r="AG18" i="13"/>
  <c r="AH18" i="13"/>
  <c r="AE18" i="13"/>
  <c r="AF18" i="13"/>
  <c r="AK17" i="13"/>
  <c r="AL17" i="13"/>
  <c r="AI17" i="13"/>
  <c r="AJ17" i="13"/>
  <c r="AG17" i="13"/>
  <c r="AH17" i="13"/>
  <c r="AE17" i="13"/>
  <c r="AF17" i="13"/>
  <c r="AK16" i="13"/>
  <c r="AL16" i="13"/>
  <c r="AI16" i="13"/>
  <c r="AJ16" i="13"/>
  <c r="AG16" i="13"/>
  <c r="AH16" i="13"/>
  <c r="AE16" i="13"/>
  <c r="AF16" i="13"/>
  <c r="AK15" i="13"/>
  <c r="AL15" i="13"/>
  <c r="AI15" i="13"/>
  <c r="AJ15" i="13"/>
  <c r="AG15" i="13"/>
  <c r="AH15" i="13"/>
  <c r="AE15" i="13"/>
  <c r="AF15" i="13"/>
  <c r="AK14" i="13"/>
  <c r="AL14" i="13"/>
  <c r="AI14" i="13"/>
  <c r="AJ14" i="13"/>
  <c r="AG14" i="13"/>
  <c r="AH14" i="13"/>
  <c r="AE14" i="13"/>
  <c r="AF14" i="13"/>
  <c r="AK13" i="13"/>
  <c r="AL13" i="13"/>
  <c r="AI13" i="13"/>
  <c r="AJ13" i="13"/>
  <c r="AG13" i="13"/>
  <c r="AH13" i="13"/>
  <c r="AG37" i="13"/>
  <c r="AG39" i="13"/>
  <c r="AE13" i="13"/>
  <c r="AF13" i="13"/>
  <c r="V8" i="13"/>
  <c r="V7" i="13"/>
  <c r="V6" i="13"/>
  <c r="V5" i="13"/>
  <c r="AE42" i="12"/>
  <c r="AK43" i="12"/>
  <c r="AE41" i="12"/>
  <c r="AE40" i="12"/>
  <c r="AE38" i="12"/>
  <c r="AK36" i="12"/>
  <c r="AL36" i="12"/>
  <c r="AI36" i="12"/>
  <c r="AJ36" i="12"/>
  <c r="AG36" i="12"/>
  <c r="AH36" i="12"/>
  <c r="AE36" i="12"/>
  <c r="AF36" i="12"/>
  <c r="AK35" i="12"/>
  <c r="AL35" i="12"/>
  <c r="AI35" i="12"/>
  <c r="AJ35" i="12"/>
  <c r="AG35" i="12"/>
  <c r="AH35" i="12"/>
  <c r="AE35" i="12"/>
  <c r="AF35" i="12"/>
  <c r="AK34" i="12"/>
  <c r="AL34" i="12"/>
  <c r="AI34" i="12"/>
  <c r="AJ34" i="12"/>
  <c r="AG34" i="12"/>
  <c r="AH34" i="12"/>
  <c r="AE34" i="12"/>
  <c r="AF34" i="12"/>
  <c r="AK33" i="12"/>
  <c r="AL33" i="12"/>
  <c r="AI33" i="12"/>
  <c r="AJ33" i="12"/>
  <c r="AG33" i="12"/>
  <c r="AH33" i="12"/>
  <c r="AE33" i="12"/>
  <c r="AF33" i="12"/>
  <c r="AK32" i="12"/>
  <c r="AL32" i="12"/>
  <c r="AI32" i="12"/>
  <c r="AJ32" i="12"/>
  <c r="AG32" i="12"/>
  <c r="AH32" i="12"/>
  <c r="AE32" i="12"/>
  <c r="AF32" i="12"/>
  <c r="AK31" i="12"/>
  <c r="AL31" i="12"/>
  <c r="AI31" i="12"/>
  <c r="AJ31" i="12"/>
  <c r="AG31" i="12"/>
  <c r="AH31" i="12"/>
  <c r="AE31" i="12"/>
  <c r="AF31" i="12"/>
  <c r="AK30" i="12"/>
  <c r="AL30" i="12"/>
  <c r="AI30" i="12"/>
  <c r="AJ30" i="12"/>
  <c r="AG30" i="12"/>
  <c r="AH30" i="12"/>
  <c r="AE30" i="12"/>
  <c r="AF30" i="12"/>
  <c r="AK29" i="12"/>
  <c r="AL29" i="12"/>
  <c r="AI29" i="12"/>
  <c r="AJ29" i="12"/>
  <c r="AG29" i="12"/>
  <c r="AH29" i="12"/>
  <c r="AE29" i="12"/>
  <c r="AF29" i="12"/>
  <c r="AK28" i="12"/>
  <c r="AL28" i="12"/>
  <c r="AI28" i="12"/>
  <c r="AJ28" i="12"/>
  <c r="AG28" i="12"/>
  <c r="AH28" i="12"/>
  <c r="AE28" i="12"/>
  <c r="AF28" i="12"/>
  <c r="AK27" i="12"/>
  <c r="AL27" i="12"/>
  <c r="AI27" i="12"/>
  <c r="AJ27" i="12"/>
  <c r="AG27" i="12"/>
  <c r="AH27" i="12"/>
  <c r="AE27" i="12"/>
  <c r="AF27" i="12"/>
  <c r="AK26" i="12"/>
  <c r="AL26" i="12"/>
  <c r="AI26" i="12"/>
  <c r="AJ26" i="12"/>
  <c r="AG26" i="12"/>
  <c r="AH26" i="12"/>
  <c r="AE26" i="12"/>
  <c r="AF26" i="12"/>
  <c r="AK25" i="12"/>
  <c r="AL25" i="12"/>
  <c r="AI25" i="12"/>
  <c r="AJ25" i="12"/>
  <c r="AG25" i="12"/>
  <c r="AH25" i="12"/>
  <c r="AE25" i="12"/>
  <c r="AF25" i="12"/>
  <c r="AK24" i="12"/>
  <c r="AL24" i="12"/>
  <c r="AI24" i="12"/>
  <c r="AJ24" i="12"/>
  <c r="AG24" i="12"/>
  <c r="AH24" i="12"/>
  <c r="AE24" i="12"/>
  <c r="AF24" i="12"/>
  <c r="AK23" i="12"/>
  <c r="AL23" i="12"/>
  <c r="AI23" i="12"/>
  <c r="AJ23" i="12"/>
  <c r="AG23" i="12"/>
  <c r="AH23" i="12"/>
  <c r="AE23" i="12"/>
  <c r="AF23" i="12"/>
  <c r="AK22" i="12"/>
  <c r="AL22" i="12"/>
  <c r="AI22" i="12"/>
  <c r="AJ22" i="12"/>
  <c r="AG22" i="12"/>
  <c r="AH22" i="12"/>
  <c r="AE22" i="12"/>
  <c r="AF22" i="12"/>
  <c r="AK21" i="12"/>
  <c r="AL21" i="12"/>
  <c r="AI21" i="12"/>
  <c r="AJ21" i="12"/>
  <c r="AG21" i="12"/>
  <c r="AH21" i="12"/>
  <c r="AE21" i="12"/>
  <c r="AF21" i="12"/>
  <c r="AK20" i="12"/>
  <c r="AL20" i="12"/>
  <c r="AI20" i="12"/>
  <c r="AJ20" i="12"/>
  <c r="AG20" i="12"/>
  <c r="AH20" i="12"/>
  <c r="AE20" i="12"/>
  <c r="AF20" i="12"/>
  <c r="AK19" i="12"/>
  <c r="AL19" i="12"/>
  <c r="AI19" i="12"/>
  <c r="AJ19" i="12"/>
  <c r="AG19" i="12"/>
  <c r="AH19" i="12"/>
  <c r="AE19" i="12"/>
  <c r="AF19" i="12"/>
  <c r="AK18" i="12"/>
  <c r="AL18" i="12"/>
  <c r="AI18" i="12"/>
  <c r="AJ18" i="12"/>
  <c r="AG18" i="12"/>
  <c r="AH18" i="12"/>
  <c r="AE18" i="12"/>
  <c r="AF18" i="12"/>
  <c r="AK17" i="12"/>
  <c r="AL17" i="12"/>
  <c r="AI17" i="12"/>
  <c r="AJ17" i="12"/>
  <c r="AG17" i="12"/>
  <c r="AH17" i="12"/>
  <c r="AE17" i="12"/>
  <c r="AF17" i="12"/>
  <c r="AK16" i="12"/>
  <c r="AL16" i="12"/>
  <c r="AI16" i="12"/>
  <c r="AJ16" i="12"/>
  <c r="AG16" i="12"/>
  <c r="AH16" i="12"/>
  <c r="AE16" i="12"/>
  <c r="AF16" i="12"/>
  <c r="AK15" i="12"/>
  <c r="AL15" i="12"/>
  <c r="AI15" i="12"/>
  <c r="AJ15" i="12"/>
  <c r="AG15" i="12"/>
  <c r="AH15" i="12"/>
  <c r="AE15" i="12"/>
  <c r="AF15" i="12"/>
  <c r="AK14" i="12"/>
  <c r="AL14" i="12"/>
  <c r="AI14" i="12"/>
  <c r="AJ14" i="12"/>
  <c r="AG14" i="12"/>
  <c r="AH14" i="12"/>
  <c r="AE14" i="12"/>
  <c r="AF14" i="12"/>
  <c r="AK13" i="12"/>
  <c r="AL13" i="12"/>
  <c r="AI13" i="12"/>
  <c r="AJ13" i="12"/>
  <c r="AG13" i="12"/>
  <c r="AH13" i="12"/>
  <c r="AE13" i="12"/>
  <c r="AF13" i="12"/>
  <c r="V8" i="12"/>
  <c r="V7" i="12"/>
  <c r="V6" i="12"/>
  <c r="V5" i="12"/>
  <c r="AE42" i="11"/>
  <c r="AK43" i="11"/>
  <c r="AE41" i="11"/>
  <c r="AE40" i="11"/>
  <c r="AE38" i="11"/>
  <c r="AK36" i="11"/>
  <c r="AL36" i="11"/>
  <c r="AI36" i="11"/>
  <c r="AJ36" i="11"/>
  <c r="AG36" i="11"/>
  <c r="AH36" i="11"/>
  <c r="AE36" i="11"/>
  <c r="AF36" i="11"/>
  <c r="AK35" i="11"/>
  <c r="AL35" i="11"/>
  <c r="AI35" i="11"/>
  <c r="AJ35" i="11"/>
  <c r="AG35" i="11"/>
  <c r="AH35" i="11"/>
  <c r="AE35" i="11"/>
  <c r="AF35" i="11"/>
  <c r="AK34" i="11"/>
  <c r="AL34" i="11"/>
  <c r="AI34" i="11"/>
  <c r="AJ34" i="11"/>
  <c r="AG34" i="11"/>
  <c r="AH34" i="11"/>
  <c r="AE34" i="11"/>
  <c r="AF34" i="11"/>
  <c r="AK33" i="11"/>
  <c r="AL33" i="11"/>
  <c r="AI33" i="11"/>
  <c r="AJ33" i="11"/>
  <c r="AG33" i="11"/>
  <c r="AH33" i="11"/>
  <c r="AE33" i="11"/>
  <c r="AF33" i="11"/>
  <c r="AK32" i="11"/>
  <c r="AL32" i="11"/>
  <c r="AI32" i="11"/>
  <c r="AJ32" i="11"/>
  <c r="AG32" i="11"/>
  <c r="AH32" i="11"/>
  <c r="AE32" i="11"/>
  <c r="AF32" i="11"/>
  <c r="AK31" i="11"/>
  <c r="AL31" i="11"/>
  <c r="AI31" i="11"/>
  <c r="AJ31" i="11"/>
  <c r="AG31" i="11"/>
  <c r="AH31" i="11"/>
  <c r="AE31" i="11"/>
  <c r="AF31" i="11"/>
  <c r="AK30" i="11"/>
  <c r="AL30" i="11"/>
  <c r="AI30" i="11"/>
  <c r="AJ30" i="11"/>
  <c r="AG30" i="11"/>
  <c r="AH30" i="11"/>
  <c r="AE30" i="11"/>
  <c r="AF30" i="11"/>
  <c r="AK29" i="11"/>
  <c r="AL29" i="11"/>
  <c r="AI29" i="11"/>
  <c r="AJ29" i="11"/>
  <c r="AG29" i="11"/>
  <c r="AH29" i="11"/>
  <c r="AE29" i="11"/>
  <c r="AF29" i="11"/>
  <c r="AK28" i="11"/>
  <c r="AL28" i="11"/>
  <c r="AI28" i="11"/>
  <c r="AJ28" i="11"/>
  <c r="AG28" i="11"/>
  <c r="AH28" i="11"/>
  <c r="AE28" i="11"/>
  <c r="AF28" i="11"/>
  <c r="AK27" i="11"/>
  <c r="AL27" i="11"/>
  <c r="AI27" i="11"/>
  <c r="AJ27" i="11"/>
  <c r="AG27" i="11"/>
  <c r="AH27" i="11"/>
  <c r="AE27" i="11"/>
  <c r="AF27" i="11"/>
  <c r="AK26" i="11"/>
  <c r="AL26" i="11"/>
  <c r="AI26" i="11"/>
  <c r="AJ26" i="11"/>
  <c r="AG26" i="11"/>
  <c r="AH26" i="11"/>
  <c r="AE26" i="11"/>
  <c r="AF26" i="11"/>
  <c r="AK25" i="11"/>
  <c r="AL25" i="11"/>
  <c r="AI25" i="11"/>
  <c r="AJ25" i="11"/>
  <c r="AG25" i="11"/>
  <c r="AH25" i="11"/>
  <c r="AE25" i="11"/>
  <c r="AF25" i="11"/>
  <c r="AK24" i="11"/>
  <c r="AL24" i="11"/>
  <c r="AI24" i="11"/>
  <c r="AJ24" i="11"/>
  <c r="AG24" i="11"/>
  <c r="AH24" i="11"/>
  <c r="AE24" i="11"/>
  <c r="AF24" i="11"/>
  <c r="AK23" i="11"/>
  <c r="AL23" i="11"/>
  <c r="AI23" i="11"/>
  <c r="AJ23" i="11"/>
  <c r="AG23" i="11"/>
  <c r="AH23" i="11"/>
  <c r="AE23" i="11"/>
  <c r="AF23" i="11"/>
  <c r="AK22" i="11"/>
  <c r="AL22" i="11"/>
  <c r="AI22" i="11"/>
  <c r="AJ22" i="11"/>
  <c r="AG22" i="11"/>
  <c r="AH22" i="11"/>
  <c r="AE22" i="11"/>
  <c r="AF22" i="11"/>
  <c r="AK21" i="11"/>
  <c r="AL21" i="11"/>
  <c r="AI21" i="11"/>
  <c r="AJ21" i="11"/>
  <c r="AG21" i="11"/>
  <c r="AH21" i="11"/>
  <c r="AE21" i="11"/>
  <c r="AF21" i="11"/>
  <c r="AK20" i="11"/>
  <c r="AL20" i="11"/>
  <c r="AI20" i="11"/>
  <c r="AJ20" i="11"/>
  <c r="AG20" i="11"/>
  <c r="AH20" i="11"/>
  <c r="AE20" i="11"/>
  <c r="AF20" i="11"/>
  <c r="AK19" i="11"/>
  <c r="AL19" i="11"/>
  <c r="AI19" i="11"/>
  <c r="AJ19" i="11"/>
  <c r="AG19" i="11"/>
  <c r="AH19" i="11"/>
  <c r="AE19" i="11"/>
  <c r="AF19" i="11"/>
  <c r="AK18" i="11"/>
  <c r="AL18" i="11"/>
  <c r="AI18" i="11"/>
  <c r="AJ18" i="11"/>
  <c r="AG18" i="11"/>
  <c r="AH18" i="11"/>
  <c r="AE18" i="11"/>
  <c r="AF18" i="11"/>
  <c r="AK17" i="11"/>
  <c r="AL17" i="11"/>
  <c r="AI17" i="11"/>
  <c r="AJ17" i="11"/>
  <c r="AG17" i="11"/>
  <c r="AH17" i="11"/>
  <c r="AE17" i="11"/>
  <c r="AF17" i="11"/>
  <c r="AK16" i="11"/>
  <c r="AL16" i="11"/>
  <c r="AI16" i="11"/>
  <c r="AJ16" i="11"/>
  <c r="AG16" i="11"/>
  <c r="AH16" i="11"/>
  <c r="AE16" i="11"/>
  <c r="AF16" i="11"/>
  <c r="AK15" i="11"/>
  <c r="AL15" i="11"/>
  <c r="AI15" i="11"/>
  <c r="AJ15" i="11"/>
  <c r="AG15" i="11"/>
  <c r="AH15" i="11"/>
  <c r="AE15" i="11"/>
  <c r="AF15" i="11"/>
  <c r="AK14" i="11"/>
  <c r="AL14" i="11"/>
  <c r="AI14" i="11"/>
  <c r="AJ14" i="11"/>
  <c r="AG14" i="11"/>
  <c r="AH14" i="11"/>
  <c r="AE14" i="11"/>
  <c r="AF14" i="11"/>
  <c r="AK13" i="11"/>
  <c r="AL13" i="11"/>
  <c r="AI13" i="11"/>
  <c r="AJ13" i="11"/>
  <c r="AG13" i="11"/>
  <c r="AH13" i="11"/>
  <c r="AG37" i="11"/>
  <c r="AG39" i="11"/>
  <c r="AE13" i="11"/>
  <c r="AF13" i="11"/>
  <c r="V8" i="11"/>
  <c r="V7" i="11"/>
  <c r="V6" i="11"/>
  <c r="V5" i="11"/>
  <c r="AE42" i="10"/>
  <c r="AK43" i="10"/>
  <c r="AE41" i="10"/>
  <c r="AE40" i="10"/>
  <c r="AE38" i="10"/>
  <c r="AK36" i="10"/>
  <c r="AL36" i="10"/>
  <c r="AI36" i="10"/>
  <c r="AJ36" i="10"/>
  <c r="AG36" i="10"/>
  <c r="AH36" i="10"/>
  <c r="AE36" i="10"/>
  <c r="AF36" i="10"/>
  <c r="AK35" i="10"/>
  <c r="AL35" i="10"/>
  <c r="AI35" i="10"/>
  <c r="AJ35" i="10"/>
  <c r="AG35" i="10"/>
  <c r="AH35" i="10"/>
  <c r="AE35" i="10"/>
  <c r="AF35" i="10"/>
  <c r="AK34" i="10"/>
  <c r="AL34" i="10"/>
  <c r="AI34" i="10"/>
  <c r="AJ34" i="10"/>
  <c r="AG34" i="10"/>
  <c r="AH34" i="10"/>
  <c r="AE34" i="10"/>
  <c r="AF34" i="10"/>
  <c r="AK33" i="10"/>
  <c r="AL33" i="10"/>
  <c r="AI33" i="10"/>
  <c r="AJ33" i="10"/>
  <c r="AG33" i="10"/>
  <c r="AH33" i="10"/>
  <c r="AE33" i="10"/>
  <c r="AF33" i="10"/>
  <c r="AK32" i="10"/>
  <c r="AL32" i="10"/>
  <c r="AI32" i="10"/>
  <c r="AJ32" i="10"/>
  <c r="AG32" i="10"/>
  <c r="AH32" i="10"/>
  <c r="AE32" i="10"/>
  <c r="AF32" i="10"/>
  <c r="AK31" i="10"/>
  <c r="AL31" i="10"/>
  <c r="AI31" i="10"/>
  <c r="AJ31" i="10"/>
  <c r="AG31" i="10"/>
  <c r="AH31" i="10"/>
  <c r="AE31" i="10"/>
  <c r="AF31" i="10"/>
  <c r="AK30" i="10"/>
  <c r="AL30" i="10"/>
  <c r="AI30" i="10"/>
  <c r="AJ30" i="10"/>
  <c r="AG30" i="10"/>
  <c r="AH30" i="10"/>
  <c r="AE30" i="10"/>
  <c r="AF30" i="10"/>
  <c r="AK29" i="10"/>
  <c r="AL29" i="10"/>
  <c r="AI29" i="10"/>
  <c r="AJ29" i="10"/>
  <c r="AG29" i="10"/>
  <c r="AH29" i="10"/>
  <c r="AE29" i="10"/>
  <c r="AF29" i="10"/>
  <c r="AK28" i="10"/>
  <c r="AL28" i="10"/>
  <c r="AI28" i="10"/>
  <c r="AJ28" i="10"/>
  <c r="AG28" i="10"/>
  <c r="AH28" i="10"/>
  <c r="AE28" i="10"/>
  <c r="AF28" i="10"/>
  <c r="AK27" i="10"/>
  <c r="AL27" i="10"/>
  <c r="AI27" i="10"/>
  <c r="AJ27" i="10"/>
  <c r="AG27" i="10"/>
  <c r="AH27" i="10"/>
  <c r="AE27" i="10"/>
  <c r="AF27" i="10"/>
  <c r="AK26" i="10"/>
  <c r="AL26" i="10"/>
  <c r="AI26" i="10"/>
  <c r="AJ26" i="10"/>
  <c r="AG26" i="10"/>
  <c r="AH26" i="10"/>
  <c r="AE26" i="10"/>
  <c r="AF26" i="10"/>
  <c r="AK25" i="10"/>
  <c r="AL25" i="10"/>
  <c r="AI25" i="10"/>
  <c r="AJ25" i="10"/>
  <c r="AG25" i="10"/>
  <c r="AH25" i="10"/>
  <c r="AE25" i="10"/>
  <c r="AF25" i="10"/>
  <c r="AK24" i="10"/>
  <c r="AL24" i="10"/>
  <c r="AI24" i="10"/>
  <c r="AJ24" i="10"/>
  <c r="AG24" i="10"/>
  <c r="AH24" i="10"/>
  <c r="AE24" i="10"/>
  <c r="AF24" i="10"/>
  <c r="AK23" i="10"/>
  <c r="AL23" i="10"/>
  <c r="AI23" i="10"/>
  <c r="AJ23" i="10"/>
  <c r="AG23" i="10"/>
  <c r="AH23" i="10"/>
  <c r="AE23" i="10"/>
  <c r="AF23" i="10"/>
  <c r="AK22" i="10"/>
  <c r="AL22" i="10"/>
  <c r="AI22" i="10"/>
  <c r="AJ22" i="10"/>
  <c r="AG22" i="10"/>
  <c r="AH22" i="10"/>
  <c r="AE22" i="10"/>
  <c r="AF22" i="10"/>
  <c r="AK21" i="10"/>
  <c r="AL21" i="10"/>
  <c r="AI21" i="10"/>
  <c r="AJ21" i="10"/>
  <c r="AG21" i="10"/>
  <c r="AH21" i="10"/>
  <c r="AE21" i="10"/>
  <c r="AF21" i="10"/>
  <c r="AK20" i="10"/>
  <c r="AL20" i="10"/>
  <c r="AI20" i="10"/>
  <c r="AJ20" i="10"/>
  <c r="AG20" i="10"/>
  <c r="AH20" i="10"/>
  <c r="AE20" i="10"/>
  <c r="AF20" i="10"/>
  <c r="AK19" i="10"/>
  <c r="AL19" i="10"/>
  <c r="AI19" i="10"/>
  <c r="AJ19" i="10"/>
  <c r="AG19" i="10"/>
  <c r="AH19" i="10"/>
  <c r="AE19" i="10"/>
  <c r="AF19" i="10"/>
  <c r="AK18" i="10"/>
  <c r="AL18" i="10"/>
  <c r="AI18" i="10"/>
  <c r="AJ18" i="10"/>
  <c r="AG18" i="10"/>
  <c r="AH18" i="10"/>
  <c r="AE18" i="10"/>
  <c r="AF18" i="10"/>
  <c r="AK17" i="10"/>
  <c r="AL17" i="10"/>
  <c r="AI17" i="10"/>
  <c r="AJ17" i="10"/>
  <c r="AG17" i="10"/>
  <c r="AH17" i="10"/>
  <c r="AE17" i="10"/>
  <c r="AF17" i="10"/>
  <c r="AK16" i="10"/>
  <c r="AL16" i="10"/>
  <c r="AI16" i="10"/>
  <c r="AJ16" i="10"/>
  <c r="AG16" i="10"/>
  <c r="AH16" i="10"/>
  <c r="AE16" i="10"/>
  <c r="AF16" i="10"/>
  <c r="AK15" i="10"/>
  <c r="AL15" i="10"/>
  <c r="AI15" i="10"/>
  <c r="AJ15" i="10"/>
  <c r="AG15" i="10"/>
  <c r="AH15" i="10"/>
  <c r="AE15" i="10"/>
  <c r="AF15" i="10"/>
  <c r="AK14" i="10"/>
  <c r="AL14" i="10"/>
  <c r="AI14" i="10"/>
  <c r="AJ14" i="10"/>
  <c r="AG14" i="10"/>
  <c r="AH14" i="10"/>
  <c r="AE14" i="10"/>
  <c r="AF14" i="10"/>
  <c r="AK13" i="10"/>
  <c r="AL13" i="10"/>
  <c r="AK37" i="10"/>
  <c r="AK39" i="10"/>
  <c r="AI13" i="10"/>
  <c r="AJ13" i="10"/>
  <c r="AG13" i="10"/>
  <c r="AH13" i="10"/>
  <c r="AG37" i="10"/>
  <c r="AG39" i="10"/>
  <c r="AE13" i="10"/>
  <c r="AF13" i="10"/>
  <c r="V8" i="10"/>
  <c r="V7" i="10"/>
  <c r="V6" i="10"/>
  <c r="V5" i="10"/>
  <c r="AE42" i="9"/>
  <c r="AK43" i="9"/>
  <c r="AE41" i="9"/>
  <c r="AE40" i="9"/>
  <c r="AE38" i="9"/>
  <c r="AK36" i="9"/>
  <c r="AL36" i="9"/>
  <c r="AI36" i="9"/>
  <c r="AJ36" i="9"/>
  <c r="AG36" i="9"/>
  <c r="AH36" i="9"/>
  <c r="AE36" i="9"/>
  <c r="AF36" i="9"/>
  <c r="AK35" i="9"/>
  <c r="AL35" i="9"/>
  <c r="AI35" i="9"/>
  <c r="AJ35" i="9"/>
  <c r="AG35" i="9"/>
  <c r="AH35" i="9"/>
  <c r="AE35" i="9"/>
  <c r="AF35" i="9"/>
  <c r="AK34" i="9"/>
  <c r="AL34" i="9"/>
  <c r="AI34" i="9"/>
  <c r="AJ34" i="9"/>
  <c r="AG34" i="9"/>
  <c r="AH34" i="9"/>
  <c r="AE34" i="9"/>
  <c r="AF34" i="9"/>
  <c r="AK33" i="9"/>
  <c r="AL33" i="9"/>
  <c r="AI33" i="9"/>
  <c r="AJ33" i="9"/>
  <c r="AG33" i="9"/>
  <c r="AH33" i="9"/>
  <c r="AE33" i="9"/>
  <c r="AF33" i="9"/>
  <c r="AK32" i="9"/>
  <c r="AL32" i="9"/>
  <c r="AI32" i="9"/>
  <c r="AJ32" i="9"/>
  <c r="AG32" i="9"/>
  <c r="AH32" i="9"/>
  <c r="AE32" i="9"/>
  <c r="AF32" i="9"/>
  <c r="AK31" i="9"/>
  <c r="AL31" i="9"/>
  <c r="AI31" i="9"/>
  <c r="AJ31" i="9"/>
  <c r="AG31" i="9"/>
  <c r="AH31" i="9"/>
  <c r="AE31" i="9"/>
  <c r="AF31" i="9"/>
  <c r="AK30" i="9"/>
  <c r="AL30" i="9"/>
  <c r="AI30" i="9"/>
  <c r="AJ30" i="9"/>
  <c r="AG30" i="9"/>
  <c r="AH30" i="9"/>
  <c r="AE30" i="9"/>
  <c r="AF30" i="9"/>
  <c r="AK29" i="9"/>
  <c r="AL29" i="9"/>
  <c r="AI29" i="9"/>
  <c r="AJ29" i="9"/>
  <c r="AG29" i="9"/>
  <c r="AH29" i="9"/>
  <c r="AE29" i="9"/>
  <c r="AF29" i="9"/>
  <c r="AK28" i="9"/>
  <c r="AL28" i="9"/>
  <c r="AI28" i="9"/>
  <c r="AJ28" i="9"/>
  <c r="AG28" i="9"/>
  <c r="AH28" i="9"/>
  <c r="AE28" i="9"/>
  <c r="AF28" i="9"/>
  <c r="AK27" i="9"/>
  <c r="AL27" i="9"/>
  <c r="AI27" i="9"/>
  <c r="AJ27" i="9"/>
  <c r="AG27" i="9"/>
  <c r="AH27" i="9"/>
  <c r="AE27" i="9"/>
  <c r="AF27" i="9"/>
  <c r="AK26" i="9"/>
  <c r="AL26" i="9"/>
  <c r="AI26" i="9"/>
  <c r="AJ26" i="9"/>
  <c r="AG26" i="9"/>
  <c r="AH26" i="9"/>
  <c r="AE26" i="9"/>
  <c r="AF26" i="9"/>
  <c r="AK25" i="9"/>
  <c r="AL25" i="9"/>
  <c r="AI25" i="9"/>
  <c r="AJ25" i="9"/>
  <c r="AG25" i="9"/>
  <c r="AH25" i="9"/>
  <c r="AE25" i="9"/>
  <c r="AF25" i="9"/>
  <c r="AK24" i="9"/>
  <c r="AL24" i="9"/>
  <c r="AI24" i="9"/>
  <c r="AJ24" i="9"/>
  <c r="AG24" i="9"/>
  <c r="AH24" i="9"/>
  <c r="AE24" i="9"/>
  <c r="AF24" i="9"/>
  <c r="AK23" i="9"/>
  <c r="AL23" i="9"/>
  <c r="AI23" i="9"/>
  <c r="AJ23" i="9"/>
  <c r="AG23" i="9"/>
  <c r="AH23" i="9"/>
  <c r="AE23" i="9"/>
  <c r="AF23" i="9"/>
  <c r="AK22" i="9"/>
  <c r="AL22" i="9"/>
  <c r="AI22" i="9"/>
  <c r="AJ22" i="9"/>
  <c r="AG22" i="9"/>
  <c r="AH22" i="9"/>
  <c r="AE22" i="9"/>
  <c r="AF22" i="9"/>
  <c r="AK21" i="9"/>
  <c r="AL21" i="9"/>
  <c r="AI21" i="9"/>
  <c r="AJ21" i="9"/>
  <c r="AG21" i="9"/>
  <c r="AH21" i="9"/>
  <c r="AE21" i="9"/>
  <c r="AF21" i="9"/>
  <c r="AK20" i="9"/>
  <c r="AL20" i="9"/>
  <c r="AI20" i="9"/>
  <c r="AJ20" i="9"/>
  <c r="AG20" i="9"/>
  <c r="AH20" i="9"/>
  <c r="AE20" i="9"/>
  <c r="AF20" i="9"/>
  <c r="AK19" i="9"/>
  <c r="AL19" i="9"/>
  <c r="AI19" i="9"/>
  <c r="AJ19" i="9"/>
  <c r="AG19" i="9"/>
  <c r="AH19" i="9"/>
  <c r="AE19" i="9"/>
  <c r="AF19" i="9"/>
  <c r="AK18" i="9"/>
  <c r="AL18" i="9"/>
  <c r="AI18" i="9"/>
  <c r="AJ18" i="9"/>
  <c r="AG18" i="9"/>
  <c r="AH18" i="9"/>
  <c r="AE18" i="9"/>
  <c r="AF18" i="9"/>
  <c r="AK17" i="9"/>
  <c r="AL17" i="9"/>
  <c r="AI17" i="9"/>
  <c r="AJ17" i="9"/>
  <c r="AG17" i="9"/>
  <c r="AH17" i="9"/>
  <c r="AE17" i="9"/>
  <c r="AF17" i="9"/>
  <c r="AK16" i="9"/>
  <c r="AL16" i="9"/>
  <c r="AI16" i="9"/>
  <c r="AJ16" i="9"/>
  <c r="AG16" i="9"/>
  <c r="AH16" i="9"/>
  <c r="AE16" i="9"/>
  <c r="AF16" i="9"/>
  <c r="AK15" i="9"/>
  <c r="AL15" i="9"/>
  <c r="AI15" i="9"/>
  <c r="AJ15" i="9"/>
  <c r="AG15" i="9"/>
  <c r="AH15" i="9"/>
  <c r="AE15" i="9"/>
  <c r="AF15" i="9"/>
  <c r="AK14" i="9"/>
  <c r="AL14" i="9"/>
  <c r="AI14" i="9"/>
  <c r="AJ14" i="9"/>
  <c r="AG14" i="9"/>
  <c r="AH14" i="9"/>
  <c r="AE14" i="9"/>
  <c r="AF14" i="9"/>
  <c r="AK13" i="9"/>
  <c r="AL13" i="9"/>
  <c r="AK37" i="9"/>
  <c r="AK39" i="9"/>
  <c r="AI13" i="9"/>
  <c r="AJ13" i="9"/>
  <c r="AI37" i="9"/>
  <c r="AI39" i="9"/>
  <c r="AG13" i="9"/>
  <c r="AH13" i="9"/>
  <c r="AE13" i="9"/>
  <c r="AF13" i="9"/>
  <c r="V8" i="9"/>
  <c r="V7" i="9"/>
  <c r="V6" i="9"/>
  <c r="V5" i="9"/>
  <c r="AE42" i="8"/>
  <c r="AK43" i="8"/>
  <c r="AE41" i="8"/>
  <c r="AE40" i="8"/>
  <c r="AE38" i="8"/>
  <c r="AL36" i="8"/>
  <c r="AK36" i="8"/>
  <c r="AI36" i="8"/>
  <c r="AJ36" i="8"/>
  <c r="AH36" i="8"/>
  <c r="AG36" i="8"/>
  <c r="AE36" i="8"/>
  <c r="AF36" i="8"/>
  <c r="AL35" i="8"/>
  <c r="AK35" i="8"/>
  <c r="AI35" i="8"/>
  <c r="AJ35" i="8"/>
  <c r="AH35" i="8"/>
  <c r="AG35" i="8"/>
  <c r="AE35" i="8"/>
  <c r="AF35" i="8"/>
  <c r="AL34" i="8"/>
  <c r="AK34" i="8"/>
  <c r="AI34" i="8"/>
  <c r="AJ34" i="8"/>
  <c r="AH34" i="8"/>
  <c r="AG34" i="8"/>
  <c r="AE34" i="8"/>
  <c r="AF34" i="8"/>
  <c r="AL33" i="8"/>
  <c r="AK33" i="8"/>
  <c r="AI33" i="8"/>
  <c r="AJ33" i="8"/>
  <c r="AH33" i="8"/>
  <c r="AG33" i="8"/>
  <c r="AE33" i="8"/>
  <c r="AF33" i="8"/>
  <c r="AL32" i="8"/>
  <c r="AK32" i="8"/>
  <c r="AI32" i="8"/>
  <c r="AJ32" i="8"/>
  <c r="AH32" i="8"/>
  <c r="AG32" i="8"/>
  <c r="AE32" i="8"/>
  <c r="AF32" i="8"/>
  <c r="AL31" i="8"/>
  <c r="AK31" i="8"/>
  <c r="AI31" i="8"/>
  <c r="AJ31" i="8"/>
  <c r="AH31" i="8"/>
  <c r="AG31" i="8"/>
  <c r="AE31" i="8"/>
  <c r="AF31" i="8"/>
  <c r="AL30" i="8"/>
  <c r="AK30" i="8"/>
  <c r="AI30" i="8"/>
  <c r="AJ30" i="8"/>
  <c r="AH30" i="8"/>
  <c r="AG30" i="8"/>
  <c r="AE30" i="8"/>
  <c r="AF30" i="8"/>
  <c r="AL29" i="8"/>
  <c r="AK29" i="8"/>
  <c r="AI29" i="8"/>
  <c r="AJ29" i="8"/>
  <c r="AH29" i="8"/>
  <c r="AG29" i="8"/>
  <c r="AE29" i="8"/>
  <c r="AF29" i="8"/>
  <c r="AL28" i="8"/>
  <c r="AK28" i="8"/>
  <c r="AI28" i="8"/>
  <c r="AJ28" i="8"/>
  <c r="AH28" i="8"/>
  <c r="AG28" i="8"/>
  <c r="AE28" i="8"/>
  <c r="AF28" i="8"/>
  <c r="AL27" i="8"/>
  <c r="AK27" i="8"/>
  <c r="AI27" i="8"/>
  <c r="AJ27" i="8"/>
  <c r="AH27" i="8"/>
  <c r="AG27" i="8"/>
  <c r="AE27" i="8"/>
  <c r="AF27" i="8"/>
  <c r="AL26" i="8"/>
  <c r="AK26" i="8"/>
  <c r="AI26" i="8"/>
  <c r="AJ26" i="8"/>
  <c r="AH26" i="8"/>
  <c r="AG26" i="8"/>
  <c r="AE26" i="8"/>
  <c r="AF26" i="8"/>
  <c r="AL25" i="8"/>
  <c r="AK25" i="8"/>
  <c r="AI25" i="8"/>
  <c r="AJ25" i="8"/>
  <c r="AH25" i="8"/>
  <c r="AG25" i="8"/>
  <c r="AE25" i="8"/>
  <c r="AF25" i="8"/>
  <c r="AL24" i="8"/>
  <c r="AK24" i="8"/>
  <c r="AI24" i="8"/>
  <c r="AJ24" i="8"/>
  <c r="AH24" i="8"/>
  <c r="AG24" i="8"/>
  <c r="AE24" i="8"/>
  <c r="AF24" i="8"/>
  <c r="AL23" i="8"/>
  <c r="AK23" i="8"/>
  <c r="AI23" i="8"/>
  <c r="AJ23" i="8"/>
  <c r="AG23" i="8"/>
  <c r="AH23" i="8"/>
  <c r="AE23" i="8"/>
  <c r="AF23" i="8"/>
  <c r="AL22" i="8"/>
  <c r="AK22" i="8"/>
  <c r="AI22" i="8"/>
  <c r="AJ22" i="8"/>
  <c r="AG22" i="8"/>
  <c r="AH22" i="8"/>
  <c r="AE22" i="8"/>
  <c r="AF22" i="8"/>
  <c r="AL21" i="8"/>
  <c r="AK21" i="8"/>
  <c r="AI21" i="8"/>
  <c r="AJ21" i="8"/>
  <c r="AG21" i="8"/>
  <c r="AH21" i="8"/>
  <c r="AE21" i="8"/>
  <c r="AF21" i="8"/>
  <c r="AL20" i="8"/>
  <c r="AK20" i="8"/>
  <c r="AI20" i="8"/>
  <c r="AJ20" i="8"/>
  <c r="AG20" i="8"/>
  <c r="AH20" i="8"/>
  <c r="AE20" i="8"/>
  <c r="AF20" i="8"/>
  <c r="AK19" i="8"/>
  <c r="AL19" i="8"/>
  <c r="AI19" i="8"/>
  <c r="AJ19" i="8"/>
  <c r="AG19" i="8"/>
  <c r="AH19" i="8"/>
  <c r="AE19" i="8"/>
  <c r="AF19" i="8"/>
  <c r="AK18" i="8"/>
  <c r="AL18" i="8"/>
  <c r="AI18" i="8"/>
  <c r="AJ18" i="8"/>
  <c r="AG18" i="8"/>
  <c r="AH18" i="8"/>
  <c r="AE18" i="8"/>
  <c r="AF18" i="8"/>
  <c r="AK17" i="8"/>
  <c r="AL17" i="8"/>
  <c r="AI17" i="8"/>
  <c r="AJ17" i="8"/>
  <c r="AG17" i="8"/>
  <c r="AH17" i="8"/>
  <c r="AE17" i="8"/>
  <c r="AF17" i="8"/>
  <c r="AK16" i="8"/>
  <c r="AL16" i="8"/>
  <c r="AI16" i="8"/>
  <c r="AJ16" i="8"/>
  <c r="AG16" i="8"/>
  <c r="AH16" i="8"/>
  <c r="AE16" i="8"/>
  <c r="AF16" i="8"/>
  <c r="AK15" i="8"/>
  <c r="AL15" i="8"/>
  <c r="AI15" i="8"/>
  <c r="AJ15" i="8"/>
  <c r="AG15" i="8"/>
  <c r="AH15" i="8"/>
  <c r="AE15" i="8"/>
  <c r="AF15" i="8"/>
  <c r="AK14" i="8"/>
  <c r="AL14" i="8"/>
  <c r="AI14" i="8"/>
  <c r="AJ14" i="8"/>
  <c r="AG14" i="8"/>
  <c r="AH14" i="8"/>
  <c r="AE14" i="8"/>
  <c r="AF14" i="8"/>
  <c r="AK13" i="8"/>
  <c r="AL13" i="8"/>
  <c r="AI13" i="8"/>
  <c r="AJ13" i="8"/>
  <c r="AG13" i="8"/>
  <c r="AH13" i="8"/>
  <c r="AG37" i="8"/>
  <c r="AG39" i="8"/>
  <c r="AE13" i="8"/>
  <c r="AF13" i="8"/>
  <c r="V8" i="8"/>
  <c r="V7" i="8"/>
  <c r="V6" i="8"/>
  <c r="V5" i="8"/>
  <c r="AE42" i="7"/>
  <c r="AK43" i="7"/>
  <c r="AE41" i="7"/>
  <c r="AE40" i="7"/>
  <c r="AE38" i="7"/>
  <c r="AK36" i="7"/>
  <c r="AL36" i="7"/>
  <c r="AI36" i="7"/>
  <c r="AJ36" i="7"/>
  <c r="AH36" i="7"/>
  <c r="AG36" i="7"/>
  <c r="AE36" i="7"/>
  <c r="AF36" i="7"/>
  <c r="AK35" i="7"/>
  <c r="AL35" i="7"/>
  <c r="AI35" i="7"/>
  <c r="AJ35" i="7"/>
  <c r="AH35" i="7"/>
  <c r="AG35" i="7"/>
  <c r="AE35" i="7"/>
  <c r="AF35" i="7"/>
  <c r="AK34" i="7"/>
  <c r="AL34" i="7"/>
  <c r="AI34" i="7"/>
  <c r="AJ34" i="7"/>
  <c r="AH34" i="7"/>
  <c r="AG34" i="7"/>
  <c r="AE34" i="7"/>
  <c r="AF34" i="7"/>
  <c r="AK33" i="7"/>
  <c r="AL33" i="7"/>
  <c r="AI33" i="7"/>
  <c r="AJ33" i="7"/>
  <c r="AH33" i="7"/>
  <c r="AG33" i="7"/>
  <c r="AE33" i="7"/>
  <c r="AF33" i="7"/>
  <c r="AK32" i="7"/>
  <c r="AL32" i="7"/>
  <c r="AI32" i="7"/>
  <c r="AJ32" i="7"/>
  <c r="AH32" i="7"/>
  <c r="AG32" i="7"/>
  <c r="AE32" i="7"/>
  <c r="AF32" i="7"/>
  <c r="AK31" i="7"/>
  <c r="AL31" i="7"/>
  <c r="AI31" i="7"/>
  <c r="AJ31" i="7"/>
  <c r="AH31" i="7"/>
  <c r="AG31" i="7"/>
  <c r="AE31" i="7"/>
  <c r="AF31" i="7"/>
  <c r="AK30" i="7"/>
  <c r="AL30" i="7"/>
  <c r="AI30" i="7"/>
  <c r="AJ30" i="7"/>
  <c r="AH30" i="7"/>
  <c r="AG30" i="7"/>
  <c r="AE30" i="7"/>
  <c r="AF30" i="7"/>
  <c r="AK29" i="7"/>
  <c r="AL29" i="7"/>
  <c r="AI29" i="7"/>
  <c r="AJ29" i="7"/>
  <c r="AH29" i="7"/>
  <c r="AG29" i="7"/>
  <c r="AE29" i="7"/>
  <c r="AF29" i="7"/>
  <c r="AK28" i="7"/>
  <c r="AL28" i="7"/>
  <c r="AI28" i="7"/>
  <c r="AJ28" i="7"/>
  <c r="AH28" i="7"/>
  <c r="AG28" i="7"/>
  <c r="AE28" i="7"/>
  <c r="AF28" i="7"/>
  <c r="AK27" i="7"/>
  <c r="AL27" i="7"/>
  <c r="AI27" i="7"/>
  <c r="AJ27" i="7"/>
  <c r="AH27" i="7"/>
  <c r="AG27" i="7"/>
  <c r="AE27" i="7"/>
  <c r="AF27" i="7"/>
  <c r="AK26" i="7"/>
  <c r="AL26" i="7"/>
  <c r="AI26" i="7"/>
  <c r="AJ26" i="7"/>
  <c r="AH26" i="7"/>
  <c r="AG26" i="7"/>
  <c r="AE26" i="7"/>
  <c r="AF26" i="7"/>
  <c r="AK25" i="7"/>
  <c r="AL25" i="7"/>
  <c r="AI25" i="7"/>
  <c r="AJ25" i="7"/>
  <c r="AH25" i="7"/>
  <c r="AG25" i="7"/>
  <c r="AE25" i="7"/>
  <c r="AF25" i="7"/>
  <c r="AK24" i="7"/>
  <c r="AL24" i="7"/>
  <c r="AI24" i="7"/>
  <c r="AJ24" i="7"/>
  <c r="AH24" i="7"/>
  <c r="AG24" i="7"/>
  <c r="AE24" i="7"/>
  <c r="AF24" i="7"/>
  <c r="AK23" i="7"/>
  <c r="AL23" i="7"/>
  <c r="AI23" i="7"/>
  <c r="AJ23" i="7"/>
  <c r="AH23" i="7"/>
  <c r="AG23" i="7"/>
  <c r="AE23" i="7"/>
  <c r="AF23" i="7"/>
  <c r="AK22" i="7"/>
  <c r="AL22" i="7"/>
  <c r="AI22" i="7"/>
  <c r="AJ22" i="7"/>
  <c r="AH22" i="7"/>
  <c r="AG22" i="7"/>
  <c r="AE22" i="7"/>
  <c r="AF22" i="7"/>
  <c r="AK21" i="7"/>
  <c r="AL21" i="7"/>
  <c r="AI21" i="7"/>
  <c r="AJ21" i="7"/>
  <c r="AH21" i="7"/>
  <c r="AG21" i="7"/>
  <c r="AE21" i="7"/>
  <c r="AF21" i="7"/>
  <c r="AK20" i="7"/>
  <c r="AL20" i="7"/>
  <c r="AI20" i="7"/>
  <c r="AJ20" i="7"/>
  <c r="AH20" i="7"/>
  <c r="AG20" i="7"/>
  <c r="AE20" i="7"/>
  <c r="AF20" i="7"/>
  <c r="AK19" i="7"/>
  <c r="AL19" i="7"/>
  <c r="AI19" i="7"/>
  <c r="AJ19" i="7"/>
  <c r="AH19" i="7"/>
  <c r="AG19" i="7"/>
  <c r="AE19" i="7"/>
  <c r="AF19" i="7"/>
  <c r="AK18" i="7"/>
  <c r="AL18" i="7"/>
  <c r="AI18" i="7"/>
  <c r="AJ18" i="7"/>
  <c r="AG18" i="7"/>
  <c r="AH18" i="7"/>
  <c r="AE18" i="7"/>
  <c r="AF18" i="7"/>
  <c r="AK17" i="7"/>
  <c r="AL17" i="7"/>
  <c r="AI17" i="7"/>
  <c r="AJ17" i="7"/>
  <c r="AG17" i="7"/>
  <c r="AH17" i="7"/>
  <c r="AE17" i="7"/>
  <c r="AF17" i="7"/>
  <c r="AK16" i="7"/>
  <c r="AL16" i="7"/>
  <c r="AI16" i="7"/>
  <c r="AJ16" i="7"/>
  <c r="AG16" i="7"/>
  <c r="AH16" i="7"/>
  <c r="AE16" i="7"/>
  <c r="AF16" i="7"/>
  <c r="AK15" i="7"/>
  <c r="AL15" i="7"/>
  <c r="AI15" i="7"/>
  <c r="AJ15" i="7"/>
  <c r="AG15" i="7"/>
  <c r="AH15" i="7"/>
  <c r="AE15" i="7"/>
  <c r="AF15" i="7"/>
  <c r="AK14" i="7"/>
  <c r="AL14" i="7"/>
  <c r="AI14" i="7"/>
  <c r="AJ14" i="7"/>
  <c r="AG14" i="7"/>
  <c r="AH14" i="7"/>
  <c r="AE14" i="7"/>
  <c r="AF14" i="7"/>
  <c r="AK13" i="7"/>
  <c r="AL13" i="7"/>
  <c r="AI13" i="7"/>
  <c r="AJ13" i="7"/>
  <c r="AG13" i="7"/>
  <c r="AH13" i="7"/>
  <c r="AG37" i="7"/>
  <c r="AG39" i="7"/>
  <c r="AE13" i="7"/>
  <c r="AF13" i="7"/>
  <c r="V8" i="7"/>
  <c r="V7" i="7"/>
  <c r="V6" i="7"/>
  <c r="V5" i="7"/>
  <c r="AG43" i="6"/>
  <c r="AE42" i="6"/>
  <c r="AK43" i="6"/>
  <c r="AE41" i="6"/>
  <c r="AE40" i="6"/>
  <c r="AE38" i="6"/>
  <c r="AK36" i="6"/>
  <c r="AL36" i="6"/>
  <c r="AJ36" i="6"/>
  <c r="AI36" i="6"/>
  <c r="AG36" i="6"/>
  <c r="AH36" i="6"/>
  <c r="AE36" i="6"/>
  <c r="AF36" i="6"/>
  <c r="AK35" i="6"/>
  <c r="AL35" i="6"/>
  <c r="AJ35" i="6"/>
  <c r="AI35" i="6"/>
  <c r="AG35" i="6"/>
  <c r="AH35" i="6"/>
  <c r="AE35" i="6"/>
  <c r="AF35" i="6"/>
  <c r="AK34" i="6"/>
  <c r="AL34" i="6"/>
  <c r="AJ34" i="6"/>
  <c r="AI34" i="6"/>
  <c r="AG34" i="6"/>
  <c r="AH34" i="6"/>
  <c r="AE34" i="6"/>
  <c r="AF34" i="6"/>
  <c r="AK33" i="6"/>
  <c r="AL33" i="6"/>
  <c r="AJ33" i="6"/>
  <c r="AI33" i="6"/>
  <c r="AG33" i="6"/>
  <c r="AH33" i="6"/>
  <c r="AE33" i="6"/>
  <c r="AF33" i="6"/>
  <c r="AK32" i="6"/>
  <c r="AL32" i="6"/>
  <c r="AJ32" i="6"/>
  <c r="AI32" i="6"/>
  <c r="AG32" i="6"/>
  <c r="AH32" i="6"/>
  <c r="AE32" i="6"/>
  <c r="AF32" i="6"/>
  <c r="AK31" i="6"/>
  <c r="AL31" i="6"/>
  <c r="AJ31" i="6"/>
  <c r="AI31" i="6"/>
  <c r="AG31" i="6"/>
  <c r="AH31" i="6"/>
  <c r="AE31" i="6"/>
  <c r="AF31" i="6"/>
  <c r="AK30" i="6"/>
  <c r="AL30" i="6"/>
  <c r="AJ30" i="6"/>
  <c r="AI30" i="6"/>
  <c r="AG30" i="6"/>
  <c r="AH30" i="6"/>
  <c r="AE30" i="6"/>
  <c r="AF30" i="6"/>
  <c r="AK29" i="6"/>
  <c r="AL29" i="6"/>
  <c r="AJ29" i="6"/>
  <c r="AI29" i="6"/>
  <c r="AG29" i="6"/>
  <c r="AH29" i="6"/>
  <c r="AE29" i="6"/>
  <c r="AF29" i="6"/>
  <c r="AK28" i="6"/>
  <c r="AL28" i="6"/>
  <c r="AJ28" i="6"/>
  <c r="AI28" i="6"/>
  <c r="AG28" i="6"/>
  <c r="AH28" i="6"/>
  <c r="AE28" i="6"/>
  <c r="AF28" i="6"/>
  <c r="AK27" i="6"/>
  <c r="AL27" i="6"/>
  <c r="AJ27" i="6"/>
  <c r="AI27" i="6"/>
  <c r="AG27" i="6"/>
  <c r="AH27" i="6"/>
  <c r="AE27" i="6"/>
  <c r="AF27" i="6"/>
  <c r="AK26" i="6"/>
  <c r="AL26" i="6"/>
  <c r="AJ26" i="6"/>
  <c r="AI26" i="6"/>
  <c r="AG26" i="6"/>
  <c r="AH26" i="6"/>
  <c r="AE26" i="6"/>
  <c r="AF26" i="6"/>
  <c r="AK25" i="6"/>
  <c r="AL25" i="6"/>
  <c r="AJ25" i="6"/>
  <c r="AI25" i="6"/>
  <c r="AG25" i="6"/>
  <c r="AH25" i="6"/>
  <c r="AE25" i="6"/>
  <c r="AF25" i="6"/>
  <c r="AK24" i="6"/>
  <c r="AL24" i="6"/>
  <c r="AJ24" i="6"/>
  <c r="AI24" i="6"/>
  <c r="AG24" i="6"/>
  <c r="AH24" i="6"/>
  <c r="AE24" i="6"/>
  <c r="AF24" i="6"/>
  <c r="AK23" i="6"/>
  <c r="AL23" i="6"/>
  <c r="AJ23" i="6"/>
  <c r="AI23" i="6"/>
  <c r="AG23" i="6"/>
  <c r="AH23" i="6"/>
  <c r="AE23" i="6"/>
  <c r="AF23" i="6"/>
  <c r="AK22" i="6"/>
  <c r="AL22" i="6"/>
  <c r="AJ22" i="6"/>
  <c r="AI22" i="6"/>
  <c r="AG22" i="6"/>
  <c r="AH22" i="6"/>
  <c r="AE22" i="6"/>
  <c r="AF22" i="6"/>
  <c r="AK21" i="6"/>
  <c r="AL21" i="6"/>
  <c r="AJ21" i="6"/>
  <c r="AI21" i="6"/>
  <c r="AG21" i="6"/>
  <c r="AH21" i="6"/>
  <c r="AE21" i="6"/>
  <c r="AF21" i="6"/>
  <c r="AK20" i="6"/>
  <c r="AL20" i="6"/>
  <c r="AJ20" i="6"/>
  <c r="AI20" i="6"/>
  <c r="AG20" i="6"/>
  <c r="AH20" i="6"/>
  <c r="AE20" i="6"/>
  <c r="AF20" i="6"/>
  <c r="AK19" i="6"/>
  <c r="AL19" i="6"/>
  <c r="AJ19" i="6"/>
  <c r="AI19" i="6"/>
  <c r="AG19" i="6"/>
  <c r="AH19" i="6"/>
  <c r="AE19" i="6"/>
  <c r="AF19" i="6"/>
  <c r="AK18" i="6"/>
  <c r="AL18" i="6"/>
  <c r="AJ18" i="6"/>
  <c r="AI18" i="6"/>
  <c r="AG18" i="6"/>
  <c r="AH18" i="6"/>
  <c r="AE18" i="6"/>
  <c r="AF18" i="6"/>
  <c r="AK17" i="6"/>
  <c r="AL17" i="6"/>
  <c r="AJ17" i="6"/>
  <c r="AI17" i="6"/>
  <c r="AG17" i="6"/>
  <c r="AH17" i="6"/>
  <c r="AE17" i="6"/>
  <c r="AF17" i="6"/>
  <c r="AK16" i="6"/>
  <c r="AL16" i="6"/>
  <c r="AJ16" i="6"/>
  <c r="AI16" i="6"/>
  <c r="AG16" i="6"/>
  <c r="AH16" i="6"/>
  <c r="AE16" i="6"/>
  <c r="AF16" i="6"/>
  <c r="AK15" i="6"/>
  <c r="AL15" i="6"/>
  <c r="AJ15" i="6"/>
  <c r="AI15" i="6"/>
  <c r="AG15" i="6"/>
  <c r="AH15" i="6"/>
  <c r="AE15" i="6"/>
  <c r="AF15" i="6"/>
  <c r="AK14" i="6"/>
  <c r="AL14" i="6"/>
  <c r="AJ14" i="6"/>
  <c r="AI14" i="6"/>
  <c r="AG14" i="6"/>
  <c r="AH14" i="6"/>
  <c r="AE14" i="6"/>
  <c r="AF14" i="6"/>
  <c r="AK13" i="6"/>
  <c r="AL13" i="6"/>
  <c r="AJ13" i="6"/>
  <c r="AI37" i="6"/>
  <c r="AI39" i="6"/>
  <c r="AI13" i="6"/>
  <c r="AG13" i="6"/>
  <c r="AH13" i="6"/>
  <c r="AE13" i="6"/>
  <c r="AF13" i="6"/>
  <c r="V8" i="6"/>
  <c r="V7" i="6"/>
  <c r="V6" i="6"/>
  <c r="V5" i="6"/>
  <c r="AE42" i="5"/>
  <c r="AK43" i="5"/>
  <c r="AE41" i="5"/>
  <c r="AE40" i="5"/>
  <c r="AE38" i="5"/>
  <c r="AK36" i="5"/>
  <c r="AL36" i="5"/>
  <c r="AI36" i="5"/>
  <c r="AJ36" i="5"/>
  <c r="AG36" i="5"/>
  <c r="AH36" i="5"/>
  <c r="AF36" i="5"/>
  <c r="AE36" i="5"/>
  <c r="AK35" i="5"/>
  <c r="AL35" i="5"/>
  <c r="AI35" i="5"/>
  <c r="AJ35" i="5"/>
  <c r="AG35" i="5"/>
  <c r="AH35" i="5"/>
  <c r="AF35" i="5"/>
  <c r="AE35" i="5"/>
  <c r="AK34" i="5"/>
  <c r="AL34" i="5"/>
  <c r="AI34" i="5"/>
  <c r="AJ34" i="5"/>
  <c r="AG34" i="5"/>
  <c r="AH34" i="5"/>
  <c r="AF34" i="5"/>
  <c r="AE34" i="5"/>
  <c r="AK33" i="5"/>
  <c r="AL33" i="5"/>
  <c r="AI33" i="5"/>
  <c r="AJ33" i="5"/>
  <c r="AG33" i="5"/>
  <c r="AH33" i="5"/>
  <c r="AF33" i="5"/>
  <c r="AE33" i="5"/>
  <c r="AK32" i="5"/>
  <c r="AL32" i="5"/>
  <c r="AI32" i="5"/>
  <c r="AJ32" i="5"/>
  <c r="AG32" i="5"/>
  <c r="AH32" i="5"/>
  <c r="AF32" i="5"/>
  <c r="AE32" i="5"/>
  <c r="AK31" i="5"/>
  <c r="AL31" i="5"/>
  <c r="AI31" i="5"/>
  <c r="AJ31" i="5"/>
  <c r="AG31" i="5"/>
  <c r="AH31" i="5"/>
  <c r="AF31" i="5"/>
  <c r="AE31" i="5"/>
  <c r="AK30" i="5"/>
  <c r="AL30" i="5"/>
  <c r="AI30" i="5"/>
  <c r="AJ30" i="5"/>
  <c r="AG30" i="5"/>
  <c r="AH30" i="5"/>
  <c r="AF30" i="5"/>
  <c r="AE30" i="5"/>
  <c r="AK29" i="5"/>
  <c r="AL29" i="5"/>
  <c r="AI29" i="5"/>
  <c r="AJ29" i="5"/>
  <c r="AG29" i="5"/>
  <c r="AH29" i="5"/>
  <c r="AF29" i="5"/>
  <c r="AE29" i="5"/>
  <c r="AK28" i="5"/>
  <c r="AL28" i="5"/>
  <c r="AI28" i="5"/>
  <c r="AJ28" i="5"/>
  <c r="AG28" i="5"/>
  <c r="AH28" i="5"/>
  <c r="AF28" i="5"/>
  <c r="AE28" i="5"/>
  <c r="AK27" i="5"/>
  <c r="AL27" i="5"/>
  <c r="AI27" i="5"/>
  <c r="AJ27" i="5"/>
  <c r="AG27" i="5"/>
  <c r="AH27" i="5"/>
  <c r="AF27" i="5"/>
  <c r="AE27" i="5"/>
  <c r="AK26" i="5"/>
  <c r="AL26" i="5"/>
  <c r="AI26" i="5"/>
  <c r="AJ26" i="5"/>
  <c r="AG26" i="5"/>
  <c r="AH26" i="5"/>
  <c r="AF26" i="5"/>
  <c r="AE26" i="5"/>
  <c r="AK25" i="5"/>
  <c r="AL25" i="5"/>
  <c r="AI25" i="5"/>
  <c r="AJ25" i="5"/>
  <c r="AG25" i="5"/>
  <c r="AH25" i="5"/>
  <c r="AF25" i="5"/>
  <c r="AE25" i="5"/>
  <c r="AK24" i="5"/>
  <c r="AL24" i="5"/>
  <c r="AI24" i="5"/>
  <c r="AJ24" i="5"/>
  <c r="AG24" i="5"/>
  <c r="AH24" i="5"/>
  <c r="AF24" i="5"/>
  <c r="AE24" i="5"/>
  <c r="AK23" i="5"/>
  <c r="AL23" i="5"/>
  <c r="AI23" i="5"/>
  <c r="AJ23" i="5"/>
  <c r="AG23" i="5"/>
  <c r="AH23" i="5"/>
  <c r="AF23" i="5"/>
  <c r="AE23" i="5"/>
  <c r="AK22" i="5"/>
  <c r="AL22" i="5"/>
  <c r="AI22" i="5"/>
  <c r="AJ22" i="5"/>
  <c r="AG22" i="5"/>
  <c r="AH22" i="5"/>
  <c r="AF22" i="5"/>
  <c r="AE22" i="5"/>
  <c r="AK21" i="5"/>
  <c r="AL21" i="5"/>
  <c r="AI21" i="5"/>
  <c r="AJ21" i="5"/>
  <c r="AG21" i="5"/>
  <c r="AH21" i="5"/>
  <c r="AF21" i="5"/>
  <c r="AE21" i="5"/>
  <c r="AK20" i="5"/>
  <c r="AL20" i="5"/>
  <c r="AI20" i="5"/>
  <c r="AJ20" i="5"/>
  <c r="AG20" i="5"/>
  <c r="AH20" i="5"/>
  <c r="AF20" i="5"/>
  <c r="AE20" i="5"/>
  <c r="AK19" i="5"/>
  <c r="AL19" i="5"/>
  <c r="AI19" i="5"/>
  <c r="AJ19" i="5"/>
  <c r="AG19" i="5"/>
  <c r="AH19" i="5"/>
  <c r="AF19" i="5"/>
  <c r="AE19" i="5"/>
  <c r="AK18" i="5"/>
  <c r="AL18" i="5"/>
  <c r="AI18" i="5"/>
  <c r="AJ18" i="5"/>
  <c r="AG18" i="5"/>
  <c r="AH18" i="5"/>
  <c r="AF18" i="5"/>
  <c r="AE18" i="5"/>
  <c r="AK17" i="5"/>
  <c r="AL17" i="5"/>
  <c r="AI17" i="5"/>
  <c r="AJ17" i="5"/>
  <c r="AG17" i="5"/>
  <c r="AH17" i="5"/>
  <c r="AE17" i="5"/>
  <c r="AF17" i="5"/>
  <c r="AK16" i="5"/>
  <c r="AL16" i="5"/>
  <c r="AI16" i="5"/>
  <c r="AJ16" i="5"/>
  <c r="AG16" i="5"/>
  <c r="AH16" i="5"/>
  <c r="AE16" i="5"/>
  <c r="AF16" i="5"/>
  <c r="AK15" i="5"/>
  <c r="AL15" i="5"/>
  <c r="AI15" i="5"/>
  <c r="AJ15" i="5"/>
  <c r="AG15" i="5"/>
  <c r="AH15" i="5"/>
  <c r="AE15" i="5"/>
  <c r="AF15" i="5"/>
  <c r="AK14" i="5"/>
  <c r="AL14" i="5"/>
  <c r="AI14" i="5"/>
  <c r="AJ14" i="5"/>
  <c r="AG14" i="5"/>
  <c r="AH14" i="5"/>
  <c r="AE14" i="5"/>
  <c r="AF14" i="5"/>
  <c r="AK13" i="5"/>
  <c r="AL13" i="5"/>
  <c r="AI13" i="5"/>
  <c r="AJ13" i="5"/>
  <c r="AG13" i="5"/>
  <c r="AH13" i="5"/>
  <c r="AE13" i="5"/>
  <c r="AF13" i="5"/>
  <c r="AE37" i="5"/>
  <c r="AE39" i="5"/>
  <c r="V8" i="5"/>
  <c r="V7" i="5"/>
  <c r="V6" i="5"/>
  <c r="V5" i="5"/>
  <c r="V8" i="3"/>
  <c r="V7" i="3"/>
  <c r="V6" i="3"/>
  <c r="V5" i="3"/>
  <c r="AE37" i="15"/>
  <c r="AE39" i="15"/>
  <c r="AI37" i="15"/>
  <c r="AI39" i="15"/>
  <c r="AE43" i="15"/>
  <c r="AG43" i="15"/>
  <c r="AI43" i="15"/>
  <c r="AE37" i="14"/>
  <c r="AE39" i="14"/>
  <c r="AI37" i="14"/>
  <c r="AI39" i="14"/>
  <c r="AK37" i="14"/>
  <c r="AK39" i="14"/>
  <c r="AE43" i="14"/>
  <c r="AG43" i="14"/>
  <c r="AI43" i="14"/>
  <c r="AE37" i="13"/>
  <c r="AE39" i="13"/>
  <c r="AI37" i="13"/>
  <c r="AI39" i="13"/>
  <c r="AK37" i="13"/>
  <c r="AK39" i="13"/>
  <c r="AE43" i="13"/>
  <c r="AG43" i="13"/>
  <c r="AI43" i="13"/>
  <c r="AE37" i="12"/>
  <c r="AE39" i="12"/>
  <c r="AG37" i="12"/>
  <c r="AG39" i="12"/>
  <c r="AI37" i="12"/>
  <c r="AI39" i="12"/>
  <c r="AK37" i="12"/>
  <c r="AK39" i="12"/>
  <c r="AE43" i="12"/>
  <c r="AG43" i="12"/>
  <c r="AI43" i="12"/>
  <c r="AK37" i="11"/>
  <c r="AK39" i="11"/>
  <c r="AE37" i="11"/>
  <c r="AE39" i="11"/>
  <c r="AI37" i="11"/>
  <c r="AI39" i="11"/>
  <c r="AE43" i="11"/>
  <c r="AG43" i="11"/>
  <c r="AI43" i="11"/>
  <c r="AE37" i="10"/>
  <c r="AE39" i="10"/>
  <c r="AI37" i="10"/>
  <c r="AI39" i="10"/>
  <c r="AE43" i="10"/>
  <c r="AG43" i="10"/>
  <c r="AI43" i="10"/>
  <c r="AE37" i="9"/>
  <c r="AE39" i="9"/>
  <c r="AG37" i="9"/>
  <c r="AG39" i="9"/>
  <c r="AE43" i="9"/>
  <c r="AG43" i="9"/>
  <c r="AI43" i="9"/>
  <c r="AK37" i="8"/>
  <c r="AK39" i="8"/>
  <c r="AI37" i="8"/>
  <c r="AI39" i="8"/>
  <c r="AE37" i="8"/>
  <c r="AE39" i="8"/>
  <c r="AE43" i="8"/>
  <c r="AG43" i="8"/>
  <c r="AI43" i="8"/>
  <c r="AE37" i="7"/>
  <c r="AE39" i="7"/>
  <c r="AI37" i="7"/>
  <c r="AI39" i="7"/>
  <c r="AK37" i="7"/>
  <c r="AK39" i="7"/>
  <c r="AE43" i="7"/>
  <c r="AG43" i="7"/>
  <c r="AI43" i="7"/>
  <c r="AE37" i="6"/>
  <c r="AE39" i="6"/>
  <c r="AG37" i="6"/>
  <c r="AG39" i="6"/>
  <c r="AK37" i="6"/>
  <c r="AK39" i="6"/>
  <c r="AE43" i="6"/>
  <c r="AI43" i="6"/>
  <c r="AG37" i="5"/>
  <c r="AG39" i="5"/>
  <c r="AI37" i="5"/>
  <c r="AI39" i="5"/>
  <c r="AK37" i="5"/>
  <c r="AK39" i="5"/>
  <c r="AE43" i="5"/>
  <c r="AG43" i="5"/>
  <c r="AI43" i="5"/>
  <c r="AE38" i="3"/>
  <c r="AE42" i="3"/>
  <c r="AG43" i="3"/>
  <c r="AE41" i="3"/>
  <c r="AE40" i="3"/>
  <c r="AE13" i="3"/>
  <c r="AF13" i="3"/>
  <c r="AE14" i="3"/>
  <c r="AF14" i="3"/>
  <c r="AE15" i="3"/>
  <c r="AF15" i="3"/>
  <c r="AE16" i="3"/>
  <c r="AF16" i="3"/>
  <c r="AE17" i="3"/>
  <c r="AF17" i="3"/>
  <c r="AE18" i="3"/>
  <c r="AF18" i="3"/>
  <c r="AE19" i="3"/>
  <c r="AF19" i="3"/>
  <c r="AE20" i="3"/>
  <c r="AF20" i="3"/>
  <c r="AE21" i="3"/>
  <c r="AF21" i="3"/>
  <c r="AE22" i="3"/>
  <c r="AF22" i="3"/>
  <c r="AE23" i="3"/>
  <c r="AF23" i="3"/>
  <c r="AE24" i="3"/>
  <c r="AF24" i="3"/>
  <c r="AE25" i="3"/>
  <c r="AF25" i="3"/>
  <c r="AE26" i="3"/>
  <c r="AF26" i="3"/>
  <c r="AE27" i="3"/>
  <c r="AF27" i="3"/>
  <c r="AE28" i="3"/>
  <c r="AF28" i="3"/>
  <c r="AE29" i="3"/>
  <c r="AF29" i="3"/>
  <c r="AE30" i="3"/>
  <c r="AF30" i="3"/>
  <c r="AE31" i="3"/>
  <c r="AF31" i="3"/>
  <c r="AE32" i="3"/>
  <c r="AF32" i="3"/>
  <c r="AE33" i="3"/>
  <c r="AF33" i="3"/>
  <c r="AE34" i="3"/>
  <c r="AF34" i="3"/>
  <c r="AE35" i="3"/>
  <c r="AF35" i="3"/>
  <c r="AE36" i="3"/>
  <c r="AF36" i="3"/>
  <c r="AL13" i="3"/>
  <c r="AK14" i="3"/>
  <c r="AL14" i="3"/>
  <c r="AK15" i="3"/>
  <c r="AL15" i="3"/>
  <c r="AK16" i="3"/>
  <c r="AL16" i="3"/>
  <c r="AK17" i="3"/>
  <c r="AL17" i="3"/>
  <c r="AK18" i="3"/>
  <c r="AL18" i="3"/>
  <c r="AK19" i="3"/>
  <c r="AL19" i="3"/>
  <c r="AK20" i="3"/>
  <c r="AL20" i="3"/>
  <c r="AK21" i="3"/>
  <c r="AL21" i="3"/>
  <c r="AK22" i="3"/>
  <c r="AL22" i="3"/>
  <c r="AK23" i="3"/>
  <c r="AL23" i="3"/>
  <c r="AK24" i="3"/>
  <c r="AL24" i="3"/>
  <c r="AK25" i="3"/>
  <c r="AL25" i="3"/>
  <c r="AK26" i="3"/>
  <c r="AL26" i="3"/>
  <c r="AK27" i="3"/>
  <c r="AL27" i="3"/>
  <c r="AK28" i="3"/>
  <c r="AL28" i="3"/>
  <c r="AK29" i="3"/>
  <c r="AL29" i="3"/>
  <c r="AK30" i="3"/>
  <c r="AL30" i="3"/>
  <c r="AK31" i="3"/>
  <c r="AL31" i="3"/>
  <c r="AK32" i="3"/>
  <c r="AL32" i="3"/>
  <c r="AK33" i="3"/>
  <c r="AL33" i="3"/>
  <c r="AK34" i="3"/>
  <c r="AL34" i="3"/>
  <c r="AK35" i="3"/>
  <c r="AL35" i="3"/>
  <c r="AK36" i="3"/>
  <c r="AL36" i="3"/>
  <c r="AJ13" i="3"/>
  <c r="AI14" i="3"/>
  <c r="AJ14" i="3"/>
  <c r="AI15" i="3"/>
  <c r="AJ15" i="3"/>
  <c r="AI16" i="3"/>
  <c r="AJ16" i="3"/>
  <c r="AI17" i="3"/>
  <c r="AJ17" i="3"/>
  <c r="AI18" i="3"/>
  <c r="AJ18" i="3"/>
  <c r="AI19" i="3"/>
  <c r="AJ19" i="3"/>
  <c r="AI20" i="3"/>
  <c r="AJ20" i="3"/>
  <c r="AI21" i="3"/>
  <c r="AJ21" i="3"/>
  <c r="AI22" i="3"/>
  <c r="AJ22" i="3"/>
  <c r="AI23" i="3"/>
  <c r="AJ23" i="3"/>
  <c r="AI24" i="3"/>
  <c r="AJ24" i="3"/>
  <c r="AI25" i="3"/>
  <c r="AJ25" i="3"/>
  <c r="AI26" i="3"/>
  <c r="AJ26" i="3"/>
  <c r="AI27" i="3"/>
  <c r="AJ27" i="3"/>
  <c r="AI28" i="3"/>
  <c r="AJ28" i="3"/>
  <c r="AI29" i="3"/>
  <c r="AJ29" i="3"/>
  <c r="AI30" i="3"/>
  <c r="AJ30" i="3"/>
  <c r="AI31" i="3"/>
  <c r="AJ31" i="3"/>
  <c r="AI32" i="3"/>
  <c r="AJ32" i="3"/>
  <c r="AI33" i="3"/>
  <c r="AJ33" i="3"/>
  <c r="AI34" i="3"/>
  <c r="AJ34" i="3"/>
  <c r="AI35" i="3"/>
  <c r="AJ35" i="3"/>
  <c r="AI36" i="3"/>
  <c r="AJ36" i="3"/>
  <c r="AH13" i="3"/>
  <c r="AG14" i="3"/>
  <c r="AH14" i="3"/>
  <c r="AG15" i="3"/>
  <c r="AH15" i="3"/>
  <c r="AG16" i="3"/>
  <c r="AH16" i="3"/>
  <c r="AG17" i="3"/>
  <c r="AH17" i="3"/>
  <c r="AG18" i="3"/>
  <c r="AH18" i="3"/>
  <c r="AG19" i="3"/>
  <c r="AH19" i="3"/>
  <c r="AG20" i="3"/>
  <c r="AH20" i="3"/>
  <c r="AG21" i="3"/>
  <c r="AH21" i="3"/>
  <c r="AG22" i="3"/>
  <c r="AH22" i="3"/>
  <c r="AG23" i="3"/>
  <c r="AH23" i="3"/>
  <c r="AG24" i="3"/>
  <c r="AH24" i="3"/>
  <c r="AG25" i="3"/>
  <c r="AH25" i="3"/>
  <c r="AG26" i="3"/>
  <c r="AH26" i="3"/>
  <c r="AG27" i="3"/>
  <c r="AH27" i="3"/>
  <c r="AG28" i="3"/>
  <c r="AH28" i="3"/>
  <c r="AG29" i="3"/>
  <c r="AH29" i="3"/>
  <c r="AG30" i="3"/>
  <c r="AH30" i="3"/>
  <c r="AG31" i="3"/>
  <c r="AH31" i="3"/>
  <c r="AG32" i="3"/>
  <c r="AH32" i="3"/>
  <c r="AG33" i="3"/>
  <c r="AH33" i="3"/>
  <c r="AG34" i="3"/>
  <c r="AH34" i="3"/>
  <c r="AG35" i="3"/>
  <c r="AH35" i="3"/>
  <c r="AG36" i="3"/>
  <c r="AH36" i="3"/>
  <c r="AK43" i="3"/>
  <c r="AI43" i="3"/>
  <c r="AE43" i="3"/>
  <c r="AG37" i="3"/>
  <c r="AG39" i="3"/>
  <c r="AI37" i="3"/>
  <c r="AI39" i="3"/>
  <c r="AK37" i="3"/>
  <c r="AK39" i="3"/>
  <c r="AE37" i="3"/>
  <c r="AE39" i="3"/>
</calcChain>
</file>

<file path=xl/sharedStrings.xml><?xml version="1.0" encoding="utf-8"?>
<sst xmlns="http://schemas.openxmlformats.org/spreadsheetml/2006/main" count="954" uniqueCount="137">
  <si>
    <t>Year:</t>
  </si>
  <si>
    <t>Service Name:</t>
  </si>
  <si>
    <t>Month:</t>
  </si>
  <si>
    <t>Adults Name</t>
  </si>
  <si>
    <t>Early</t>
  </si>
  <si>
    <t>Late</t>
  </si>
  <si>
    <t>Night</t>
  </si>
  <si>
    <t>Total Mins over 24 hr</t>
  </si>
  <si>
    <t>Actual contact time (hours)</t>
  </si>
  <si>
    <t xml:space="preserve">Early (08.00 - 14.00) </t>
  </si>
  <si>
    <t xml:space="preserve">Contact time per shift </t>
  </si>
  <si>
    <t xml:space="preserve">Late (14.00 - 20.00) </t>
  </si>
  <si>
    <t>Contact time per shift</t>
  </si>
  <si>
    <t xml:space="preserve">Early </t>
  </si>
  <si>
    <t xml:space="preserve">Late </t>
  </si>
  <si>
    <t xml:space="preserve">Night </t>
  </si>
  <si>
    <t xml:space="preserve">Early  </t>
  </si>
  <si>
    <t xml:space="preserve">Late  </t>
  </si>
  <si>
    <t xml:space="preserve">Night  </t>
  </si>
  <si>
    <t xml:space="preserve">Early   </t>
  </si>
  <si>
    <t xml:space="preserve">Late   </t>
  </si>
  <si>
    <t xml:space="preserve">Night   </t>
  </si>
  <si>
    <t xml:space="preserve">Early    </t>
  </si>
  <si>
    <t xml:space="preserve">Late    </t>
  </si>
  <si>
    <t xml:space="preserve">Night    </t>
  </si>
  <si>
    <t xml:space="preserve">Early     </t>
  </si>
  <si>
    <t xml:space="preserve">Late     </t>
  </si>
  <si>
    <t xml:space="preserve">Night     </t>
  </si>
  <si>
    <t xml:space="preserve">Early      </t>
  </si>
  <si>
    <t xml:space="preserve">Late      </t>
  </si>
  <si>
    <t xml:space="preserve">Night      </t>
  </si>
  <si>
    <t xml:space="preserve">Early        </t>
  </si>
  <si>
    <t xml:space="preserve">Early       </t>
  </si>
  <si>
    <t xml:space="preserve">Late       </t>
  </si>
  <si>
    <t xml:space="preserve">Night       </t>
  </si>
  <si>
    <t xml:space="preserve">Late        </t>
  </si>
  <si>
    <t xml:space="preserve">Night        </t>
  </si>
  <si>
    <t>Night (20:00 - 08:00)</t>
  </si>
  <si>
    <t xml:space="preserve">Contact time per shift  </t>
  </si>
  <si>
    <t>Baseline Assessment Score</t>
  </si>
  <si>
    <t>1:1 Support</t>
  </si>
  <si>
    <t>Eating/drinking</t>
  </si>
  <si>
    <t>Communication</t>
  </si>
  <si>
    <t>Moving &amp; transferring</t>
  </si>
  <si>
    <t>Emotional Psychological</t>
  </si>
  <si>
    <t>Positive Behaviour Support</t>
  </si>
  <si>
    <t>Medication Support</t>
  </si>
  <si>
    <t xml:space="preserve">Social/Activities/ Family Contact Support </t>
  </si>
  <si>
    <t>Number of Care Staff Per Shift:</t>
  </si>
  <si>
    <t>Number of Supported Adults:</t>
  </si>
  <si>
    <t>Ratio</t>
  </si>
  <si>
    <t>Dependency Contact Time (Hours) Totals:</t>
  </si>
  <si>
    <t>Rostered staff hours (not including manager):</t>
  </si>
  <si>
    <r>
      <t>Additional Staff Required due to Other Considerations (Hours):</t>
    </r>
    <r>
      <rPr>
        <sz val="11"/>
        <color theme="0" tint="-0.499984740745262"/>
        <rFont val="Calibri"/>
        <family val="2"/>
        <scheme val="minor"/>
      </rPr>
      <t xml:space="preserve">
</t>
    </r>
    <r>
      <rPr>
        <sz val="9"/>
        <color theme="0"/>
        <rFont val="Calibri"/>
        <family val="2"/>
        <scheme val="minor"/>
      </rPr>
      <t>Refer to Other Considerations for Reasoning</t>
    </r>
  </si>
  <si>
    <t>This is a baseline assessment, taking into account that everyone living in a residential care home requires a base level of care. If the person you are assessing fluctuates between two categories, select the higher category. 
The ability to further identify and define individual needs will be  completed in the next section</t>
  </si>
  <si>
    <t xml:space="preserve">Level of Care Needs </t>
  </si>
  <si>
    <t>Category Number</t>
  </si>
  <si>
    <t>Self-Caring</t>
  </si>
  <si>
    <t>Typically, a person in this care group:</t>
  </si>
  <si>
    <t>1.Is continent</t>
  </si>
  <si>
    <t>2.Does not require assistance to the toilet</t>
  </si>
  <si>
    <t>3. Can feed themselves</t>
  </si>
  <si>
    <t>4. Can wash themselves</t>
  </si>
  <si>
    <t>5. Can walk without assistance, but may use a stick/Zimmer</t>
  </si>
  <si>
    <t>6. Can manage own affairs</t>
  </si>
  <si>
    <t>7. Can make needs known.</t>
  </si>
  <si>
    <t>Low</t>
  </si>
  <si>
    <t>1.Is continent, but my have occasional accident</t>
  </si>
  <si>
    <t>2.Can usually manage the toilet but may need supervision</t>
  </si>
  <si>
    <t>4. May need supervision or assistance with washing</t>
  </si>
  <si>
    <t>5. May need supervision or assistance with dressing</t>
  </si>
  <si>
    <t>6. Can walk without assistance, but may use a stick/Zimmer</t>
  </si>
  <si>
    <t>7. Can manage own affairs with little assistance</t>
  </si>
  <si>
    <t>8. Can make needs known.</t>
  </si>
  <si>
    <t>Medium</t>
  </si>
  <si>
    <t>1.Is occasionally incontinent</t>
  </si>
  <si>
    <t>2.Requires assistance in the toilet</t>
  </si>
  <si>
    <t>3. Can feed themselves but may need minimal help</t>
  </si>
  <si>
    <t>4. Needs supervision or assistance with washing</t>
  </si>
  <si>
    <t>5. Needs help with dressing</t>
  </si>
  <si>
    <t>6. Needs to use a walking aid or be assisted, may use a wheelchair</t>
  </si>
  <si>
    <t>7. Requires assistance with financial affairs</t>
  </si>
  <si>
    <t>8. Has difficulty making needs know</t>
  </si>
  <si>
    <t>High</t>
  </si>
  <si>
    <t>1. Is sometimes doubly incontinent</t>
  </si>
  <si>
    <t>2. Requires assistance in the toilet, uses a commode or requires incontinence care</t>
  </si>
  <si>
    <t>3. Requires assistance or has to be fed</t>
  </si>
  <si>
    <t>4. Requires washing</t>
  </si>
  <si>
    <t>5. Requires dressing</t>
  </si>
  <si>
    <t>6. Walks with assistance or is bedfast/chairfast</t>
  </si>
  <si>
    <t>6. Cannot manage own affairs</t>
  </si>
  <si>
    <t>7. Cannot make needs known.</t>
  </si>
  <si>
    <t>Needs</t>
  </si>
  <si>
    <t>Baseline Assessment Categories</t>
  </si>
  <si>
    <t xml:space="preserve">Dependency Tool &amp; Calculation </t>
  </si>
  <si>
    <t>Personal Care (Inc. bathing &amp; showering)</t>
  </si>
  <si>
    <t>Other Considerations for the Deployment of Staff:</t>
  </si>
  <si>
    <t xml:space="preserve">Please record any other considerations that need to be taken into account that effects staff deployment and how many extra hours these require. For example the environment, layout of the service, human elements that cannot be accounted for in the above calculations, etc. </t>
  </si>
  <si>
    <t>Dependency + Other Considerations Total (Hours):</t>
  </si>
  <si>
    <t>Guidance on the consideration of additional support needs</t>
  </si>
  <si>
    <t xml:space="preserve">Listed below are guidance and prompts for considering and recording any known additional support needs. The list and situations detailed are not exhaustive, you should use your professional knowledge and experience of the person being assessed to inform the dependency assessment. </t>
  </si>
  <si>
    <t>1:1 hours</t>
  </si>
  <si>
    <t>Social</t>
  </si>
  <si>
    <t>Personal Care</t>
  </si>
  <si>
    <t>Behavioural</t>
  </si>
  <si>
    <t xml:space="preserve">Medication </t>
  </si>
  <si>
    <t xml:space="preserve"> - Where the person requires specific support beyond that described in the baseline assessment, for example  someone to be in the dining room when the person is eating due to an increased risk of choking or where the person requires support to receive enteral feeding (gastrotomy or syringe feeding), the time required can be added to this section.
 - If you have a high proportion of people requiring their food and fluid to be recorded on charts you might want to consider the time required to complete documentation, for example 1 minute per chart. </t>
  </si>
  <si>
    <t xml:space="preserve"> - If the person has contracted general 1:1 support, the amount of time allocated to the person can be detailed in this section. If the person has 1:1 support for an identified reason, for example providing activities, support to eat, or to go out, the time allocated can be entered under the activity heading. The time contracted must only be entered into either the 1:1 support or the relevant activity heading. 
 - If the person the person has an extended period of 1:1 support , divide the overall support into the relevant areas of the day and record it in minutes. For example a person has 12 hours of 1:1 support between 8am and 8pm, this should be recorded as 360 mins on the early shift and 360 mins on the late shift. 
 - If the 1:1 support covers all of the persons needs during the day, i.e. their support to eat, transfer, respond to behaviour, enter  a category number of "1" for the baseline assessment to ensure their needs at night are also taken into account.</t>
  </si>
  <si>
    <t xml:space="preserve"> - This support need would include people who require extra time to effectively express their needs, for example a person who has uses a communication picture board or a 'type talker' or needs time to think through the word/sentence structure before they can produce the information</t>
  </si>
  <si>
    <t xml:space="preserve"> - The provision of social support is not considered in the baseline assessment. You should consider whether the person requires additional support to participate in general social activities in the home. If the person prefers to stay in their room or not participate in group activities you should consider any allowance made for individual support.
 - Consideration must also be given to supporting people in their interests and aspirations, as well as taking part in activities that are socially and culturally relevant and appropriate to them, including in the wider community, and where appropriate, having access to education and work opportunities
 - The provision of social activity/access to the community may be a condition of a persons DoLS, where this is the case the condition must be evidenced as being met. If this requires an increased level of staffing this should be discussed with the person commissioning the care package. 
 - The requirement for social activity may not necessarily be included in the individual dependency assessment, it may be included in the non direct care tasks.</t>
  </si>
  <si>
    <t xml:space="preserve"> - This support need would include people who require extra time and emotional support to move/transfer safely due to anxiety, fragility or use of equipment. You will need to be consistent in how you record the support required and be able to evidence why you have detailed the outcome, for example one person may have 10 mins of support to move from the lounge to the dining room from 1 member of staff due to their level of anxiety and fragility but can mobilise themselves; another person may have 10 mins of support because it takes 2 members of staff 5 minutes to fully hoist and reposition the person. How you record the time taken and subsequent effective deployment staff to complete the task will depend on your knowledge of the individual and the required task</t>
  </si>
  <si>
    <t xml:space="preserve"> - The provision for emotional and/or phycological support is not considered in the baseline assessment.  This may relate to a person who requires a high level of reassurance through out the day or at specific times during the day. It may also apply to people who are considered at risk of harm/self harm and require regular checks or observations to be completed. 
 - You should consider where a person is non compliant or resistant to tasks such as personal care, does this require extra time?  It may be that an extra 5 mins is required to fully engage with the person an complete the task, or it takes repeated visits to gain consent to complete the task. This can be recorded in either personal care or emotional support. </t>
  </si>
  <si>
    <t xml:space="preserve"> - The support detailed in this area would be in addition to the support detailed in baseline assessment, for example the requirement for specialist support with medication (pulse being taken and recorded; glucose levels being tested etc); a person who requires a higher level of bathing due to continence needs etc.</t>
  </si>
  <si>
    <t xml:space="preserve"> - Consider whether the person is a risk to themselves or others, whether their behaviour is disruptive and whether immediate intervention is required by a member of staff. Is this level of intervention/support required on a daily basis? </t>
  </si>
  <si>
    <t xml:space="preserve"> - This area would only be included if an individual is receiving support with medication administration. </t>
  </si>
  <si>
    <r>
      <t>Please ensure that the time required for additional support needs is recorded in</t>
    </r>
    <r>
      <rPr>
        <b/>
        <sz val="14"/>
        <color rgb="FFFF0000"/>
        <rFont val="Calibri"/>
        <family val="2"/>
        <scheme val="minor"/>
      </rPr>
      <t xml:space="preserve"> </t>
    </r>
    <r>
      <rPr>
        <b/>
        <u/>
        <sz val="14"/>
        <color rgb="FFFF0000"/>
        <rFont val="Calibri"/>
        <family val="2"/>
        <scheme val="minor"/>
      </rPr>
      <t>minutes.</t>
    </r>
  </si>
  <si>
    <t xml:space="preserve">Self-Caring </t>
  </si>
  <si>
    <t xml:space="preserve">Medium </t>
  </si>
  <si>
    <t xml:space="preserve">High </t>
  </si>
  <si>
    <t xml:space="preserve">Key for additional support needs (minutes) </t>
  </si>
  <si>
    <t>to</t>
  </si>
  <si>
    <t>Please note, these ranges can be edited to suit the services preferences &amp; needs</t>
  </si>
  <si>
    <t>Baseline Assessment Score Totals</t>
  </si>
  <si>
    <t xml:space="preserve">January </t>
  </si>
  <si>
    <t>February</t>
  </si>
  <si>
    <t>March</t>
  </si>
  <si>
    <t>April</t>
  </si>
  <si>
    <t>May</t>
  </si>
  <si>
    <t>June</t>
  </si>
  <si>
    <t>July</t>
  </si>
  <si>
    <t>August</t>
  </si>
  <si>
    <t>September</t>
  </si>
  <si>
    <t>October</t>
  </si>
  <si>
    <t>November</t>
  </si>
  <si>
    <t>December</t>
  </si>
  <si>
    <t>Dependency Tool Guidance</t>
  </si>
  <si>
    <r>
      <t xml:space="preserve">This Dependency Tool has been created to her providers calculate how staffing levels are determined for the service. The Tool has 3 main sections </t>
    </r>
    <r>
      <rPr>
        <b/>
        <sz val="11"/>
        <color theme="1"/>
        <rFont val="Calibri"/>
        <family val="2"/>
        <scheme val="minor"/>
      </rPr>
      <t>Baseline Assessment Score</t>
    </r>
    <r>
      <rPr>
        <sz val="11"/>
        <color theme="1"/>
        <rFont val="Calibri"/>
        <family val="2"/>
        <scheme val="minor"/>
      </rPr>
      <t xml:space="preserve">, </t>
    </r>
    <r>
      <rPr>
        <b/>
        <sz val="11"/>
        <color theme="1"/>
        <rFont val="Calibri"/>
        <family val="2"/>
        <scheme val="minor"/>
      </rPr>
      <t>Additional Support Needs</t>
    </r>
    <r>
      <rPr>
        <sz val="11"/>
        <color theme="1"/>
        <rFont val="Calibri"/>
        <family val="2"/>
        <scheme val="minor"/>
      </rPr>
      <t xml:space="preserve"> and </t>
    </r>
    <r>
      <rPr>
        <b/>
        <sz val="11"/>
        <color theme="1"/>
        <rFont val="Calibri"/>
        <family val="2"/>
        <scheme val="minor"/>
      </rPr>
      <t>Other Considerations</t>
    </r>
    <r>
      <rPr>
        <sz val="11"/>
        <color theme="1"/>
        <rFont val="Calibri"/>
        <family val="2"/>
        <scheme val="minor"/>
      </rPr>
      <t xml:space="preserve">. 
The </t>
    </r>
    <r>
      <rPr>
        <b/>
        <sz val="11"/>
        <color theme="1"/>
        <rFont val="Calibri"/>
        <family val="2"/>
        <scheme val="minor"/>
      </rPr>
      <t>Baseline Assessment Score</t>
    </r>
    <r>
      <rPr>
        <sz val="11"/>
        <color theme="1"/>
        <rFont val="Calibri"/>
        <family val="2"/>
        <scheme val="minor"/>
      </rPr>
      <t xml:space="preserve"> is calculated based on the criteria set out on the </t>
    </r>
    <r>
      <rPr>
        <b/>
        <sz val="11"/>
        <color theme="1"/>
        <rFont val="Calibri"/>
        <family val="2"/>
        <scheme val="minor"/>
      </rPr>
      <t>“Baseline”</t>
    </r>
    <r>
      <rPr>
        <sz val="11"/>
        <color theme="1"/>
        <rFont val="Calibri"/>
        <family val="2"/>
        <scheme val="minor"/>
      </rPr>
      <t xml:space="preserve"> tab, once a score has been determined for an adult their name and Baseline Assessment Score are recorded on the appropriate month tab. The calculation for the baseline score provides 60 minutes of base care a day per level of need (e.g. a Self-Caring score of 1 x60mins = 60mins, a Low score of 2 x60 mins =120mins). This is then divided by 3 to provide minutes of car in the Early, Late and Night shifts. Each Tab also has a summary table to show how many Adults have been assigned each Baseline Assessment Score. 
</t>
    </r>
    <r>
      <rPr>
        <b/>
        <sz val="11"/>
        <color theme="1"/>
        <rFont val="Calibri"/>
        <family val="2"/>
        <scheme val="minor"/>
      </rPr>
      <t>Additional Support Needs</t>
    </r>
    <r>
      <rPr>
        <sz val="11"/>
        <color theme="1"/>
        <rFont val="Calibri"/>
        <family val="2"/>
        <scheme val="minor"/>
      </rPr>
      <t xml:space="preserve"> are then considered and added to the adults record for the state categories. These need to be stated in minutes. Guidance on Additional Support Needs can be found on the </t>
    </r>
    <r>
      <rPr>
        <b/>
        <sz val="11"/>
        <color theme="1"/>
        <rFont val="Calibri"/>
        <family val="2"/>
        <scheme val="minor"/>
      </rPr>
      <t>“Additional Needs”</t>
    </r>
    <r>
      <rPr>
        <sz val="11"/>
        <color theme="1"/>
        <rFont val="Calibri"/>
        <family val="2"/>
        <scheme val="minor"/>
      </rPr>
      <t xml:space="preserve"> Tab. Please note, the situations detailed are not exhaustive, providers should use their professional knowledge and experience of the person being assessed to inform the dependency assessment. The minutes needed for each situation should be detailed for the Early, Late &amp; Night shift. The times included on the tabs for these shifts can be changed but should remain in 8-hour blocks to ensure they are even across the 24-hour period. Each tab has a minute range RAG Rated key, the ranges in this can be adjusted to suit the services definition of Low, Medium, &amp; High for the Additional Needs. The cells on each tab will RAG Rate based on the Ranges set and minutes inputted.
The totals of minutes over a 24-hour period, the Early, Late and Night shifts will be automatically calculated for each adult as well as what this equates to in hours. This is also calculated for the whole service. 
The third area of importance on this tool is the </t>
    </r>
    <r>
      <rPr>
        <b/>
        <sz val="11"/>
        <color theme="1"/>
        <rFont val="Calibri"/>
        <family val="2"/>
        <scheme val="minor"/>
      </rPr>
      <t>Other Considerations</t>
    </r>
    <r>
      <rPr>
        <sz val="11"/>
        <color theme="1"/>
        <rFont val="Calibri"/>
        <family val="2"/>
        <scheme val="minor"/>
      </rPr>
      <t xml:space="preserve"> section </t>
    </r>
    <r>
      <rPr>
        <b/>
        <sz val="11"/>
        <color theme="1"/>
        <rFont val="Calibri"/>
        <family val="2"/>
        <scheme val="minor"/>
      </rPr>
      <t>at the bottom of each month’s table</t>
    </r>
    <r>
      <rPr>
        <sz val="11"/>
        <color theme="1"/>
        <rFont val="Calibri"/>
        <family val="2"/>
        <scheme val="minor"/>
      </rPr>
      <t xml:space="preserve">. This is where the service can detail any environmental, human aspect or other issue that can not be calculated in a set formula, which has an effect on the staff deployment and time required to safely complete their roles. It is important this is considered and detailed, including how many extra hours of care hours are required to remain at a safe level. These hours are then entered into the “Additional Staff Required due to Other Considerations (Hours):” row at the end of the table for the Early, Late, &amp; Night Shift. the 24-hour total will automatically calculate as will the total of hours from the Dependency Calculation + the Hours stated for Other Considerations. 
Once the total number of Rostered Staff is entered, the tool will then show the Staff:Adult Ratio. (The total number of adults will automatically calculate based on the number of Adults Names entered). The </t>
    </r>
    <r>
      <rPr>
        <b/>
        <sz val="11"/>
        <color theme="1"/>
        <rFont val="Calibri"/>
        <family val="2"/>
        <scheme val="minor"/>
      </rPr>
      <t>“Dependency + Other Considerations Total (Hours):”</t>
    </r>
    <r>
      <rPr>
        <sz val="11"/>
        <color theme="1"/>
        <rFont val="Calibri"/>
        <family val="2"/>
        <scheme val="minor"/>
      </rPr>
      <t xml:space="preserve"> &amp; </t>
    </r>
    <r>
      <rPr>
        <b/>
        <sz val="11"/>
        <color theme="1"/>
        <rFont val="Calibri"/>
        <family val="2"/>
        <scheme val="minor"/>
      </rPr>
      <t>“Rostered staff hours (not including manager):”</t>
    </r>
    <r>
      <rPr>
        <sz val="11"/>
        <color theme="1"/>
        <rFont val="Calibri"/>
        <family val="2"/>
        <scheme val="minor"/>
      </rPr>
      <t xml:space="preserve"> should match for each shift to ensure staffing is at the calculated safe level. 
If additional rows are required to list more adults, please select any row within the table and right mouse click then select Insert or use the insert option in the toolbar. 
If additional Columns are required to include other support need columns, please highlighted the required column (it is recommended to select the “Total Mins over 24 hr” Column to avoid formatting issues with the 2 tables at the top of the tab) and insert 3 columns for each new support need following either method as above. 
Once these have been inserted please edit the formulas in </t>
    </r>
    <r>
      <rPr>
        <b/>
        <sz val="11"/>
        <color theme="1"/>
        <rFont val="Calibri"/>
        <family val="2"/>
        <scheme val="minor"/>
      </rPr>
      <t>“Early (08.00 - 14.00)”</t>
    </r>
    <r>
      <rPr>
        <sz val="11"/>
        <color theme="1"/>
        <rFont val="Calibri"/>
        <family val="2"/>
        <scheme val="minor"/>
      </rPr>
      <t xml:space="preserve">, </t>
    </r>
    <r>
      <rPr>
        <b/>
        <sz val="11"/>
        <color theme="1"/>
        <rFont val="Calibri"/>
        <family val="2"/>
        <scheme val="minor"/>
      </rPr>
      <t>“Late (14.00 - 20.00)”</t>
    </r>
    <r>
      <rPr>
        <sz val="11"/>
        <color theme="1"/>
        <rFont val="Calibri"/>
        <family val="2"/>
        <scheme val="minor"/>
      </rPr>
      <t xml:space="preserve">, &amp; </t>
    </r>
    <r>
      <rPr>
        <b/>
        <sz val="11"/>
        <color theme="1"/>
        <rFont val="Calibri"/>
        <family val="2"/>
        <scheme val="minor"/>
      </rPr>
      <t>“Night (20.00 - 08.00)”</t>
    </r>
    <r>
      <rPr>
        <sz val="11"/>
        <color theme="1"/>
        <rFont val="Calibri"/>
        <family val="2"/>
        <scheme val="minor"/>
      </rPr>
      <t xml:space="preserve"> to ensure the relevant new cell is included in the formula. 
</t>
    </r>
    <r>
      <rPr>
        <u/>
        <sz val="11"/>
        <color theme="1"/>
        <rFont val="Calibri"/>
        <family val="2"/>
        <scheme val="minor"/>
      </rPr>
      <t>For example, a new addition at the end of the current listed support needs would require the following formula edits:</t>
    </r>
    <r>
      <rPr>
        <sz val="11"/>
        <color theme="1"/>
        <rFont val="Calibri"/>
        <family val="2"/>
        <scheme val="minor"/>
      </rPr>
      <t xml:space="preserve">
</t>
    </r>
    <r>
      <rPr>
        <b/>
        <sz val="11"/>
        <color theme="1"/>
        <rFont val="Calibri"/>
        <family val="2"/>
        <scheme val="minor"/>
      </rPr>
      <t>“Early (08.00 - 14.00)”</t>
    </r>
    <r>
      <rPr>
        <sz val="11"/>
        <color theme="1"/>
        <rFont val="Calibri"/>
        <family val="2"/>
        <scheme val="minor"/>
      </rPr>
      <t xml:space="preserve"> – </t>
    </r>
    <r>
      <rPr>
        <b/>
        <sz val="11"/>
        <color rgb="FF7030A0"/>
        <rFont val="Calibri"/>
        <family val="2"/>
        <scheme val="minor"/>
      </rPr>
      <t>Current Formula</t>
    </r>
    <r>
      <rPr>
        <sz val="11"/>
        <color rgb="FF7030A0"/>
        <rFont val="Calibri"/>
        <family val="2"/>
        <scheme val="minor"/>
      </rPr>
      <t xml:space="preserve"> </t>
    </r>
    <r>
      <rPr>
        <sz val="11"/>
        <color theme="1"/>
        <rFont val="Calibri"/>
        <family val="2"/>
        <scheme val="minor"/>
      </rPr>
      <t xml:space="preserve">=SUM(D13,G13,J13,M13,P13,S13,V13,Y13,AB13)+([@[Baseline Assessment Score]]*60/3) / </t>
    </r>
    <r>
      <rPr>
        <b/>
        <sz val="11"/>
        <color rgb="FF0070C0"/>
        <rFont val="Calibri"/>
        <family val="2"/>
        <scheme val="minor"/>
      </rPr>
      <t>New Formula</t>
    </r>
    <r>
      <rPr>
        <sz val="11"/>
        <color theme="1"/>
        <rFont val="Calibri"/>
        <family val="2"/>
        <scheme val="minor"/>
      </rPr>
      <t xml:space="preserve"> =SUM(D13,G13,J13,M13,P13,S13,V13,Y13,AB13</t>
    </r>
    <r>
      <rPr>
        <b/>
        <sz val="11"/>
        <color rgb="FF0070C0"/>
        <rFont val="Calibri"/>
        <family val="2"/>
        <scheme val="minor"/>
      </rPr>
      <t>,AE13</t>
    </r>
    <r>
      <rPr>
        <sz val="11"/>
        <color theme="1"/>
        <rFont val="Calibri"/>
        <family val="2"/>
        <scheme val="minor"/>
      </rPr>
      <t xml:space="preserve">)+([@[Baseline Assessment Score]]*60/3)
</t>
    </r>
    <r>
      <rPr>
        <b/>
        <sz val="11"/>
        <color theme="1"/>
        <rFont val="Calibri"/>
        <family val="2"/>
        <scheme val="minor"/>
      </rPr>
      <t>“Late (14.00 - 20.00)”</t>
    </r>
    <r>
      <rPr>
        <sz val="11"/>
        <color theme="1"/>
        <rFont val="Calibri"/>
        <family val="2"/>
        <scheme val="minor"/>
      </rPr>
      <t xml:space="preserve"> – </t>
    </r>
    <r>
      <rPr>
        <b/>
        <sz val="11"/>
        <color rgb="FF7030A0"/>
        <rFont val="Calibri"/>
        <family val="2"/>
        <scheme val="minor"/>
      </rPr>
      <t>Current Formula</t>
    </r>
    <r>
      <rPr>
        <sz val="11"/>
        <color theme="1"/>
        <rFont val="Calibri"/>
        <family val="2"/>
        <scheme val="minor"/>
      </rPr>
      <t xml:space="preserve"> =SUM(E13,H13,K13,N13,Q13,T13,W13,Z13,AC13)+([@[Baseline Assessment Score]]*60/3) /</t>
    </r>
    <r>
      <rPr>
        <b/>
        <sz val="11"/>
        <color rgb="FF0070C0"/>
        <rFont val="Calibri"/>
        <family val="2"/>
        <scheme val="minor"/>
      </rPr>
      <t xml:space="preserve"> New Formula</t>
    </r>
    <r>
      <rPr>
        <sz val="11"/>
        <color theme="1"/>
        <rFont val="Calibri"/>
        <family val="2"/>
        <scheme val="minor"/>
      </rPr>
      <t xml:space="preserve"> =SUM(E13,H13,K13,N13,Q13,T13,W13,Z13,AC13</t>
    </r>
    <r>
      <rPr>
        <b/>
        <sz val="11"/>
        <color rgb="FF0070C0"/>
        <rFont val="Calibri"/>
        <family val="2"/>
        <scheme val="minor"/>
      </rPr>
      <t>,AF13</t>
    </r>
    <r>
      <rPr>
        <sz val="11"/>
        <color theme="1"/>
        <rFont val="Calibri"/>
        <family val="2"/>
        <scheme val="minor"/>
      </rPr>
      <t xml:space="preserve">)+([@[Baseline Assessment Score]]*60/3)
</t>
    </r>
    <r>
      <rPr>
        <b/>
        <sz val="11"/>
        <color theme="1"/>
        <rFont val="Calibri"/>
        <family val="2"/>
        <scheme val="minor"/>
      </rPr>
      <t>“Night (20.00 - 08.00)”</t>
    </r>
    <r>
      <rPr>
        <sz val="11"/>
        <color theme="1"/>
        <rFont val="Calibri"/>
        <family val="2"/>
        <scheme val="minor"/>
      </rPr>
      <t>–</t>
    </r>
    <r>
      <rPr>
        <sz val="11"/>
        <color rgb="FF7030A0"/>
        <rFont val="Calibri"/>
        <family val="2"/>
        <scheme val="minor"/>
      </rPr>
      <t xml:space="preserve"> </t>
    </r>
    <r>
      <rPr>
        <b/>
        <sz val="11"/>
        <color rgb="FF7030A0"/>
        <rFont val="Calibri"/>
        <family val="2"/>
        <scheme val="minor"/>
      </rPr>
      <t>Current Formula</t>
    </r>
    <r>
      <rPr>
        <sz val="11"/>
        <color theme="1"/>
        <rFont val="Calibri"/>
        <family val="2"/>
        <scheme val="minor"/>
      </rPr>
      <t xml:space="preserve"> =SUM(F13,I13,L13,O13,R13,U13,X13,AA13,AD13)+([@[Baseline Assessment Score]]*60/3) / </t>
    </r>
    <r>
      <rPr>
        <b/>
        <sz val="11"/>
        <color rgb="FF0070C0"/>
        <rFont val="Calibri"/>
        <family val="2"/>
        <scheme val="minor"/>
      </rPr>
      <t>New Formula</t>
    </r>
    <r>
      <rPr>
        <sz val="11"/>
        <color theme="1"/>
        <rFont val="Calibri"/>
        <family val="2"/>
        <scheme val="minor"/>
      </rPr>
      <t xml:space="preserve"> =SUM(F13,I13,L13,O13,R13,U13,X13,AA13,AD13</t>
    </r>
    <r>
      <rPr>
        <sz val="11"/>
        <color rgb="FF0070C0"/>
        <rFont val="Calibri"/>
        <family val="2"/>
        <scheme val="minor"/>
      </rPr>
      <t>,AG13</t>
    </r>
    <r>
      <rPr>
        <sz val="11"/>
        <color theme="1"/>
        <rFont val="Calibri"/>
        <family val="2"/>
        <scheme val="minor"/>
      </rPr>
      <t xml:space="preserve">)+([@[Baseline Assessment Score]]*60/3)
The new formulas, once entered into the top cell of the list, should copy down automatically, but if not can be dragged down by clicking on the bottom right corner of the cell and dragging down to the bottom of the list. All other formulas should not require editing.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</si>
</sst>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color theme="0" tint="-0.499984740745262"/>
      <name val="Calibri"/>
      <family val="2"/>
      <scheme val="minor"/>
    </font>
    <font>
      <sz val="9"/>
      <color theme="0"/>
      <name val="Calibri"/>
      <family val="2"/>
      <scheme val="minor"/>
    </font>
    <font>
      <sz val="11"/>
      <color theme="2" tint="-0.499984740745262"/>
      <name val="Calibri"/>
      <family val="2"/>
      <scheme val="minor"/>
    </font>
    <font>
      <b/>
      <sz val="14"/>
      <color theme="1"/>
      <name val="Calibri"/>
      <family val="2"/>
      <scheme val="minor"/>
    </font>
    <font>
      <sz val="11"/>
      <name val="Calibri"/>
      <family val="2"/>
      <scheme val="minor"/>
    </font>
    <font>
      <b/>
      <sz val="12"/>
      <color theme="1"/>
      <name val="Calibri"/>
      <family val="2"/>
      <scheme val="minor"/>
    </font>
    <font>
      <b/>
      <sz val="12"/>
      <name val="Calibri"/>
      <family val="2"/>
      <scheme val="minor"/>
    </font>
    <font>
      <sz val="14"/>
      <color rgb="FFFF0000"/>
      <name val="Calibri"/>
      <family val="2"/>
      <scheme val="minor"/>
    </font>
    <font>
      <b/>
      <sz val="14"/>
      <color rgb="FFFF0000"/>
      <name val="Calibri"/>
      <family val="2"/>
      <scheme val="minor"/>
    </font>
    <font>
      <b/>
      <u/>
      <sz val="14"/>
      <color rgb="FFFF0000"/>
      <name val="Calibri"/>
      <family val="2"/>
      <scheme val="minor"/>
    </font>
    <font>
      <sz val="12"/>
      <name val="Calibri"/>
      <family val="2"/>
      <scheme val="minor"/>
    </font>
    <font>
      <sz val="11"/>
      <color rgb="FF0070C0"/>
      <name val="Calibri"/>
      <family val="2"/>
      <scheme val="minor"/>
    </font>
    <font>
      <b/>
      <sz val="11"/>
      <color rgb="FF0070C0"/>
      <name val="Calibri"/>
      <family val="2"/>
      <scheme val="minor"/>
    </font>
    <font>
      <u/>
      <sz val="11"/>
      <color theme="1"/>
      <name val="Calibri"/>
      <family val="2"/>
      <scheme val="minor"/>
    </font>
    <font>
      <b/>
      <sz val="11"/>
      <color rgb="FF7030A0"/>
      <name val="Calibri"/>
      <family val="2"/>
      <scheme val="minor"/>
    </font>
    <font>
      <sz val="11"/>
      <color rgb="FF7030A0"/>
      <name val="Calibri"/>
      <family val="2"/>
      <scheme val="minor"/>
    </font>
  </fonts>
  <fills count="21">
    <fill>
      <patternFill patternType="none"/>
    </fill>
    <fill>
      <patternFill patternType="gray125"/>
    </fill>
    <fill>
      <patternFill patternType="solid">
        <fgColor theme="8" tint="0.79998168889431442"/>
        <bgColor indexed="64"/>
      </patternFill>
    </fill>
    <fill>
      <patternFill patternType="solid">
        <fgColor theme="8"/>
        <bgColor indexed="64"/>
      </patternFill>
    </fill>
    <fill>
      <patternFill patternType="solid">
        <fgColor theme="4"/>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rgb="FFCFAFE7"/>
        <bgColor indexed="64"/>
      </patternFill>
    </fill>
    <fill>
      <patternFill patternType="solid">
        <fgColor rgb="FFFF6969"/>
        <bgColor indexed="64"/>
      </patternFill>
    </fill>
    <fill>
      <patternFill patternType="solid">
        <fgColor theme="8" tint="0.39997558519241921"/>
        <bgColor indexed="64"/>
      </patternFill>
    </fill>
    <fill>
      <patternFill patternType="solid">
        <fgColor rgb="FFFF9999"/>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bgColor indexed="64"/>
      </patternFill>
    </fill>
    <fill>
      <patternFill patternType="solid">
        <fgColor theme="9" tint="0.39997558519241921"/>
        <bgColor indexed="64"/>
      </patternFill>
    </fill>
    <fill>
      <patternFill patternType="solid">
        <fgColor theme="9"/>
        <bgColor indexed="64"/>
      </patternFill>
    </fill>
    <fill>
      <patternFill patternType="solid">
        <fgColor theme="8" tint="0.59999389629810485"/>
        <bgColor indexed="64"/>
      </patternFill>
    </fill>
    <fill>
      <patternFill patternType="solid">
        <fgColor rgb="FF7030A0"/>
        <bgColor indexed="64"/>
      </patternFill>
    </fill>
    <fill>
      <patternFill patternType="solid">
        <fgColor rgb="FFFFB7B7"/>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thick">
        <color rgb="FFFF0000"/>
      </right>
      <top/>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s>
  <cellStyleXfs count="1">
    <xf numFmtId="0" fontId="0" fillId="0" borderId="0"/>
  </cellStyleXfs>
  <cellXfs count="341">
    <xf numFmtId="0" fontId="0" fillId="0" borderId="0" xfId="0"/>
    <xf numFmtId="0" fontId="0" fillId="0" borderId="0" xfId="0" applyAlignment="1">
      <alignment wrapText="1"/>
    </xf>
    <xf numFmtId="0" fontId="0" fillId="0" borderId="0" xfId="0" applyAlignment="1">
      <alignment textRotation="255"/>
    </xf>
    <xf numFmtId="0" fontId="0" fillId="0" borderId="0" xfId="0" applyAlignment="1">
      <alignment horizontal="center" vertical="center"/>
    </xf>
    <xf numFmtId="0" fontId="0" fillId="0" borderId="0" xfId="0" applyAlignment="1">
      <alignment textRotation="255"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18" xfId="0" applyBorder="1" applyAlignment="1">
      <alignment horizontal="center"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24" xfId="0" applyFont="1" applyFill="1"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2" fontId="0" fillId="0" borderId="12" xfId="0" applyNumberFormat="1"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2" fontId="0" fillId="0" borderId="6" xfId="0" applyNumberFormat="1" applyBorder="1" applyAlignment="1">
      <alignment horizontal="center" vertical="center" wrapText="1"/>
    </xf>
    <xf numFmtId="2" fontId="0" fillId="0" borderId="18" xfId="0" applyNumberFormat="1" applyBorder="1" applyAlignment="1">
      <alignment horizontal="center" vertical="center" wrapText="1"/>
    </xf>
    <xf numFmtId="0" fontId="0" fillId="0" borderId="0" xfId="0" applyAlignment="1"/>
    <xf numFmtId="0" fontId="2" fillId="0" borderId="0" xfId="0" applyFont="1" applyAlignment="1">
      <alignment vertical="center"/>
    </xf>
    <xf numFmtId="0" fontId="0" fillId="10" borderId="1" xfId="0" applyFill="1" applyBorder="1"/>
    <xf numFmtId="0" fontId="0" fillId="2" borderId="1" xfId="0" applyFill="1" applyBorder="1"/>
    <xf numFmtId="0" fontId="0" fillId="12" borderId="1" xfId="0" applyFill="1" applyBorder="1"/>
    <xf numFmtId="0" fontId="0" fillId="0" borderId="0" xfId="0" applyAlignment="1">
      <alignment vertical="center" wrapText="1"/>
    </xf>
    <xf numFmtId="0" fontId="0" fillId="0" borderId="1" xfId="0" applyBorder="1" applyAlignment="1">
      <alignment horizontal="center" vertical="center"/>
    </xf>
    <xf numFmtId="2" fontId="9" fillId="13" borderId="40" xfId="0" applyNumberFormat="1" applyFont="1" applyFill="1" applyBorder="1" applyAlignment="1">
      <alignment horizontal="center" vertical="center"/>
    </xf>
    <xf numFmtId="0" fontId="9" fillId="13" borderId="40" xfId="0" applyFont="1" applyFill="1" applyBorder="1" applyAlignment="1">
      <alignment horizontal="center" vertical="center"/>
    </xf>
    <xf numFmtId="0" fontId="9" fillId="13" borderId="2" xfId="0" applyFont="1" applyFill="1" applyBorder="1" applyAlignment="1">
      <alignment horizontal="center" vertical="center"/>
    </xf>
    <xf numFmtId="0" fontId="10" fillId="13" borderId="2" xfId="0" applyFont="1" applyFill="1" applyBorder="1" applyAlignment="1">
      <alignment horizontal="center" vertical="center"/>
    </xf>
    <xf numFmtId="0" fontId="0" fillId="0" borderId="33"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0" fillId="2" borderId="4" xfId="0" applyFill="1" applyBorder="1" applyAlignment="1">
      <alignment vertical="center" wrapText="1"/>
    </xf>
    <xf numFmtId="0" fontId="0" fillId="2" borderId="4" xfId="0" applyFill="1" applyBorder="1" applyAlignment="1">
      <alignment horizontal="left" vertical="center" wrapText="1"/>
    </xf>
    <xf numFmtId="0" fontId="8" fillId="0" borderId="4" xfId="0" applyFont="1" applyBorder="1" applyAlignment="1">
      <alignment vertical="center" wrapText="1"/>
    </xf>
    <xf numFmtId="0" fontId="0" fillId="0" borderId="0" xfId="0" applyBorder="1" applyAlignment="1">
      <alignment horizontal="center"/>
    </xf>
    <xf numFmtId="0" fontId="1"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Border="1"/>
    <xf numFmtId="0" fontId="0" fillId="0" borderId="0" xfId="0" applyBorder="1" applyAlignment="1">
      <alignment vertical="center"/>
    </xf>
    <xf numFmtId="0" fontId="0" fillId="0" borderId="47" xfId="0" applyBorder="1"/>
    <xf numFmtId="0" fontId="0" fillId="6" borderId="1" xfId="0" applyFill="1" applyBorder="1"/>
    <xf numFmtId="0" fontId="0" fillId="12" borderId="1" xfId="0" applyFill="1" applyBorder="1" applyAlignment="1">
      <alignment horizontal="center" vertical="center"/>
    </xf>
    <xf numFmtId="0" fontId="2" fillId="2"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10" borderId="1" xfId="0" applyFont="1" applyFill="1" applyBorder="1" applyAlignment="1">
      <alignment horizontal="center" vertical="center"/>
    </xf>
    <xf numFmtId="0" fontId="0" fillId="0" borderId="8" xfId="0"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12" borderId="6"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10" borderId="8" xfId="0" applyFill="1" applyBorder="1"/>
    <xf numFmtId="0" fontId="0" fillId="6" borderId="17" xfId="0" applyFill="1" applyBorder="1"/>
    <xf numFmtId="0" fontId="2" fillId="7" borderId="40" xfId="0" applyFont="1" applyFill="1" applyBorder="1" applyAlignment="1">
      <alignment horizontal="center" vertical="center" wrapText="1"/>
    </xf>
    <xf numFmtId="0" fontId="2" fillId="7" borderId="52" xfId="0" applyFont="1" applyFill="1" applyBorder="1" applyAlignment="1">
      <alignment horizontal="center" vertical="center"/>
    </xf>
    <xf numFmtId="0" fontId="2" fillId="7" borderId="41" xfId="0" applyFont="1" applyFill="1" applyBorder="1" applyAlignment="1">
      <alignment horizontal="center" vertical="center" wrapText="1"/>
    </xf>
    <xf numFmtId="0" fontId="2" fillId="10" borderId="11" xfId="0" applyFont="1" applyFill="1" applyBorder="1"/>
    <xf numFmtId="0" fontId="2" fillId="6" borderId="11" xfId="0" applyFont="1" applyFill="1" applyBorder="1"/>
    <xf numFmtId="0" fontId="2" fillId="12" borderId="3" xfId="0" applyFont="1" applyFill="1" applyBorder="1"/>
    <xf numFmtId="0" fontId="0" fillId="12" borderId="8" xfId="0" applyFill="1" applyBorder="1"/>
    <xf numFmtId="0" fontId="2" fillId="2" borderId="3" xfId="0" applyFont="1" applyFill="1" applyBorder="1"/>
    <xf numFmtId="0" fontId="0" fillId="2" borderId="8" xfId="0" applyFill="1" applyBorder="1"/>
    <xf numFmtId="0" fontId="7" fillId="0" borderId="0" xfId="0" applyFont="1" applyAlignment="1">
      <alignment horizontal="center"/>
    </xf>
    <xf numFmtId="0" fontId="0" fillId="0" borderId="43" xfId="0" applyBorder="1" applyAlignment="1">
      <alignment horizontal="center" vertical="center" wrapText="1"/>
    </xf>
    <xf numFmtId="0" fontId="0" fillId="0" borderId="0" xfId="0" applyFill="1"/>
    <xf numFmtId="0" fontId="0" fillId="0" borderId="0" xfId="0" applyFill="1" applyBorder="1" applyAlignment="1">
      <alignment horizontal="center"/>
    </xf>
    <xf numFmtId="0" fontId="2" fillId="0" borderId="0" xfId="0" applyFont="1" applyFill="1" applyBorder="1" applyAlignment="1">
      <alignment horizontal="center" vertical="center"/>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0" fillId="0" borderId="39" xfId="0" applyBorder="1" applyAlignment="1">
      <alignment horizontal="center" vertical="center" wrapText="1"/>
    </xf>
    <xf numFmtId="0" fontId="0" fillId="0" borderId="54" xfId="0" applyBorder="1" applyAlignment="1">
      <alignment horizontal="center" vertical="center" wrapText="1"/>
    </xf>
    <xf numFmtId="0" fontId="0" fillId="0" borderId="36" xfId="0" applyBorder="1" applyAlignment="1">
      <alignment horizontal="center" vertical="center" wrapText="1"/>
    </xf>
    <xf numFmtId="0" fontId="0" fillId="0" borderId="65" xfId="0" applyBorder="1" applyAlignment="1">
      <alignment horizontal="center" vertical="center" wrapText="1"/>
    </xf>
    <xf numFmtId="0" fontId="0" fillId="3" borderId="58" xfId="0" applyFont="1" applyFill="1" applyBorder="1" applyAlignment="1">
      <alignment horizontal="center" vertical="center" wrapText="1"/>
    </xf>
    <xf numFmtId="0" fontId="0" fillId="3" borderId="32" xfId="0" applyFill="1" applyBorder="1" applyAlignment="1">
      <alignment horizontal="center" vertical="center" wrapText="1"/>
    </xf>
    <xf numFmtId="0" fontId="0" fillId="3" borderId="33" xfId="0" applyFill="1" applyBorder="1" applyAlignment="1">
      <alignment horizontal="center" vertical="center" wrapText="1"/>
    </xf>
    <xf numFmtId="0" fontId="0" fillId="0" borderId="32" xfId="0" applyBorder="1" applyAlignment="1">
      <alignment horizontal="center" vertical="center" wrapText="1"/>
    </xf>
    <xf numFmtId="0" fontId="0" fillId="3" borderId="42" xfId="0" applyFill="1" applyBorder="1" applyAlignment="1">
      <alignment horizontal="center" vertical="center" wrapText="1"/>
    </xf>
    <xf numFmtId="0" fontId="0" fillId="0" borderId="42" xfId="0"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2" fontId="0" fillId="0" borderId="38" xfId="0" applyNumberFormat="1" applyBorder="1" applyAlignment="1">
      <alignment horizontal="center" vertical="center" wrapText="1"/>
    </xf>
    <xf numFmtId="0" fontId="0" fillId="0" borderId="34" xfId="0" applyBorder="1" applyAlignment="1">
      <alignment horizontal="center" vertical="center" wrapText="1"/>
    </xf>
    <xf numFmtId="2" fontId="0" fillId="0" borderId="27" xfId="0" applyNumberFormat="1" applyBorder="1" applyAlignment="1">
      <alignment horizontal="center" vertical="center" wrapText="1"/>
    </xf>
    <xf numFmtId="0" fontId="0" fillId="0" borderId="68" xfId="0" applyBorder="1" applyAlignment="1">
      <alignment horizontal="center" vertical="center" wrapText="1"/>
    </xf>
    <xf numFmtId="0" fontId="0" fillId="0" borderId="69" xfId="0" applyBorder="1" applyAlignment="1">
      <alignment horizontal="center" vertical="center" wrapText="1"/>
    </xf>
    <xf numFmtId="2" fontId="0" fillId="0" borderId="26" xfId="0" applyNumberFormat="1" applyBorder="1" applyAlignment="1">
      <alignment horizontal="center" vertical="center" wrapText="1"/>
    </xf>
    <xf numFmtId="0" fontId="3" fillId="14" borderId="2" xfId="0" applyFont="1" applyFill="1" applyBorder="1" applyAlignment="1">
      <alignment horizontal="center" vertical="center"/>
    </xf>
    <xf numFmtId="0" fontId="3" fillId="14" borderId="7" xfId="0" applyFont="1" applyFill="1" applyBorder="1" applyAlignment="1">
      <alignment horizontal="center" vertical="center"/>
    </xf>
    <xf numFmtId="0" fontId="3" fillId="14" borderId="24" xfId="0" applyFont="1" applyFill="1" applyBorder="1" applyAlignment="1">
      <alignment horizontal="center" vertical="center"/>
    </xf>
    <xf numFmtId="0" fontId="8" fillId="14" borderId="32" xfId="0" applyFont="1" applyFill="1" applyBorder="1" applyAlignment="1">
      <alignment horizontal="center" vertical="center" wrapText="1"/>
    </xf>
    <xf numFmtId="0" fontId="8" fillId="14" borderId="58" xfId="0" applyFont="1" applyFill="1" applyBorder="1" applyAlignment="1">
      <alignment horizontal="center" vertical="center" wrapText="1"/>
    </xf>
    <xf numFmtId="0" fontId="8" fillId="14" borderId="33" xfId="0" applyFont="1" applyFill="1" applyBorder="1" applyAlignment="1">
      <alignment horizontal="center" vertical="center" wrapText="1"/>
    </xf>
    <xf numFmtId="0" fontId="8" fillId="14" borderId="42" xfId="0" applyFont="1" applyFill="1" applyBorder="1" applyAlignment="1">
      <alignment horizontal="center" vertical="center" wrapText="1"/>
    </xf>
    <xf numFmtId="0" fontId="3" fillId="16" borderId="2" xfId="0" applyFont="1" applyFill="1" applyBorder="1" applyAlignment="1">
      <alignment horizontal="center" vertical="center"/>
    </xf>
    <xf numFmtId="0" fontId="3" fillId="16" borderId="7" xfId="0" applyFont="1" applyFill="1" applyBorder="1" applyAlignment="1">
      <alignment horizontal="center" vertical="center"/>
    </xf>
    <xf numFmtId="0" fontId="3" fillId="16" borderId="24" xfId="0" applyFont="1" applyFill="1" applyBorder="1" applyAlignment="1">
      <alignment horizontal="center" vertical="center"/>
    </xf>
    <xf numFmtId="0" fontId="8" fillId="16" borderId="58" xfId="0" applyFont="1" applyFill="1" applyBorder="1" applyAlignment="1">
      <alignment horizontal="center" vertical="center" wrapText="1"/>
    </xf>
    <xf numFmtId="0" fontId="8" fillId="16" borderId="32" xfId="0" applyFont="1" applyFill="1" applyBorder="1" applyAlignment="1">
      <alignment horizontal="center" vertical="center" wrapText="1"/>
    </xf>
    <xf numFmtId="0" fontId="8" fillId="16" borderId="33" xfId="0" applyFont="1" applyFill="1" applyBorder="1" applyAlignment="1">
      <alignment horizontal="center" vertical="center" wrapText="1"/>
    </xf>
    <xf numFmtId="0" fontId="8" fillId="16" borderId="42"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3" fillId="18" borderId="2" xfId="0" applyFont="1" applyFill="1" applyBorder="1" applyAlignment="1">
      <alignment horizontal="center" vertical="center"/>
    </xf>
    <xf numFmtId="0" fontId="3" fillId="18" borderId="7" xfId="0" applyFont="1" applyFill="1" applyBorder="1" applyAlignment="1">
      <alignment horizontal="center" vertical="center"/>
    </xf>
    <xf numFmtId="0" fontId="3" fillId="18" borderId="24" xfId="0" applyFont="1" applyFill="1" applyBorder="1" applyAlignment="1">
      <alignment horizontal="center" vertical="center"/>
    </xf>
    <xf numFmtId="0" fontId="8" fillId="18" borderId="58" xfId="0" applyFont="1" applyFill="1" applyBorder="1" applyAlignment="1">
      <alignment horizontal="center" vertical="center" wrapText="1"/>
    </xf>
    <xf numFmtId="0" fontId="8" fillId="18" borderId="32" xfId="0" applyFont="1" applyFill="1" applyBorder="1" applyAlignment="1">
      <alignment horizontal="center" vertical="center" wrapText="1"/>
    </xf>
    <xf numFmtId="0" fontId="8" fillId="18" borderId="33" xfId="0" applyFont="1" applyFill="1" applyBorder="1" applyAlignment="1">
      <alignment horizontal="center" vertical="center" wrapText="1"/>
    </xf>
    <xf numFmtId="0" fontId="8" fillId="18" borderId="42" xfId="0" applyFont="1" applyFill="1" applyBorder="1" applyAlignment="1">
      <alignment horizontal="center" vertical="center" wrapText="1"/>
    </xf>
    <xf numFmtId="0" fontId="8" fillId="18" borderId="66" xfId="0" applyFont="1" applyFill="1" applyBorder="1" applyAlignment="1">
      <alignment horizontal="center" vertical="center" wrapText="1"/>
    </xf>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24" xfId="0" applyFont="1" applyFill="1" applyBorder="1" applyAlignment="1">
      <alignment horizontal="center" vertical="center"/>
    </xf>
    <xf numFmtId="0" fontId="8" fillId="7" borderId="58" xfId="0" applyFont="1" applyFill="1" applyBorder="1" applyAlignment="1">
      <alignment horizontal="center" vertical="center" wrapText="1"/>
    </xf>
    <xf numFmtId="0" fontId="8" fillId="7" borderId="32" xfId="0" applyFont="1" applyFill="1" applyBorder="1" applyAlignment="1">
      <alignment horizontal="center" vertical="center" wrapText="1"/>
    </xf>
    <xf numFmtId="0" fontId="8" fillId="7" borderId="33" xfId="0" applyFont="1" applyFill="1" applyBorder="1" applyAlignment="1">
      <alignment horizontal="center" vertical="center" wrapText="1"/>
    </xf>
    <xf numFmtId="0" fontId="8" fillId="7" borderId="42" xfId="0" applyFont="1" applyFill="1" applyBorder="1" applyAlignment="1">
      <alignment horizontal="center" vertical="center" wrapText="1"/>
    </xf>
    <xf numFmtId="0" fontId="0" fillId="19" borderId="43" xfId="0" applyFill="1" applyBorder="1" applyAlignment="1">
      <alignment horizontal="center" vertical="center" wrapText="1"/>
    </xf>
    <xf numFmtId="0" fontId="0" fillId="19" borderId="65" xfId="0" applyFill="1" applyBorder="1" applyAlignment="1">
      <alignment horizontal="center" vertical="center" wrapText="1"/>
    </xf>
    <xf numFmtId="0" fontId="0" fillId="19" borderId="32" xfId="0" applyFill="1" applyBorder="1" applyAlignment="1">
      <alignment horizontal="center" vertical="center" wrapText="1"/>
    </xf>
    <xf numFmtId="0" fontId="0" fillId="19" borderId="33" xfId="0" applyFill="1" applyBorder="1" applyAlignment="1">
      <alignment horizontal="center" vertical="center" wrapText="1"/>
    </xf>
    <xf numFmtId="0" fontId="0" fillId="19" borderId="42" xfId="0" applyFill="1" applyBorder="1" applyAlignment="1">
      <alignment horizontal="center" vertical="center" wrapText="1"/>
    </xf>
    <xf numFmtId="0" fontId="0" fillId="19" borderId="66" xfId="0" applyFill="1" applyBorder="1" applyAlignment="1">
      <alignment horizontal="center" vertical="center" wrapText="1"/>
    </xf>
    <xf numFmtId="0" fontId="3" fillId="20" borderId="2" xfId="0" applyFont="1" applyFill="1" applyBorder="1" applyAlignment="1">
      <alignment horizontal="center" vertical="center"/>
    </xf>
    <xf numFmtId="0" fontId="3" fillId="20" borderId="7" xfId="0" applyFont="1" applyFill="1" applyBorder="1" applyAlignment="1">
      <alignment horizontal="center" vertical="center"/>
    </xf>
    <xf numFmtId="0" fontId="3" fillId="20" borderId="24" xfId="0" applyFont="1" applyFill="1" applyBorder="1" applyAlignment="1">
      <alignment horizontal="center" vertical="center"/>
    </xf>
    <xf numFmtId="0" fontId="8" fillId="20" borderId="58" xfId="0" applyFont="1" applyFill="1" applyBorder="1" applyAlignment="1">
      <alignment horizontal="center" vertical="center" wrapText="1"/>
    </xf>
    <xf numFmtId="0" fontId="8" fillId="20" borderId="32" xfId="0" applyFont="1" applyFill="1" applyBorder="1" applyAlignment="1">
      <alignment horizontal="center" vertical="center" wrapText="1"/>
    </xf>
    <xf numFmtId="0" fontId="8" fillId="20" borderId="33" xfId="0" applyFont="1" applyFill="1" applyBorder="1" applyAlignment="1">
      <alignment horizontal="center" vertical="center" wrapText="1"/>
    </xf>
    <xf numFmtId="0" fontId="8" fillId="20" borderId="42" xfId="0" applyFont="1" applyFill="1" applyBorder="1" applyAlignment="1">
      <alignment horizontal="center" vertical="center" wrapText="1"/>
    </xf>
    <xf numFmtId="0" fontId="0" fillId="8" borderId="43" xfId="0" applyFill="1" applyBorder="1" applyAlignment="1">
      <alignment horizontal="center" vertical="center" wrapText="1"/>
    </xf>
    <xf numFmtId="0" fontId="0" fillId="8" borderId="65" xfId="0" applyFill="1" applyBorder="1" applyAlignment="1">
      <alignment horizontal="center" vertical="center" wrapText="1"/>
    </xf>
    <xf numFmtId="0" fontId="0" fillId="8" borderId="32" xfId="0" applyFill="1" applyBorder="1" applyAlignment="1">
      <alignment horizontal="center" vertical="center" wrapText="1"/>
    </xf>
    <xf numFmtId="0" fontId="0" fillId="8" borderId="33" xfId="0" applyFill="1" applyBorder="1" applyAlignment="1">
      <alignment horizontal="center" vertical="center" wrapText="1"/>
    </xf>
    <xf numFmtId="0" fontId="0" fillId="8" borderId="42" xfId="0" applyFill="1" applyBorder="1" applyAlignment="1">
      <alignment horizontal="center" vertical="center" wrapText="1"/>
    </xf>
    <xf numFmtId="0" fontId="0" fillId="8" borderId="66" xfId="0" applyFill="1" applyBorder="1" applyAlignment="1">
      <alignment horizontal="center" vertical="center" wrapText="1"/>
    </xf>
    <xf numFmtId="0" fontId="0" fillId="0" borderId="56" xfId="0" applyBorder="1" applyAlignment="1">
      <alignment horizontal="center" vertical="center" wrapText="1"/>
    </xf>
    <xf numFmtId="0" fontId="0" fillId="0" borderId="0" xfId="0" applyBorder="1" applyAlignment="1">
      <alignment horizontal="center" vertical="center" wrapText="1"/>
    </xf>
    <xf numFmtId="0" fontId="0" fillId="0" borderId="45" xfId="0" applyBorder="1" applyAlignment="1">
      <alignment horizontal="center" vertical="center" wrapText="1"/>
    </xf>
    <xf numFmtId="0" fontId="0" fillId="0" borderId="57" xfId="0" applyBorder="1" applyAlignment="1">
      <alignment horizontal="center" vertical="center" wrapText="1"/>
    </xf>
    <xf numFmtId="0" fontId="0" fillId="0" borderId="46" xfId="0" applyBorder="1" applyAlignment="1">
      <alignment horizontal="center" vertical="center" wrapText="1"/>
    </xf>
    <xf numFmtId="0" fontId="0" fillId="0" borderId="43" xfId="0" applyBorder="1" applyAlignment="1">
      <alignment horizontal="center" vertical="center" wrapText="1"/>
    </xf>
    <xf numFmtId="0" fontId="9" fillId="6" borderId="21" xfId="0" applyFont="1" applyFill="1" applyBorder="1" applyAlignment="1">
      <alignment horizontal="center"/>
    </xf>
    <xf numFmtId="0" fontId="9" fillId="6" borderId="22" xfId="0" applyFont="1" applyFill="1" applyBorder="1" applyAlignment="1">
      <alignment horizontal="center"/>
    </xf>
    <xf numFmtId="0" fontId="9" fillId="6" borderId="28" xfId="0" applyFont="1" applyFill="1" applyBorder="1" applyAlignment="1">
      <alignment horizontal="center"/>
    </xf>
    <xf numFmtId="0" fontId="2" fillId="12" borderId="2" xfId="0" applyFont="1" applyFill="1" applyBorder="1" applyAlignment="1">
      <alignment horizontal="center" vertical="center"/>
    </xf>
    <xf numFmtId="0" fontId="2" fillId="12" borderId="5" xfId="0" applyFont="1" applyFill="1" applyBorder="1" applyAlignment="1">
      <alignment horizontal="center" vertical="center"/>
    </xf>
    <xf numFmtId="0" fontId="2" fillId="12" borderId="7" xfId="0" applyFont="1" applyFill="1" applyBorder="1" applyAlignment="1">
      <alignment horizontal="center" vertical="center"/>
    </xf>
    <xf numFmtId="0" fontId="7" fillId="12" borderId="4"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7" fillId="10" borderId="12" xfId="0" applyFont="1" applyFill="1" applyBorder="1" applyAlignment="1">
      <alignment horizontal="center" vertical="center"/>
    </xf>
    <xf numFmtId="0" fontId="7" fillId="10" borderId="6" xfId="0" applyFont="1" applyFill="1" applyBorder="1" applyAlignment="1">
      <alignment horizontal="center" vertical="center"/>
    </xf>
    <xf numFmtId="0" fontId="7" fillId="10" borderId="9"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27" xfId="0" applyBorder="1" applyAlignment="1">
      <alignment horizontal="center" vertical="center" wrapText="1"/>
    </xf>
    <xf numFmtId="0" fontId="0" fillId="0" borderId="20" xfId="0" applyBorder="1" applyAlignment="1">
      <alignment horizontal="center" vertical="center" wrapText="1"/>
    </xf>
    <xf numFmtId="0" fontId="0" fillId="0" borderId="54" xfId="0" applyBorder="1" applyAlignment="1">
      <alignment horizontal="center" vertical="center" wrapText="1"/>
    </xf>
    <xf numFmtId="0" fontId="2" fillId="0" borderId="0" xfId="0" applyFont="1" applyAlignment="1">
      <alignment horizontal="center" vertical="center"/>
    </xf>
    <xf numFmtId="0" fontId="7" fillId="2" borderId="4"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6" borderId="10"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6" xfId="0" applyFont="1" applyFill="1" applyBorder="1" applyAlignment="1">
      <alignment horizontal="center" vertical="center"/>
    </xf>
    <xf numFmtId="0" fontId="7" fillId="6" borderId="12"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18" xfId="0" applyFont="1" applyFill="1" applyBorder="1" applyAlignment="1">
      <alignment horizontal="center" vertical="center"/>
    </xf>
    <xf numFmtId="0" fontId="7" fillId="0" borderId="0" xfId="0" applyFont="1" applyAlignment="1">
      <alignment horizontal="center"/>
    </xf>
    <xf numFmtId="0" fontId="14" fillId="0" borderId="48" xfId="0" applyFont="1" applyBorder="1" applyAlignment="1">
      <alignment horizontal="center" vertical="center" wrapText="1"/>
    </xf>
    <xf numFmtId="0" fontId="14" fillId="0" borderId="49" xfId="0" applyFont="1" applyBorder="1" applyAlignment="1">
      <alignment horizontal="center" vertical="center" wrapText="1"/>
    </xf>
    <xf numFmtId="0" fontId="2" fillId="8" borderId="10" xfId="0" applyFont="1" applyFill="1" applyBorder="1" applyAlignment="1">
      <alignment horizontal="center" vertical="center" wrapText="1"/>
    </xf>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6" fillId="0" borderId="5" xfId="0" applyFont="1" applyBorder="1" applyAlignment="1">
      <alignment horizontal="center" vertical="top" wrapText="1"/>
    </xf>
    <xf numFmtId="0" fontId="6" fillId="0" borderId="1" xfId="0" applyFont="1" applyBorder="1" applyAlignment="1">
      <alignment horizontal="center" vertical="top"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1" fillId="4" borderId="42" xfId="0" applyFont="1" applyFill="1" applyBorder="1" applyAlignment="1">
      <alignment horizontal="center" vertical="center" wrapText="1"/>
    </xf>
    <xf numFmtId="0" fontId="1" fillId="4" borderId="32"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9" borderId="10" xfId="0" applyFont="1" applyFill="1" applyBorder="1" applyAlignment="1">
      <alignment horizontal="center" vertical="center"/>
    </xf>
    <xf numFmtId="0" fontId="2" fillId="9" borderId="11" xfId="0" applyFont="1" applyFill="1" applyBorder="1" applyAlignment="1">
      <alignment horizontal="center" vertical="center"/>
    </xf>
    <xf numFmtId="0" fontId="2" fillId="9" borderId="16" xfId="0" applyFont="1" applyFill="1" applyBorder="1" applyAlignment="1">
      <alignment horizontal="center" vertical="center"/>
    </xf>
    <xf numFmtId="0" fontId="2" fillId="9" borderId="17"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0" fillId="2" borderId="14" xfId="0" applyFill="1" applyBorder="1" applyAlignment="1">
      <alignment horizontal="center" vertical="center"/>
    </xf>
    <xf numFmtId="0" fontId="0" fillId="2" borderId="32" xfId="0" applyFill="1" applyBorder="1" applyAlignment="1">
      <alignment horizontal="center" vertical="center"/>
    </xf>
    <xf numFmtId="0" fontId="0" fillId="2" borderId="33" xfId="0" applyFill="1" applyBorder="1" applyAlignment="1">
      <alignment horizontal="center" vertical="center"/>
    </xf>
    <xf numFmtId="0" fontId="0" fillId="0" borderId="0" xfId="0" applyAlignment="1">
      <alignment horizontal="center"/>
    </xf>
    <xf numFmtId="0" fontId="0" fillId="9" borderId="11" xfId="0" applyFill="1" applyBorder="1" applyAlignment="1">
      <alignment horizontal="center" vertical="center"/>
    </xf>
    <xf numFmtId="0" fontId="0" fillId="9" borderId="17" xfId="0" applyFill="1" applyBorder="1" applyAlignment="1">
      <alignment horizontal="center" vertical="center"/>
    </xf>
    <xf numFmtId="0" fontId="0" fillId="9" borderId="26" xfId="0" applyFill="1" applyBorder="1" applyAlignment="1">
      <alignment horizontal="center" vertical="center"/>
    </xf>
    <xf numFmtId="2" fontId="3" fillId="7" borderId="8" xfId="0" applyNumberFormat="1" applyFont="1"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5" borderId="27" xfId="0" applyFill="1" applyBorder="1" applyAlignment="1">
      <alignment horizontal="center" vertical="center"/>
    </xf>
    <xf numFmtId="0" fontId="0" fillId="5" borderId="20" xfId="0" applyFill="1" applyBorder="1" applyAlignment="1">
      <alignment horizontal="center" vertical="center"/>
    </xf>
    <xf numFmtId="0" fontId="0" fillId="5" borderId="34" xfId="0" applyFill="1" applyBorder="1" applyAlignment="1">
      <alignment horizontal="center" vertical="center"/>
    </xf>
    <xf numFmtId="0" fontId="0" fillId="9" borderId="30" xfId="0" applyFill="1" applyBorder="1" applyAlignment="1">
      <alignment horizontal="center" vertical="center"/>
    </xf>
    <xf numFmtId="0" fontId="0" fillId="9" borderId="31" xfId="0" applyFill="1" applyBorder="1" applyAlignment="1">
      <alignment horizontal="center" vertical="center"/>
    </xf>
    <xf numFmtId="2" fontId="3" fillId="8" borderId="3" xfId="0" applyNumberFormat="1" applyFont="1" applyFill="1" applyBorder="1" applyAlignment="1">
      <alignment horizontal="center" vertical="center"/>
    </xf>
    <xf numFmtId="2" fontId="3" fillId="8" borderId="4" xfId="0" applyNumberFormat="1" applyFont="1" applyFill="1" applyBorder="1" applyAlignment="1">
      <alignment horizontal="center" vertical="center"/>
    </xf>
    <xf numFmtId="2" fontId="1" fillId="4" borderId="32" xfId="0" applyNumberFormat="1" applyFont="1" applyFill="1" applyBorder="1" applyAlignment="1">
      <alignment horizontal="center" vertical="center"/>
    </xf>
    <xf numFmtId="0" fontId="1" fillId="4" borderId="32" xfId="0" applyFont="1" applyFill="1" applyBorder="1" applyAlignment="1">
      <alignment horizontal="center" vertical="center"/>
    </xf>
    <xf numFmtId="0" fontId="1" fillId="4" borderId="33" xfId="0" applyFont="1" applyFill="1" applyBorder="1" applyAlignment="1">
      <alignment horizontal="center" vertical="center"/>
    </xf>
    <xf numFmtId="0" fontId="1" fillId="4" borderId="55" xfId="0" applyFont="1" applyFill="1" applyBorder="1" applyAlignment="1">
      <alignment horizontal="center" vertical="center" wrapText="1"/>
    </xf>
    <xf numFmtId="0" fontId="1" fillId="4" borderId="50" xfId="0" applyFont="1" applyFill="1" applyBorder="1" applyAlignment="1">
      <alignment horizontal="center" vertical="center" wrapText="1"/>
    </xf>
    <xf numFmtId="0" fontId="1" fillId="4" borderId="44" xfId="0" applyFont="1" applyFill="1" applyBorder="1" applyAlignment="1">
      <alignment horizontal="center" vertical="center" wrapText="1"/>
    </xf>
    <xf numFmtId="0" fontId="1" fillId="3" borderId="55" xfId="0" applyFont="1" applyFill="1" applyBorder="1" applyAlignment="1">
      <alignment horizontal="center" vertical="center" wrapText="1"/>
    </xf>
    <xf numFmtId="0" fontId="1" fillId="3" borderId="50" xfId="0" applyFont="1" applyFill="1" applyBorder="1" applyAlignment="1">
      <alignment horizontal="center" vertical="center" wrapText="1"/>
    </xf>
    <xf numFmtId="0" fontId="1" fillId="3" borderId="44"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0" fillId="12" borderId="20" xfId="0" applyFill="1" applyBorder="1" applyAlignment="1">
      <alignment horizontal="center" vertical="center"/>
    </xf>
    <xf numFmtId="0" fontId="0" fillId="12" borderId="54" xfId="0" applyFill="1" applyBorder="1" applyAlignment="1">
      <alignment horizontal="center" vertical="center"/>
    </xf>
    <xf numFmtId="0" fontId="0" fillId="10" borderId="25" xfId="0" applyFill="1" applyBorder="1" applyAlignment="1">
      <alignment horizontal="center" vertical="center"/>
    </xf>
    <xf numFmtId="0" fontId="0" fillId="10" borderId="23" xfId="0" applyFill="1" applyBorder="1" applyAlignment="1">
      <alignment horizontal="center" vertical="center"/>
    </xf>
    <xf numFmtId="0" fontId="15" fillId="0" borderId="51"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39" xfId="0" applyFont="1" applyBorder="1" applyAlignment="1">
      <alignment horizontal="center" vertical="center" wrapText="1"/>
    </xf>
    <xf numFmtId="0" fontId="8" fillId="0" borderId="24" xfId="0" applyFont="1" applyBorder="1" applyAlignment="1">
      <alignment horizontal="center"/>
    </xf>
    <xf numFmtId="0" fontId="8" fillId="0" borderId="25" xfId="0" applyFont="1" applyBorder="1" applyAlignment="1">
      <alignment horizontal="center"/>
    </xf>
    <xf numFmtId="0" fontId="8" fillId="0" borderId="61" xfId="0" applyFont="1" applyBorder="1" applyAlignment="1">
      <alignment horizontal="center"/>
    </xf>
    <xf numFmtId="0" fontId="11" fillId="0" borderId="46" xfId="0" applyFont="1" applyBorder="1" applyAlignment="1">
      <alignment horizontal="center" vertical="center"/>
    </xf>
    <xf numFmtId="0" fontId="0" fillId="0" borderId="55" xfId="0" applyBorder="1" applyAlignment="1">
      <alignment horizontal="center" vertical="center" wrapText="1"/>
    </xf>
    <xf numFmtId="0" fontId="0" fillId="0" borderId="50" xfId="0" applyBorder="1" applyAlignment="1">
      <alignment horizontal="center" vertical="center" wrapText="1"/>
    </xf>
    <xf numFmtId="0" fontId="0" fillId="0" borderId="44" xfId="0" applyBorder="1" applyAlignment="1">
      <alignment horizontal="center" vertical="center" wrapText="1"/>
    </xf>
    <xf numFmtId="0" fontId="0" fillId="6" borderId="60" xfId="0" applyFill="1" applyBorder="1" applyAlignment="1">
      <alignment horizontal="center" vertical="center"/>
    </xf>
    <xf numFmtId="0" fontId="0" fillId="6" borderId="29" xfId="0" applyFill="1" applyBorder="1" applyAlignment="1">
      <alignment horizontal="center" vertical="center"/>
    </xf>
    <xf numFmtId="0" fontId="3" fillId="0" borderId="59" xfId="0" applyFont="1" applyFill="1" applyBorder="1" applyAlignment="1">
      <alignment horizontal="center" vertical="center"/>
    </xf>
    <xf numFmtId="0" fontId="3" fillId="0" borderId="60" xfId="0" applyFont="1" applyFill="1" applyBorder="1" applyAlignment="1">
      <alignment horizontal="center" vertical="center"/>
    </xf>
    <xf numFmtId="0" fontId="3" fillId="0" borderId="62" xfId="0"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3" fillId="0" borderId="23" xfId="0" applyFont="1" applyFill="1" applyBorder="1" applyAlignment="1">
      <alignment horizontal="center" vertical="center"/>
    </xf>
    <xf numFmtId="0" fontId="2" fillId="7" borderId="1" xfId="0" applyFont="1" applyFill="1" applyBorder="1" applyAlignment="1">
      <alignment horizontal="center" vertical="center"/>
    </xf>
    <xf numFmtId="0" fontId="2" fillId="10" borderId="27" xfId="0" applyFont="1" applyFill="1" applyBorder="1" applyAlignment="1">
      <alignment horizontal="center" vertical="center"/>
    </xf>
    <xf numFmtId="0" fontId="2" fillId="10" borderId="20" xfId="0" applyFont="1" applyFill="1" applyBorder="1" applyAlignment="1">
      <alignment horizontal="center" vertical="center"/>
    </xf>
    <xf numFmtId="0" fontId="2" fillId="10" borderId="54" xfId="0" applyFont="1" applyFill="1" applyBorder="1" applyAlignment="1">
      <alignment horizontal="center" vertical="center"/>
    </xf>
    <xf numFmtId="0" fontId="2" fillId="12" borderId="27" xfId="0" applyFont="1" applyFill="1" applyBorder="1" applyAlignment="1">
      <alignment horizontal="center" vertical="center"/>
    </xf>
    <xf numFmtId="0" fontId="2" fillId="12" borderId="20" xfId="0" applyFont="1" applyFill="1" applyBorder="1" applyAlignment="1">
      <alignment horizontal="center" vertical="center"/>
    </xf>
    <xf numFmtId="0" fontId="2" fillId="12" borderId="54" xfId="0" applyFont="1" applyFill="1" applyBorder="1" applyAlignment="1">
      <alignment horizontal="center" vertical="center"/>
    </xf>
    <xf numFmtId="0" fontId="2" fillId="11" borderId="27" xfId="0" applyFont="1" applyFill="1" applyBorder="1" applyAlignment="1">
      <alignment horizontal="center" vertical="center"/>
    </xf>
    <xf numFmtId="0" fontId="2" fillId="11" borderId="20" xfId="0" applyFont="1" applyFill="1" applyBorder="1" applyAlignment="1">
      <alignment horizontal="center" vertical="center"/>
    </xf>
    <xf numFmtId="0" fontId="2" fillId="11" borderId="54"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54" xfId="0" applyFont="1" applyFill="1" applyBorder="1" applyAlignment="1">
      <alignment horizontal="center" vertical="center"/>
    </xf>
    <xf numFmtId="0" fontId="1" fillId="15" borderId="55" xfId="0" applyFont="1" applyFill="1" applyBorder="1" applyAlignment="1">
      <alignment horizontal="center" vertical="center" wrapText="1"/>
    </xf>
    <xf numFmtId="0" fontId="1" fillId="15" borderId="50" xfId="0" applyFont="1" applyFill="1" applyBorder="1" applyAlignment="1">
      <alignment horizontal="center" vertical="center" wrapText="1"/>
    </xf>
    <xf numFmtId="0" fontId="1" fillId="15" borderId="44" xfId="0" applyFont="1" applyFill="1" applyBorder="1" applyAlignment="1">
      <alignment horizontal="center" vertical="center" wrapText="1"/>
    </xf>
    <xf numFmtId="0" fontId="3" fillId="14" borderId="55" xfId="0" applyFont="1" applyFill="1" applyBorder="1" applyAlignment="1">
      <alignment horizontal="center" vertical="center" wrapText="1"/>
    </xf>
    <xf numFmtId="0" fontId="3" fillId="14" borderId="50" xfId="0" applyFont="1" applyFill="1" applyBorder="1" applyAlignment="1">
      <alignment horizontal="center" vertical="center" wrapText="1"/>
    </xf>
    <xf numFmtId="0" fontId="3" fillId="14" borderId="44" xfId="0" applyFont="1" applyFill="1" applyBorder="1" applyAlignment="1">
      <alignment horizontal="center" vertical="center" wrapText="1"/>
    </xf>
    <xf numFmtId="0" fontId="3" fillId="14" borderId="42" xfId="0" applyFont="1" applyFill="1" applyBorder="1" applyAlignment="1">
      <alignment horizontal="center" vertical="center" wrapText="1"/>
    </xf>
    <xf numFmtId="0" fontId="3" fillId="14" borderId="32" xfId="0" applyFont="1" applyFill="1" applyBorder="1" applyAlignment="1">
      <alignment horizontal="center" vertical="center" wrapText="1"/>
    </xf>
    <xf numFmtId="0" fontId="3" fillId="14" borderId="21" xfId="0" applyFont="1" applyFill="1" applyBorder="1" applyAlignment="1">
      <alignment horizontal="center" vertical="center" wrapText="1"/>
    </xf>
    <xf numFmtId="0" fontId="3" fillId="14" borderId="22" xfId="0" applyFont="1" applyFill="1" applyBorder="1" applyAlignment="1">
      <alignment horizontal="center" vertical="center" wrapText="1"/>
    </xf>
    <xf numFmtId="0" fontId="3" fillId="14" borderId="28" xfId="0" applyFont="1" applyFill="1" applyBorder="1" applyAlignment="1">
      <alignment horizontal="center" vertical="center" wrapText="1"/>
    </xf>
    <xf numFmtId="2" fontId="3" fillId="14" borderId="32" xfId="0" applyNumberFormat="1" applyFont="1" applyFill="1" applyBorder="1" applyAlignment="1">
      <alignment horizontal="center" vertical="center"/>
    </xf>
    <xf numFmtId="0" fontId="3" fillId="14" borderId="32" xfId="0" applyFont="1" applyFill="1" applyBorder="1" applyAlignment="1">
      <alignment horizontal="center" vertical="center"/>
    </xf>
    <xf numFmtId="0" fontId="3" fillId="14" borderId="33" xfId="0" applyFont="1" applyFill="1" applyBorder="1" applyAlignment="1">
      <alignment horizontal="center" vertical="center"/>
    </xf>
    <xf numFmtId="0" fontId="1" fillId="17" borderId="55" xfId="0" applyFont="1" applyFill="1" applyBorder="1" applyAlignment="1">
      <alignment horizontal="center" vertical="center" wrapText="1"/>
    </xf>
    <xf numFmtId="0" fontId="1" fillId="17" borderId="50" xfId="0" applyFont="1" applyFill="1" applyBorder="1" applyAlignment="1">
      <alignment horizontal="center" vertical="center" wrapText="1"/>
    </xf>
    <xf numFmtId="0" fontId="1" fillId="17" borderId="44" xfId="0" applyFont="1" applyFill="1" applyBorder="1" applyAlignment="1">
      <alignment horizontal="center" vertical="center" wrapText="1"/>
    </xf>
    <xf numFmtId="0" fontId="3" fillId="16" borderId="55" xfId="0" applyFont="1" applyFill="1" applyBorder="1" applyAlignment="1">
      <alignment horizontal="center" vertical="center" wrapText="1"/>
    </xf>
    <xf numFmtId="0" fontId="3" fillId="16" borderId="50" xfId="0" applyFont="1" applyFill="1" applyBorder="1" applyAlignment="1">
      <alignment horizontal="center" vertical="center" wrapText="1"/>
    </xf>
    <xf numFmtId="0" fontId="3" fillId="16" borderId="44" xfId="0" applyFont="1" applyFill="1" applyBorder="1" applyAlignment="1">
      <alignment horizontal="center" vertical="center" wrapText="1"/>
    </xf>
    <xf numFmtId="0" fontId="3" fillId="16" borderId="42" xfId="0" applyFont="1" applyFill="1" applyBorder="1" applyAlignment="1">
      <alignment horizontal="center" vertical="center" wrapText="1"/>
    </xf>
    <xf numFmtId="0" fontId="3" fillId="16" borderId="32" xfId="0" applyFont="1" applyFill="1" applyBorder="1" applyAlignment="1">
      <alignment horizontal="center" vertical="center" wrapText="1"/>
    </xf>
    <xf numFmtId="0" fontId="3" fillId="16" borderId="21" xfId="0" applyFont="1" applyFill="1" applyBorder="1" applyAlignment="1">
      <alignment horizontal="center" vertical="center" wrapText="1"/>
    </xf>
    <xf numFmtId="0" fontId="3" fillId="16" borderId="22" xfId="0" applyFont="1" applyFill="1" applyBorder="1" applyAlignment="1">
      <alignment horizontal="center" vertical="center" wrapText="1"/>
    </xf>
    <xf numFmtId="0" fontId="3" fillId="16" borderId="28" xfId="0" applyFont="1" applyFill="1" applyBorder="1" applyAlignment="1">
      <alignment horizontal="center" vertical="center" wrapText="1"/>
    </xf>
    <xf numFmtId="2" fontId="3" fillId="16" borderId="32" xfId="0" applyNumberFormat="1" applyFont="1" applyFill="1" applyBorder="1" applyAlignment="1">
      <alignment horizontal="center" vertical="center"/>
    </xf>
    <xf numFmtId="0" fontId="3" fillId="16" borderId="32" xfId="0" applyFont="1" applyFill="1" applyBorder="1" applyAlignment="1">
      <alignment horizontal="center" vertical="center"/>
    </xf>
    <xf numFmtId="0" fontId="3" fillId="16" borderId="33" xfId="0" applyFont="1" applyFill="1" applyBorder="1" applyAlignment="1">
      <alignment horizontal="center" vertical="center"/>
    </xf>
    <xf numFmtId="0" fontId="3" fillId="18" borderId="55" xfId="0" applyFont="1" applyFill="1" applyBorder="1" applyAlignment="1">
      <alignment horizontal="center" vertical="center" wrapText="1"/>
    </xf>
    <xf numFmtId="0" fontId="3" fillId="18" borderId="50" xfId="0" applyFont="1" applyFill="1" applyBorder="1" applyAlignment="1">
      <alignment horizontal="center" vertical="center" wrapText="1"/>
    </xf>
    <xf numFmtId="0" fontId="3" fillId="18" borderId="44" xfId="0" applyFont="1" applyFill="1" applyBorder="1" applyAlignment="1">
      <alignment horizontal="center" vertical="center" wrapText="1"/>
    </xf>
    <xf numFmtId="0" fontId="3" fillId="18" borderId="42" xfId="0" applyFont="1" applyFill="1" applyBorder="1" applyAlignment="1">
      <alignment horizontal="center" vertical="center" wrapText="1"/>
    </xf>
    <xf numFmtId="0" fontId="3" fillId="18" borderId="32" xfId="0" applyFont="1" applyFill="1" applyBorder="1" applyAlignment="1">
      <alignment horizontal="center" vertical="center" wrapText="1"/>
    </xf>
    <xf numFmtId="0" fontId="3" fillId="18" borderId="21" xfId="0" applyFont="1" applyFill="1" applyBorder="1" applyAlignment="1">
      <alignment horizontal="center" vertical="center" wrapText="1"/>
    </xf>
    <xf numFmtId="0" fontId="3" fillId="18" borderId="22" xfId="0" applyFont="1" applyFill="1" applyBorder="1" applyAlignment="1">
      <alignment horizontal="center" vertical="center" wrapText="1"/>
    </xf>
    <xf numFmtId="0" fontId="3" fillId="18" borderId="28" xfId="0" applyFont="1" applyFill="1" applyBorder="1" applyAlignment="1">
      <alignment horizontal="center" vertical="center" wrapText="1"/>
    </xf>
    <xf numFmtId="2" fontId="3" fillId="18" borderId="32" xfId="0" applyNumberFormat="1" applyFont="1" applyFill="1" applyBorder="1" applyAlignment="1">
      <alignment horizontal="center" vertical="center"/>
    </xf>
    <xf numFmtId="0" fontId="3" fillId="18" borderId="32" xfId="0" applyFont="1" applyFill="1" applyBorder="1" applyAlignment="1">
      <alignment horizontal="center" vertical="center"/>
    </xf>
    <xf numFmtId="0" fontId="3" fillId="18" borderId="33" xfId="0" applyFont="1" applyFill="1" applyBorder="1" applyAlignment="1">
      <alignment horizontal="center" vertical="center"/>
    </xf>
    <xf numFmtId="0" fontId="1" fillId="19" borderId="55" xfId="0" applyFont="1" applyFill="1" applyBorder="1" applyAlignment="1">
      <alignment horizontal="center" vertical="center" wrapText="1"/>
    </xf>
    <xf numFmtId="0" fontId="1" fillId="19" borderId="50" xfId="0" applyFont="1" applyFill="1" applyBorder="1" applyAlignment="1">
      <alignment horizontal="center" vertical="center" wrapText="1"/>
    </xf>
    <xf numFmtId="0" fontId="1" fillId="19" borderId="4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3" fillId="7" borderId="50" xfId="0" applyFont="1" applyFill="1" applyBorder="1" applyAlignment="1">
      <alignment horizontal="center" vertical="center" wrapText="1"/>
    </xf>
    <xf numFmtId="0" fontId="3" fillId="7" borderId="44" xfId="0" applyFont="1" applyFill="1" applyBorder="1" applyAlignment="1">
      <alignment horizontal="center" vertical="center" wrapText="1"/>
    </xf>
    <xf numFmtId="0" fontId="3" fillId="7" borderId="42" xfId="0" applyFont="1" applyFill="1" applyBorder="1" applyAlignment="1">
      <alignment horizontal="center" vertical="center" wrapText="1"/>
    </xf>
    <xf numFmtId="0" fontId="3" fillId="7" borderId="32" xfId="0" applyFont="1" applyFill="1" applyBorder="1" applyAlignment="1">
      <alignment horizontal="center" vertical="center" wrapText="1"/>
    </xf>
    <xf numFmtId="0" fontId="3" fillId="7" borderId="21"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7" borderId="28" xfId="0" applyFont="1" applyFill="1" applyBorder="1" applyAlignment="1">
      <alignment horizontal="center" vertical="center" wrapText="1"/>
    </xf>
    <xf numFmtId="2" fontId="3" fillId="7" borderId="32" xfId="0" applyNumberFormat="1" applyFont="1" applyFill="1" applyBorder="1" applyAlignment="1">
      <alignment horizontal="center" vertical="center"/>
    </xf>
    <xf numFmtId="0" fontId="3" fillId="7" borderId="32" xfId="0" applyFont="1" applyFill="1" applyBorder="1" applyAlignment="1">
      <alignment horizontal="center" vertical="center"/>
    </xf>
    <xf numFmtId="0" fontId="3" fillId="7" borderId="33" xfId="0" applyFont="1" applyFill="1" applyBorder="1" applyAlignment="1">
      <alignment horizontal="center" vertical="center"/>
    </xf>
    <xf numFmtId="0" fontId="1" fillId="8" borderId="55" xfId="0" applyFont="1" applyFill="1" applyBorder="1" applyAlignment="1">
      <alignment horizontal="center" vertical="center" wrapText="1"/>
    </xf>
    <xf numFmtId="0" fontId="1" fillId="8" borderId="50" xfId="0" applyFont="1" applyFill="1" applyBorder="1" applyAlignment="1">
      <alignment horizontal="center" vertical="center" wrapText="1"/>
    </xf>
    <xf numFmtId="0" fontId="1" fillId="8" borderId="44" xfId="0" applyFont="1" applyFill="1" applyBorder="1" applyAlignment="1">
      <alignment horizontal="center" vertical="center" wrapText="1"/>
    </xf>
    <xf numFmtId="0" fontId="3" fillId="20" borderId="55" xfId="0" applyFont="1" applyFill="1" applyBorder="1" applyAlignment="1">
      <alignment horizontal="center" vertical="center" wrapText="1"/>
    </xf>
    <xf numFmtId="0" fontId="3" fillId="20" borderId="50" xfId="0" applyFont="1" applyFill="1" applyBorder="1" applyAlignment="1">
      <alignment horizontal="center" vertical="center" wrapText="1"/>
    </xf>
    <xf numFmtId="0" fontId="3" fillId="20" borderId="44" xfId="0" applyFont="1" applyFill="1" applyBorder="1" applyAlignment="1">
      <alignment horizontal="center" vertical="center" wrapText="1"/>
    </xf>
    <xf numFmtId="0" fontId="3" fillId="20" borderId="42" xfId="0" applyFont="1" applyFill="1" applyBorder="1" applyAlignment="1">
      <alignment horizontal="center" vertical="center" wrapText="1"/>
    </xf>
    <xf numFmtId="0" fontId="3" fillId="20" borderId="32" xfId="0" applyFont="1" applyFill="1" applyBorder="1" applyAlignment="1">
      <alignment horizontal="center" vertical="center" wrapText="1"/>
    </xf>
    <xf numFmtId="0" fontId="3" fillId="20" borderId="21" xfId="0" applyFont="1" applyFill="1" applyBorder="1" applyAlignment="1">
      <alignment horizontal="center" vertical="center" wrapText="1"/>
    </xf>
    <xf numFmtId="0" fontId="3" fillId="20" borderId="22" xfId="0" applyFont="1" applyFill="1" applyBorder="1" applyAlignment="1">
      <alignment horizontal="center" vertical="center" wrapText="1"/>
    </xf>
    <xf numFmtId="0" fontId="3" fillId="20" borderId="28" xfId="0" applyFont="1" applyFill="1" applyBorder="1" applyAlignment="1">
      <alignment horizontal="center" vertical="center" wrapText="1"/>
    </xf>
    <xf numFmtId="2" fontId="3" fillId="20" borderId="32" xfId="0" applyNumberFormat="1" applyFont="1" applyFill="1" applyBorder="1" applyAlignment="1">
      <alignment horizontal="center" vertical="center"/>
    </xf>
    <xf numFmtId="0" fontId="3" fillId="20" borderId="32" xfId="0" applyFont="1" applyFill="1" applyBorder="1" applyAlignment="1">
      <alignment horizontal="center" vertical="center"/>
    </xf>
    <xf numFmtId="0" fontId="3" fillId="20" borderId="33" xfId="0" applyFont="1" applyFill="1" applyBorder="1" applyAlignment="1">
      <alignment horizontal="center" vertical="center"/>
    </xf>
  </cellXfs>
  <cellStyles count="1">
    <cellStyle name="Normal" xfId="0" builtinId="0"/>
  </cellStyles>
  <dxfs count="600">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fill>
        <patternFill>
          <bgColor theme="9" tint="0.59996337778862885"/>
        </patternFill>
      </fill>
    </dxf>
    <dxf>
      <fill>
        <patternFill>
          <bgColor theme="5" tint="0.59996337778862885"/>
        </patternFill>
      </fill>
    </dxf>
    <dxf>
      <fill>
        <patternFill>
          <bgColor rgb="FFFF9999"/>
        </patternFill>
      </fill>
    </dxf>
    <dxf>
      <fill>
        <patternFill>
          <bgColor rgb="FFFF9999"/>
        </patternFill>
      </fill>
    </dxf>
    <dxf>
      <fill>
        <patternFill>
          <bgColor theme="8" tint="0.79998168889431442"/>
        </patternFill>
      </fill>
    </dxf>
    <dxf>
      <fill>
        <patternFill>
          <bgColor theme="9" tint="0.59996337778862885"/>
        </patternFill>
      </fill>
    </dxf>
    <dxf>
      <fill>
        <patternFill>
          <bgColor theme="5" tint="0.59996337778862885"/>
        </patternFill>
      </fill>
    </dxf>
    <dxf>
      <fill>
        <patternFill>
          <bgColor rgb="FFFF9999"/>
        </patternFill>
      </fill>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dxf>
    <dxf>
      <border>
        <bottom style="medium">
          <color rgb="FF000000"/>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dxf>
    <dxf>
      <border>
        <bottom style="medium">
          <color indexed="64"/>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6969"/>
      <color rgb="FFFFB7B7"/>
      <color rgb="FFCFAFE7"/>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45390-F999-42E1-8B90-F146155C7359}" name="Jan" displayName="Jan" ref="B12:AL36" totalsRowShown="0" headerRowDxfId="599" dataDxfId="597" headerRowBorderDxfId="598" tableBorderDxfId="596" totalsRowBorderDxfId="595">
  <autoFilter ref="B12:AL36" xr:uid="{1D945390-F999-42E1-8B90-F146155C7359}"/>
  <tableColumns count="37">
    <tableColumn id="1" xr3:uid="{4A1E99A5-5A21-4C2F-9CB7-F32DC8F2786F}" name="Adults Name" dataDxfId="594"/>
    <tableColumn id="70" xr3:uid="{8CD0933A-FC17-46E4-965E-192EAC32AF51}" name="Baseline Assessment Score" dataDxfId="593"/>
    <tableColumn id="3" xr3:uid="{531E1544-BE2D-4A3E-AA0D-AF7A9A9F27A5}" name="Early" dataDxfId="592"/>
    <tableColumn id="4" xr3:uid="{B1AD7E0E-A5FC-4792-B7AE-0CF32F9BF273}" name="Late" dataDxfId="591"/>
    <tableColumn id="5" xr3:uid="{E0AEBBAF-B45D-4774-BEC0-42BAB4E4F18C}" name="Night" dataDxfId="590"/>
    <tableColumn id="7" xr3:uid="{32D66D7A-1DD0-450D-99AF-E6E08C52A09B}" name="Early " dataDxfId="589"/>
    <tableColumn id="8" xr3:uid="{72D938B0-3DF0-49A9-908F-F43DC7A47229}" name="Late " dataDxfId="588"/>
    <tableColumn id="9" xr3:uid="{34687262-5E6B-49A0-AA42-0BADDA39244E}" name="Night " dataDxfId="587"/>
    <tableColumn id="11" xr3:uid="{E24DE9F1-3F63-4635-8826-1B40EB3EB7C6}" name="Early  " dataDxfId="586"/>
    <tableColumn id="12" xr3:uid="{1045D669-20F4-453D-95DF-CA3C658E09C6}" name="Late  " dataDxfId="585"/>
    <tableColumn id="13" xr3:uid="{B76B06E5-E04F-4888-9271-A83DE54655F6}" name="Night  " dataDxfId="584"/>
    <tableColumn id="15" xr3:uid="{BFA50AFA-10CF-4D9C-88F7-794755243F8D}" name="Early   " dataDxfId="583"/>
    <tableColumn id="16" xr3:uid="{C84B29B0-D886-4327-9227-D35BF84CEAD7}" name="Late   " dataDxfId="582"/>
    <tableColumn id="17" xr3:uid="{B54BE174-6F0B-4612-9F17-14064F85A0AF}" name="Night   " dataDxfId="581"/>
    <tableColumn id="19" xr3:uid="{11694154-50AB-4BCE-9986-5792E1A84607}" name="Early    " dataDxfId="580"/>
    <tableColumn id="20" xr3:uid="{33583AE4-30DD-42A2-B567-C7B9E69C76EC}" name="Late    " dataDxfId="579"/>
    <tableColumn id="21" xr3:uid="{6645703B-E9D5-47B5-A5C7-60F1C1A9A1C4}" name="Night    " dataDxfId="578"/>
    <tableColumn id="23" xr3:uid="{67B48D3F-1268-405F-83A2-DFADFEAE8668}" name="Early     " dataDxfId="577"/>
    <tableColumn id="24" xr3:uid="{8CD1D7CE-E3AA-4D76-BF19-92E9E5CBE91B}" name="Late     " dataDxfId="576"/>
    <tableColumn id="25" xr3:uid="{C3745811-8412-49D8-9086-E7D9DA331DD7}" name="Night     " dataDxfId="575"/>
    <tableColumn id="27" xr3:uid="{F932E15D-83C9-481E-AAA8-2EF5EA074549}" name="Early      " dataDxfId="574"/>
    <tableColumn id="28" xr3:uid="{CACFCBDC-DB66-44DD-8210-D2E575C57DC6}" name="Late      " dataDxfId="573"/>
    <tableColumn id="29" xr3:uid="{FE7E3BD1-1DD0-424E-90EE-938CBDBE5B51}" name="Night      " dataDxfId="572"/>
    <tableColumn id="31" xr3:uid="{49AC9530-DEB0-4C17-978D-3475D37BE34C}" name="Early       " dataDxfId="571"/>
    <tableColumn id="32" xr3:uid="{41EF3F49-028D-4D28-9D25-3A849DC24282}" name="Late       " dataDxfId="570"/>
    <tableColumn id="33" xr3:uid="{FE3C89BE-4AF5-43B5-95DD-F5450E491825}" name="Night       " dataDxfId="569"/>
    <tableColumn id="35" xr3:uid="{98224D85-D8EC-43F9-81D8-34B76261ACB8}" name="Early        " dataDxfId="568"/>
    <tableColumn id="36" xr3:uid="{83D754CF-252A-4176-B0CC-90029C6E34A0}" name="Late        " dataDxfId="567"/>
    <tableColumn id="37" xr3:uid="{77A72199-EB4A-45F1-B1CB-68AF82478684}" name="Night        " dataDxfId="566"/>
    <tableColumn id="62" xr3:uid="{E7C050B3-01DD-4140-9B42-95B9175FE61D}" name="Total Mins over 24 hr" dataDxfId="565">
      <calculatedColumnFormula>SUM(Jan[[#This Row],[Early]:[Night        ]])+(Jan[[#This Row],[Baseline Assessment Score]]*60)</calculatedColumnFormula>
    </tableColumn>
    <tableColumn id="63" xr3:uid="{0DBAA03A-E5E9-4F09-9682-ABFFD53E4389}" name="Actual contact time (hours)" dataDxfId="564">
      <calculatedColumnFormula>Jan[[#This Row],[Total Mins over 24 hr]]/60</calculatedColumnFormula>
    </tableColumn>
    <tableColumn id="64" xr3:uid="{BCF26275-5A38-4B93-9930-48CF59CA65D3}" name="Early (08.00 - 14.00) " dataDxfId="563">
      <calculatedColumnFormula>SUM(D13,G13,J13,M13,P13,S13,V13,Y13,AB13)+(Jan[[#This Row],[Baseline Assessment Score]]*60/3)</calculatedColumnFormula>
    </tableColumn>
    <tableColumn id="65" xr3:uid="{6E2E059F-3BCE-4A85-B374-D48C6F7854FC}" name="Contact time per shift" dataDxfId="562">
      <calculatedColumnFormula>SUM(Jan[[#This Row],[Early (08.00 - 14.00) ]]/60)</calculatedColumnFormula>
    </tableColumn>
    <tableColumn id="66" xr3:uid="{8C3562D9-2319-4C6F-A863-45987E4C3093}" name="Late (14.00 - 20.00) " dataDxfId="561">
      <calculatedColumnFormula>SUM(E13,H13,K13,N13,Q13,T13,W13,Z13,AC13)+(Jan[[#This Row],[Baseline Assessment Score]]*60/3)</calculatedColumnFormula>
    </tableColumn>
    <tableColumn id="67" xr3:uid="{881F226B-DF76-4BD1-8B9B-A16DEE6A885D}" name="Contact time per shift " dataDxfId="560">
      <calculatedColumnFormula>SUM(Jan[[#This Row],[Late (14.00 - 20.00) ]]/60)</calculatedColumnFormula>
    </tableColumn>
    <tableColumn id="68" xr3:uid="{D89EA4F9-3D1E-4A62-B023-CC01CA8143D9}" name="Night (20:00 - 08:00)" dataDxfId="559">
      <calculatedColumnFormula>SUM(F13,I13,L13,O13,R13,U13,X13,AA13,AD13)+(Jan[[#This Row],[Baseline Assessment Score]]*60/3)</calculatedColumnFormula>
    </tableColumn>
    <tableColumn id="69" xr3:uid="{A1EB6435-547C-42EB-AB3F-E1226F78538B}" name="Contact time per shift  " dataDxfId="558">
      <calculatedColumnFormula>SUM(Jan[[#This Row],[Night (20:00 - 08:00)]]/60)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F3ED01-3AAC-44BD-9792-DD99B8135D6B}" name="Feb" displayName="Feb" ref="B12:AL36" totalsRowShown="0" headerRowDxfId="557" dataDxfId="555" headerRowBorderDxfId="556" tableBorderDxfId="554" totalsRowBorderDxfId="553">
  <autoFilter ref="B12:AL36" xr:uid="{1D945390-F999-42E1-8B90-F146155C7359}"/>
  <tableColumns count="37">
    <tableColumn id="1" xr3:uid="{39CB4994-BC78-4064-94CD-FBE1DA3E8989}" name="Adults Name" dataDxfId="552"/>
    <tableColumn id="70" xr3:uid="{09BE060A-6EDD-43DF-BDA5-ED0AD45C7B7F}" name="Baseline Assessment Score" dataDxfId="551"/>
    <tableColumn id="3" xr3:uid="{BFEEEE38-C5E7-4471-87D0-DCE8D844A520}" name="Early" dataDxfId="550"/>
    <tableColumn id="4" xr3:uid="{7673F2FE-49A6-43C3-9AC8-B9180F28C506}" name="Late" dataDxfId="549"/>
    <tableColumn id="5" xr3:uid="{3DAAD40F-1955-4FB7-BA4B-18E370DF77AE}" name="Night" dataDxfId="548"/>
    <tableColumn id="7" xr3:uid="{E040ECBD-E289-42CF-BD0A-A0047A0456A0}" name="Early " dataDxfId="547"/>
    <tableColumn id="8" xr3:uid="{47ECE98F-E4A2-41AD-A206-00D14ADF0F55}" name="Late " dataDxfId="546"/>
    <tableColumn id="9" xr3:uid="{C7EFA7A5-AEDD-42AA-B437-2AF72A587032}" name="Night " dataDxfId="545"/>
    <tableColumn id="11" xr3:uid="{859CBE3A-8F62-4A90-9C73-D7116D2087F1}" name="Early  " dataDxfId="544"/>
    <tableColumn id="12" xr3:uid="{DBD85B03-05B1-46DB-AAB1-5B43B55F1229}" name="Late  " dataDxfId="543"/>
    <tableColumn id="13" xr3:uid="{758D2F08-EFC9-4F25-8BCE-A11F951D0981}" name="Night  " dataDxfId="542"/>
    <tableColumn id="15" xr3:uid="{E7FDB955-0F3F-4F5C-AA79-5C9AF0D27977}" name="Early   " dataDxfId="541"/>
    <tableColumn id="16" xr3:uid="{895A2523-B1F0-4307-AECD-78F2A3E410CF}" name="Late   " dataDxfId="540"/>
    <tableColumn id="17" xr3:uid="{5D63DEF7-5922-43D0-8C59-44205F93AA8F}" name="Night   " dataDxfId="539"/>
    <tableColumn id="19" xr3:uid="{C589B3D9-08BC-41DF-87F2-130F823C724C}" name="Early    " dataDxfId="538"/>
    <tableColumn id="20" xr3:uid="{867C696B-951A-44BB-9928-A129E93E63D2}" name="Late    " dataDxfId="537"/>
    <tableColumn id="21" xr3:uid="{3DCCF497-A644-486E-B30E-30BC022BED94}" name="Night    " dataDxfId="536"/>
    <tableColumn id="23" xr3:uid="{D5B1BB79-80F6-4BD6-9D65-22D6B1AEC94F}" name="Early     " dataDxfId="535"/>
    <tableColumn id="24" xr3:uid="{89EAEEF4-A389-4191-84D7-D59D0F4ADBDE}" name="Late     " dataDxfId="534"/>
    <tableColumn id="25" xr3:uid="{4BCCAD12-8B84-41B7-821E-FD9355D9A338}" name="Night     " dataDxfId="533"/>
    <tableColumn id="27" xr3:uid="{E13C2052-827A-421E-AE66-F6BA742B91C5}" name="Early      " dataDxfId="532"/>
    <tableColumn id="28" xr3:uid="{4249EB3C-3DDE-4126-8A44-1D6F06507221}" name="Late      " dataDxfId="531"/>
    <tableColumn id="29" xr3:uid="{CAF588E1-179F-49B3-8EDA-3AB6231C5B88}" name="Night      " dataDxfId="530"/>
    <tableColumn id="31" xr3:uid="{02323922-DED7-408C-9391-C660CA78B576}" name="Early       " dataDxfId="529"/>
    <tableColumn id="32" xr3:uid="{C27E5B9D-6E2D-4AA3-BD2B-5F35ABF94CC8}" name="Late       " dataDxfId="528"/>
    <tableColumn id="33" xr3:uid="{DBB3BF95-5498-42FE-9AF1-C3C751760E65}" name="Night       " dataDxfId="527"/>
    <tableColumn id="35" xr3:uid="{7DE9DB75-DB8E-4A31-A641-3DF4EA4AC627}" name="Early        " dataDxfId="526"/>
    <tableColumn id="36" xr3:uid="{947C2D3F-2204-46B7-9A60-25CC115EBBBC}" name="Late        " dataDxfId="525"/>
    <tableColumn id="37" xr3:uid="{E112DFF2-8315-4E78-8494-63053D709C5E}" name="Night        " dataDxfId="524"/>
    <tableColumn id="62" xr3:uid="{05F73582-B1FC-4B00-98A4-979096D850E1}" name="Total Mins over 24 hr" dataDxfId="523">
      <calculatedColumnFormula>SUM(Feb[[#This Row],[Early]:[Night        ]])+(Feb[[#This Row],[Baseline Assessment Score]]*60)</calculatedColumnFormula>
    </tableColumn>
    <tableColumn id="63" xr3:uid="{9D17D481-73FE-456C-96D2-D42909F7DAEB}" name="Actual contact time (hours)" dataDxfId="522">
      <calculatedColumnFormula>Feb[[#This Row],[Total Mins over 24 hr]]/60</calculatedColumnFormula>
    </tableColumn>
    <tableColumn id="64" xr3:uid="{1D947BC1-CACE-4098-B434-D06E2A53F4EB}" name="Early (08.00 - 14.00) " dataDxfId="521">
      <calculatedColumnFormula>SUM(D13,G13,J13,M13,P13,S13,V13,Y13,AB13)+(Feb[[#This Row],[Baseline Assessment Score]]*60/3)</calculatedColumnFormula>
    </tableColumn>
    <tableColumn id="65" xr3:uid="{3DC92143-590A-4B7B-8817-3A06D1155B5D}" name="Contact time per shift" dataDxfId="520">
      <calculatedColumnFormula>SUM(Feb[[#This Row],[Early (08.00 - 14.00) ]]/60)</calculatedColumnFormula>
    </tableColumn>
    <tableColumn id="66" xr3:uid="{D6782C48-4B42-4FA0-ADF0-77EDD426207D}" name="Late (14.00 - 20.00) " dataDxfId="519">
      <calculatedColumnFormula>SUM(E13,H13,K13,N13,Q13,T13,W13,Z13,AC13)+(Feb[[#This Row],[Baseline Assessment Score]]*60/3)</calculatedColumnFormula>
    </tableColumn>
    <tableColumn id="67" xr3:uid="{47E5EC0D-768B-420D-9B0B-63AEE6C66325}" name="Contact time per shift " dataDxfId="518">
      <calculatedColumnFormula>SUM(Feb[[#This Row],[Late (14.00 - 20.00) ]]/60)</calculatedColumnFormula>
    </tableColumn>
    <tableColumn id="68" xr3:uid="{5A636B8D-30C3-446D-9DD7-41623AC252E8}" name="Night (20:00 - 08:00)" dataDxfId="517">
      <calculatedColumnFormula>SUM(F13,I13,L13,O13,R13,U13,X13,AA13,AD13)+(Feb[[#This Row],[Baseline Assessment Score]]*60/3)</calculatedColumnFormula>
    </tableColumn>
    <tableColumn id="69" xr3:uid="{B36AB098-69C6-461E-AD84-067699C4F919}" name="Contact time per shift  " dataDxfId="516">
      <calculatedColumnFormula>SUM(Feb[[#This Row],[Night (20:00 - 08:00)]]/60)</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69C80-DDCD-4913-AC5F-2276A40DF04C}" name="Mar" displayName="Mar" ref="B12:AL36" totalsRowShown="0" headerRowDxfId="515" dataDxfId="513" headerRowBorderDxfId="514" tableBorderDxfId="512" totalsRowBorderDxfId="511">
  <autoFilter ref="B12:AL36" xr:uid="{1D945390-F999-42E1-8B90-F146155C7359}"/>
  <tableColumns count="37">
    <tableColumn id="1" xr3:uid="{09E4892C-73C3-4572-BE5C-6F150DC5A4D5}" name="Adults Name" dataDxfId="510"/>
    <tableColumn id="70" xr3:uid="{A244AD7A-C597-4F01-91E7-45EF2519241F}" name="Baseline Assessment Score" dataDxfId="509"/>
    <tableColumn id="3" xr3:uid="{330A9EB5-CA01-4C30-8F07-DCF71C868790}" name="Early" dataDxfId="508"/>
    <tableColumn id="4" xr3:uid="{E509E02E-0F4D-4306-B569-4D9A01E14957}" name="Late" dataDxfId="507"/>
    <tableColumn id="5" xr3:uid="{E98A0AB6-0D1E-4B90-91AE-7BCF9956EE67}" name="Night" dataDxfId="506"/>
    <tableColumn id="7" xr3:uid="{2DA12064-F246-4D04-A7CB-E156077E41D9}" name="Early " dataDxfId="505"/>
    <tableColumn id="8" xr3:uid="{FE7708D5-C1E7-4758-8940-D32970161505}" name="Late " dataDxfId="504"/>
    <tableColumn id="9" xr3:uid="{62FC4DC8-A069-4587-AFBA-2329A0F6E799}" name="Night " dataDxfId="503"/>
    <tableColumn id="11" xr3:uid="{B3659630-DB3F-4F7A-B362-F808448CEEB7}" name="Early  " dataDxfId="502"/>
    <tableColumn id="12" xr3:uid="{69BD0258-0D52-46DB-B2D6-FE8E6E922B77}" name="Late  " dataDxfId="501"/>
    <tableColumn id="13" xr3:uid="{DE15F786-DD38-430C-AEE9-47ED0138A6B0}" name="Night  " dataDxfId="500"/>
    <tableColumn id="15" xr3:uid="{93080372-B5CD-438C-BF78-204454B42F22}" name="Early   " dataDxfId="499"/>
    <tableColumn id="16" xr3:uid="{CF686E17-19FA-4220-B7F9-C6ECD2CF50E9}" name="Late   " dataDxfId="498"/>
    <tableColumn id="17" xr3:uid="{B57ED51E-61F4-4542-BB23-E9D12FEF2689}" name="Night   " dataDxfId="497"/>
    <tableColumn id="19" xr3:uid="{B91505A8-47C4-4A40-B27C-A1597E9E4F1D}" name="Early    " dataDxfId="496"/>
    <tableColumn id="20" xr3:uid="{DA00A12D-19C0-4C53-B99B-6670334B53DC}" name="Late    " dataDxfId="495"/>
    <tableColumn id="21" xr3:uid="{E51E491B-2844-4D74-B332-50E89DDC6288}" name="Night    " dataDxfId="494"/>
    <tableColumn id="23" xr3:uid="{8FA6A161-F995-4732-A8F9-CA18DFD09604}" name="Early     " dataDxfId="493"/>
    <tableColumn id="24" xr3:uid="{9DF65FBA-7E73-43D9-8B39-87E8440CCFEE}" name="Late     " dataDxfId="492"/>
    <tableColumn id="25" xr3:uid="{61FB9643-EFAB-4B29-AB51-1CE451C514B3}" name="Night     " dataDxfId="491"/>
    <tableColumn id="27" xr3:uid="{C71DAD2B-B285-4140-A1C2-F228C3FD02A4}" name="Early      " dataDxfId="490"/>
    <tableColumn id="28" xr3:uid="{35140F96-A0E3-4CD4-ADA5-9C4DD6106425}" name="Late      " dataDxfId="489"/>
    <tableColumn id="29" xr3:uid="{48E06F8B-7C79-46B2-93A4-78C589FDC2E3}" name="Night      " dataDxfId="488"/>
    <tableColumn id="31" xr3:uid="{AF5C5FAE-5333-44D8-B68B-B73D20413510}" name="Early       " dataDxfId="487"/>
    <tableColumn id="32" xr3:uid="{9A972CE7-22C6-4525-8385-500D5E70DEBB}" name="Late       " dataDxfId="486"/>
    <tableColumn id="33" xr3:uid="{35516414-A674-48E4-99C8-A4D38F9D95C0}" name="Night       " dataDxfId="485"/>
    <tableColumn id="35" xr3:uid="{B0207FE3-BF33-40B4-A527-D49D3B937716}" name="Early        " dataDxfId="484"/>
    <tableColumn id="36" xr3:uid="{C2ED40CD-1564-4653-B3E9-E609AF016925}" name="Late        " dataDxfId="483"/>
    <tableColumn id="37" xr3:uid="{599AD649-C31E-4B37-871A-06144D5C5556}" name="Night        " dataDxfId="482"/>
    <tableColumn id="62" xr3:uid="{61E57B78-174A-41FB-BA08-33B113F8B27A}" name="Total Mins over 24 hr" dataDxfId="481">
      <calculatedColumnFormula>SUM(Mar[[#This Row],[Early]:[Night        ]])+(Mar[[#This Row],[Baseline Assessment Score]]*60)</calculatedColumnFormula>
    </tableColumn>
    <tableColumn id="63" xr3:uid="{9384D3E3-DA5A-44A1-878E-8F89ECF62DF7}" name="Actual contact time (hours)" dataDxfId="480">
      <calculatedColumnFormula>Mar[[#This Row],[Total Mins over 24 hr]]/60</calculatedColumnFormula>
    </tableColumn>
    <tableColumn id="64" xr3:uid="{9C839B84-F772-4AFE-BE23-FEC2E31B7171}" name="Early (08.00 - 14.00) " dataDxfId="479">
      <calculatedColumnFormula>SUM(D13,G13,J13,M13,P13,S13,V13,Y13,AB13)+(Mar[[#This Row],[Baseline Assessment Score]]*60/3)</calculatedColumnFormula>
    </tableColumn>
    <tableColumn id="65" xr3:uid="{CD3EAE12-A7A6-4C01-95BE-363D9645A437}" name="Contact time per shift" dataDxfId="478">
      <calculatedColumnFormula>SUM(Mar[[#This Row],[Early (08.00 - 14.00) ]]/60)</calculatedColumnFormula>
    </tableColumn>
    <tableColumn id="66" xr3:uid="{625E12FC-D0B3-4098-9579-C961F73A85DA}" name="Late (14.00 - 20.00) " dataDxfId="477">
      <calculatedColumnFormula>SUM(E13,H13,K13,N13,Q13,T13,W13,Z13,AC13)+(Mar[[#This Row],[Baseline Assessment Score]]*60/3)</calculatedColumnFormula>
    </tableColumn>
    <tableColumn id="67" xr3:uid="{946D8B7B-D88C-4B59-BF69-64585F4012B6}" name="Contact time per shift " dataDxfId="476">
      <calculatedColumnFormula>SUM(Mar[[#This Row],[Late (14.00 - 20.00) ]]/60)</calculatedColumnFormula>
    </tableColumn>
    <tableColumn id="68" xr3:uid="{FD10A050-C803-4A58-8288-188B1F41E031}" name="Night (20:00 - 08:00)" dataDxfId="475">
      <calculatedColumnFormula>SUM(F13,I13,L13,O13,R13,U13,X13,AA13,AD13)+(Mar[[#This Row],[Baseline Assessment Score]]*60/3)</calculatedColumnFormula>
    </tableColumn>
    <tableColumn id="69" xr3:uid="{BEC93408-7219-4FD7-B0D2-272D4C9B2496}" name="Contact time per shift  " dataDxfId="474">
      <calculatedColumnFormula>SUM(Mar[[#This Row],[Night (20:00 - 08:00)]]/60)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269068-57CC-4A01-9BF0-2073AD4D1325}" name="Apr" displayName="Apr" ref="B12:AL36" totalsRowShown="0" headerRowDxfId="473" dataDxfId="471" headerRowBorderDxfId="472" tableBorderDxfId="470" totalsRowBorderDxfId="469">
  <autoFilter ref="B12:AL36" xr:uid="{1D945390-F999-42E1-8B90-F146155C7359}"/>
  <tableColumns count="37">
    <tableColumn id="1" xr3:uid="{FFED09D6-7205-48CE-A39A-2B4CE1C38BB6}" name="Adults Name" dataDxfId="468"/>
    <tableColumn id="70" xr3:uid="{C1BC7AE1-C1D4-49F8-9F1F-4AEA1004057E}" name="Baseline Assessment Score" dataDxfId="467"/>
    <tableColumn id="3" xr3:uid="{568A2F18-17C9-44E5-BEBC-91BE4B6B7701}" name="Early" dataDxfId="466"/>
    <tableColumn id="4" xr3:uid="{8A6CA4EB-BF8C-443C-AE35-6C7130DC8060}" name="Late" dataDxfId="465"/>
    <tableColumn id="5" xr3:uid="{56DC3E9C-B845-43B7-BFC2-300316C12A98}" name="Night" dataDxfId="464"/>
    <tableColumn id="7" xr3:uid="{519E1718-0100-4F1F-8318-B9F034994A7A}" name="Early " dataDxfId="463"/>
    <tableColumn id="8" xr3:uid="{38CE1EAE-8DA9-4B23-A840-F67397307A60}" name="Late " dataDxfId="462"/>
    <tableColumn id="9" xr3:uid="{696A5028-9973-475C-85F1-57AD4C2583B9}" name="Night " dataDxfId="461"/>
    <tableColumn id="11" xr3:uid="{C264DF2F-6BEB-4336-AF45-4B2781AD78C5}" name="Early  " dataDxfId="460"/>
    <tableColumn id="12" xr3:uid="{EB93E6F1-274A-4E02-B801-3DC188FD4F11}" name="Late  " dataDxfId="459"/>
    <tableColumn id="13" xr3:uid="{46394F3B-631F-47C1-9BBF-B806D08E79BF}" name="Night  " dataDxfId="458"/>
    <tableColumn id="15" xr3:uid="{67F8D3C8-6C96-4232-95A1-CCE1C52A05E2}" name="Early   " dataDxfId="457"/>
    <tableColumn id="16" xr3:uid="{186F4B53-2CB5-40A5-BD7C-7A4F5A66A748}" name="Late   " dataDxfId="456"/>
    <tableColumn id="17" xr3:uid="{BF9B1D38-B11E-4B3D-B503-D8AACF6D226D}" name="Night   " dataDxfId="455"/>
    <tableColumn id="19" xr3:uid="{819C8FE3-2DA8-4798-AFFE-5614668530BD}" name="Early    " dataDxfId="454"/>
    <tableColumn id="20" xr3:uid="{ED441FD0-45C0-4755-86A1-AF0F50DDCA53}" name="Late    " dataDxfId="453"/>
    <tableColumn id="21" xr3:uid="{A4662B75-9116-4795-B2F2-FB463EF4F9DB}" name="Night    " dataDxfId="452"/>
    <tableColumn id="23" xr3:uid="{9B593D31-B09A-4E34-A9CA-983788683930}" name="Early     " dataDxfId="451"/>
    <tableColumn id="24" xr3:uid="{598905B9-C5C4-4EBB-BE86-906D71B1B7CF}" name="Late     " dataDxfId="450"/>
    <tableColumn id="25" xr3:uid="{1B81659C-1541-466A-8376-9433EE042B89}" name="Night     " dataDxfId="449"/>
    <tableColumn id="27" xr3:uid="{5E090B38-091D-4C48-8D95-3E2BECBBB934}" name="Early      " dataDxfId="448"/>
    <tableColumn id="28" xr3:uid="{31A5852A-6B61-4CFA-8855-8A8CBEA706DF}" name="Late      " dataDxfId="447"/>
    <tableColumn id="29" xr3:uid="{F8FE03F8-D850-421A-9F9D-FE575BF4D07A}" name="Night      " dataDxfId="446"/>
    <tableColumn id="31" xr3:uid="{5F3D924A-27CE-4587-9BDB-C72FEAECC832}" name="Early       " dataDxfId="445"/>
    <tableColumn id="32" xr3:uid="{AAC33CEB-573B-460B-B1F5-C46EE90B9547}" name="Late       " dataDxfId="444"/>
    <tableColumn id="33" xr3:uid="{BBD3BF81-65FD-4E0D-8BDF-66F179A52F5E}" name="Night       " dataDxfId="443"/>
    <tableColumn id="35" xr3:uid="{8EF2C8E8-2C39-4223-9DB1-EBC991C52A68}" name="Early        " dataDxfId="442"/>
    <tableColumn id="36" xr3:uid="{934EBE78-7110-477D-AA2C-C72171F13E86}" name="Late        " dataDxfId="441"/>
    <tableColumn id="37" xr3:uid="{5AF2CEBF-A7BB-4A84-8BC0-D1717F1E026C}" name="Night        " dataDxfId="440"/>
    <tableColumn id="62" xr3:uid="{0EE57238-05FF-45D5-81D3-93CA5E435B64}" name="Total Mins over 24 hr" dataDxfId="439">
      <calculatedColumnFormula>SUM(Apr[[#This Row],[Early]:[Night        ]])+(Apr[[#This Row],[Baseline Assessment Score]]*60)</calculatedColumnFormula>
    </tableColumn>
    <tableColumn id="63" xr3:uid="{34676EAD-3F3F-4FEB-90FA-C30881541374}" name="Actual contact time (hours)" dataDxfId="438">
      <calculatedColumnFormula>Apr[[#This Row],[Total Mins over 24 hr]]/60</calculatedColumnFormula>
    </tableColumn>
    <tableColumn id="64" xr3:uid="{FBC180C2-3693-4E66-B889-8DAED7759518}" name="Early (08.00 - 14.00) " dataDxfId="437">
      <calculatedColumnFormula>SUM(D13,G13,J13,M13,P13,S13,V13,Y13,AB13)+(Apr[[#This Row],[Baseline Assessment Score]]*60/3)</calculatedColumnFormula>
    </tableColumn>
    <tableColumn id="65" xr3:uid="{35AA32AB-69AC-410C-9CDE-0CEC37C9BE4E}" name="Contact time per shift" dataDxfId="436">
      <calculatedColumnFormula>SUM(Apr[[#This Row],[Early (08.00 - 14.00) ]]/60)</calculatedColumnFormula>
    </tableColumn>
    <tableColumn id="66" xr3:uid="{7FBF96A0-9FD7-423D-93AF-AC3A57D5F957}" name="Late (14.00 - 20.00) " dataDxfId="435">
      <calculatedColumnFormula>SUM(E13,H13,K13,N13,Q13,T13,W13,Z13,AC13)+(Apr[[#This Row],[Baseline Assessment Score]]*60/3)</calculatedColumnFormula>
    </tableColumn>
    <tableColumn id="67" xr3:uid="{695538FB-B850-4AA1-B4E0-8E71F60575BB}" name="Contact time per shift " dataDxfId="434">
      <calculatedColumnFormula>SUM(Apr[[#This Row],[Late (14.00 - 20.00) ]]/60)</calculatedColumnFormula>
    </tableColumn>
    <tableColumn id="68" xr3:uid="{559F3806-82DB-4C45-B8F4-1B8012C09A2C}" name="Night (20:00 - 08:00)" dataDxfId="433">
      <calculatedColumnFormula>SUM(F13,I13,L13,O13,R13,U13,X13,AA13,AD13)+(Apr[[#This Row],[Baseline Assessment Score]]*60/3)</calculatedColumnFormula>
    </tableColumn>
    <tableColumn id="69" xr3:uid="{FFA47838-C544-4110-A528-41D956B79506}" name="Contact time per shift  " dataDxfId="432">
      <calculatedColumnFormula>SUM(Apr[[#This Row],[Night (20:00 - 08:00)]]/60)</calculatedColumnFormula>
    </tableColumn>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3FBC44-D4FC-46E0-8416-B62001D3579F}" name="May" displayName="May" ref="B12:AL36" totalsRowShown="0" headerRowDxfId="431" dataDxfId="429" headerRowBorderDxfId="430" tableBorderDxfId="428" totalsRowBorderDxfId="427">
  <autoFilter ref="B12:AL36" xr:uid="{1D945390-F999-42E1-8B90-F146155C7359}"/>
  <tableColumns count="37">
    <tableColumn id="1" xr3:uid="{BA3357FB-992F-4A9E-ABD5-C99DBAF45357}" name="Adults Name" dataDxfId="426"/>
    <tableColumn id="70" xr3:uid="{A01015F7-062E-44CC-B215-62AC73159622}" name="Baseline Assessment Score" dataDxfId="425"/>
    <tableColumn id="3" xr3:uid="{B146312F-86BD-4767-A39C-40447898584A}" name="Early" dataDxfId="424"/>
    <tableColumn id="4" xr3:uid="{B2990718-60D5-4EA5-B5F7-BE51678E2007}" name="Late" dataDxfId="423"/>
    <tableColumn id="5" xr3:uid="{FC8D1D45-E910-488B-AFF0-E666C6D819D5}" name="Night" dataDxfId="422"/>
    <tableColumn id="7" xr3:uid="{76DED77B-B4F0-4B3A-BDA0-6A236498CFCC}" name="Early " dataDxfId="421"/>
    <tableColumn id="8" xr3:uid="{B80044B6-563A-493A-86AE-01C7CDF59585}" name="Late " dataDxfId="420"/>
    <tableColumn id="9" xr3:uid="{96C0F336-B7D8-4FE2-AE2C-B5D92369494E}" name="Night " dataDxfId="419"/>
    <tableColumn id="11" xr3:uid="{52C652D1-0C59-4FE6-AAED-397717127F44}" name="Early  " dataDxfId="418"/>
    <tableColumn id="12" xr3:uid="{2CD476AB-44A2-419B-9261-05395E210C93}" name="Late  " dataDxfId="417"/>
    <tableColumn id="13" xr3:uid="{43C7ED41-13E0-4AA2-B08D-1A36BC21BD73}" name="Night  " dataDxfId="416"/>
    <tableColumn id="15" xr3:uid="{DD10A2FC-FDF7-4942-9BED-F4039FE2DE0F}" name="Early   " dataDxfId="415"/>
    <tableColumn id="16" xr3:uid="{DED4469D-51FD-4392-9E6B-4DC007584AA4}" name="Late   " dataDxfId="414"/>
    <tableColumn id="17" xr3:uid="{F10F8DEE-D682-4FCB-AE22-B5524B910711}" name="Night   " dataDxfId="413"/>
    <tableColumn id="19" xr3:uid="{67D77FEA-D0EC-4CD1-B15B-27E33B92B65F}" name="Early    " dataDxfId="412"/>
    <tableColumn id="20" xr3:uid="{FB93C197-A602-47C3-B9AA-57DE3A63C2F9}" name="Late    " dataDxfId="411"/>
    <tableColumn id="21" xr3:uid="{61FFCCB5-C15C-46B4-BE7D-268A06BAE2BD}" name="Night    " dataDxfId="410"/>
    <tableColumn id="23" xr3:uid="{C19769D3-314C-4B27-8CEE-C2E596FDFB0C}" name="Early     " dataDxfId="409"/>
    <tableColumn id="24" xr3:uid="{87E243ED-AEBE-4724-ACCD-A02A03F777AB}" name="Late     " dataDxfId="408"/>
    <tableColumn id="25" xr3:uid="{0E7FA61D-A64D-4767-9228-267D642A7A1D}" name="Night     " dataDxfId="407"/>
    <tableColumn id="27" xr3:uid="{4D2C096F-DA0A-430C-9D23-4C52855867AB}" name="Early      " dataDxfId="406"/>
    <tableColumn id="28" xr3:uid="{30568208-0657-47CE-85EE-1F00EEA6F6AE}" name="Late      " dataDxfId="405"/>
    <tableColumn id="29" xr3:uid="{DAEEF5C2-0521-4AA7-A301-211736855BD9}" name="Night      " dataDxfId="404"/>
    <tableColumn id="31" xr3:uid="{B4CB27E7-9E01-4C21-87AE-7FEDE64A93D7}" name="Early       " dataDxfId="403"/>
    <tableColumn id="32" xr3:uid="{E9B918B8-47EF-40D6-A0F7-B10386581241}" name="Late       " dataDxfId="402"/>
    <tableColumn id="33" xr3:uid="{D336DE4F-5BD3-46DA-843B-DD3E63FD3960}" name="Night       " dataDxfId="401"/>
    <tableColumn id="35" xr3:uid="{440016BD-E98D-4BCE-AF9C-72AFE06A2983}" name="Early        " dataDxfId="400"/>
    <tableColumn id="36" xr3:uid="{9BA0AE8E-60A4-46E2-BA16-DA814ED80540}" name="Late        " dataDxfId="399"/>
    <tableColumn id="37" xr3:uid="{5ED435AB-266E-4A34-8A61-183B92A9BE2C}" name="Night        " dataDxfId="398"/>
    <tableColumn id="62" xr3:uid="{7B53972B-705E-44DA-AADA-196B1CA2321A}" name="Total Mins over 24 hr" dataDxfId="397">
      <calculatedColumnFormula>SUM(May[[#This Row],[Early]:[Night        ]])+(May[[#This Row],[Baseline Assessment Score]]*60)</calculatedColumnFormula>
    </tableColumn>
    <tableColumn id="63" xr3:uid="{FBAD5B70-F0AB-45A5-8A7D-8B22E9B343E2}" name="Actual contact time (hours)" dataDxfId="396">
      <calculatedColumnFormula>May[[#This Row],[Total Mins over 24 hr]]/60</calculatedColumnFormula>
    </tableColumn>
    <tableColumn id="64" xr3:uid="{57F69658-6CCC-424C-BBC5-C574113B626E}" name="Early (08.00 - 14.00) " dataDxfId="395">
      <calculatedColumnFormula>SUM(D13,G13,J13,M13,P13,S13,V13,Y13,AB13)+(May[[#This Row],[Baseline Assessment Score]]*60/3)</calculatedColumnFormula>
    </tableColumn>
    <tableColumn id="65" xr3:uid="{8512384C-7B27-4EB3-816B-78B8E78682EB}" name="Contact time per shift" dataDxfId="394">
      <calculatedColumnFormula>SUM(May[[#This Row],[Early (08.00 - 14.00) ]]/60)</calculatedColumnFormula>
    </tableColumn>
    <tableColumn id="66" xr3:uid="{A1612232-9CBC-473F-BD9F-7B416A6B9859}" name="Late (14.00 - 20.00) " dataDxfId="393">
      <calculatedColumnFormula>SUM(E13,H13,K13,N13,Q13,T13,W13,Z13,AC13)+(May[[#This Row],[Baseline Assessment Score]]*60/3)</calculatedColumnFormula>
    </tableColumn>
    <tableColumn id="67" xr3:uid="{167FEFE6-809B-435E-8E9D-AC8F3C04BBE4}" name="Contact time per shift " dataDxfId="392">
      <calculatedColumnFormula>SUM(May[[#This Row],[Late (14.00 - 20.00) ]]/60)</calculatedColumnFormula>
    </tableColumn>
    <tableColumn id="68" xr3:uid="{3A444AE3-1BDB-4674-8CBA-73C94126FA43}" name="Night (20:00 - 08:00)" dataDxfId="391">
      <calculatedColumnFormula>SUM(F13,I13,L13,O13,R13,U13,X13,AA13,AD13)+(May[[#This Row],[Baseline Assessment Score]]*60/3)</calculatedColumnFormula>
    </tableColumn>
    <tableColumn id="69" xr3:uid="{AB840E5A-EAC8-48A2-888D-F0E3C1F84CEB}" name="Contact time per shift  " dataDxfId="390">
      <calculatedColumnFormula>SUM(May[[#This Row],[Night (20:00 - 08:00)]]/60)</calculatedColumnFormula>
    </tableColumn>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B75027-0A6A-48ED-AC63-D35612379990}" name="Jun" displayName="Jun" ref="B12:AL36" totalsRowShown="0" headerRowDxfId="389" dataDxfId="387" headerRowBorderDxfId="388" tableBorderDxfId="386" totalsRowBorderDxfId="385">
  <autoFilter ref="B12:AL36" xr:uid="{1D945390-F999-42E1-8B90-F146155C7359}"/>
  <tableColumns count="37">
    <tableColumn id="1" xr3:uid="{9A9AF307-0DB9-4C61-9D24-A1C40C41A0F4}" name="Adults Name" dataDxfId="384"/>
    <tableColumn id="70" xr3:uid="{F5316AF8-A2B6-4DF4-BCD8-39C256481408}" name="Baseline Assessment Score" dataDxfId="383"/>
    <tableColumn id="3" xr3:uid="{238E91D2-C20A-452B-81E4-088F915D5170}" name="Early" dataDxfId="382"/>
    <tableColumn id="4" xr3:uid="{3841094A-D8AC-4FB6-81A6-533B0FD9F0E5}" name="Late" dataDxfId="381"/>
    <tableColumn id="5" xr3:uid="{9236C205-5E95-4A32-AF9C-9A422EF4A0A4}" name="Night" dataDxfId="380"/>
    <tableColumn id="7" xr3:uid="{9315F755-2C51-4CE6-B675-BA98D2EACFBD}" name="Early " dataDxfId="379"/>
    <tableColumn id="8" xr3:uid="{55111038-CFBD-4484-832E-1057CFC74B1D}" name="Late " dataDxfId="378"/>
    <tableColumn id="9" xr3:uid="{5D158CE7-B0B3-445F-9169-7C3D7077FE12}" name="Night " dataDxfId="377"/>
    <tableColumn id="11" xr3:uid="{418E00A3-04F9-4587-A94E-23FF7BECC16A}" name="Early  " dataDxfId="376"/>
    <tableColumn id="12" xr3:uid="{7CC517A8-9C6C-4364-8F40-A848BF7D47AA}" name="Late  " dataDxfId="375"/>
    <tableColumn id="13" xr3:uid="{EAA8DB74-F7F2-4B2C-9B96-D33F3E72F9C6}" name="Night  " dataDxfId="374"/>
    <tableColumn id="15" xr3:uid="{E6654DC4-D280-4653-870E-1330D0505B17}" name="Early   " dataDxfId="373"/>
    <tableColumn id="16" xr3:uid="{E83A8BC3-3DCF-4375-963E-2DF90965C300}" name="Late   " dataDxfId="372"/>
    <tableColumn id="17" xr3:uid="{51520386-81A3-4578-ABC7-39E7BE84C948}" name="Night   " dataDxfId="371"/>
    <tableColumn id="19" xr3:uid="{5126A578-FBE0-462F-98AA-BF7BE3CFC1D9}" name="Early    " dataDxfId="370"/>
    <tableColumn id="20" xr3:uid="{BD5A4263-AAAE-48D0-A4A6-251F3C34EE91}" name="Late    " dataDxfId="369"/>
    <tableColumn id="21" xr3:uid="{F88E4073-3413-43FC-8B0B-DF51CDA6BA62}" name="Night    " dataDxfId="368"/>
    <tableColumn id="23" xr3:uid="{15C00FEC-E0EE-4427-94BC-75570945AA95}" name="Early     " dataDxfId="367"/>
    <tableColumn id="24" xr3:uid="{52DF55E8-841D-41E4-BCEB-D662C37736E9}" name="Late     " dataDxfId="366"/>
    <tableColumn id="25" xr3:uid="{493110A4-3F1A-4518-B787-134C434E240A}" name="Night     " dataDxfId="365"/>
    <tableColumn id="27" xr3:uid="{9F488CB5-D793-4B3C-9A8A-A03D1038A0BF}" name="Early      " dataDxfId="364"/>
    <tableColumn id="28" xr3:uid="{DBF49269-5234-49EC-B4EB-E8D911A3A77A}" name="Late      " dataDxfId="363"/>
    <tableColumn id="29" xr3:uid="{D85E3585-065E-450B-92D2-389C973B59FC}" name="Night      " dataDxfId="362"/>
    <tableColumn id="31" xr3:uid="{C0608C42-262E-4D8C-93DD-59294418DF0B}" name="Early       " dataDxfId="361"/>
    <tableColumn id="32" xr3:uid="{1930F117-6DE8-4D08-9931-6DAD453083B9}" name="Late       " dataDxfId="360"/>
    <tableColumn id="33" xr3:uid="{130836AA-CBE3-4F82-9FF1-8AB1C6FE3473}" name="Night       " dataDxfId="359"/>
    <tableColumn id="35" xr3:uid="{AC5FBD1B-2B86-485B-AED4-5D1034A573E3}" name="Early        " dataDxfId="358"/>
    <tableColumn id="36" xr3:uid="{EECBEE74-DD00-453F-9EFB-A673B01E51F8}" name="Late        " dataDxfId="357"/>
    <tableColumn id="37" xr3:uid="{1B6442D9-0213-47F2-B86B-6310C6D21C2B}" name="Night        " dataDxfId="356"/>
    <tableColumn id="62" xr3:uid="{0D0EEF87-F62E-40F8-9720-F090B9162FCE}" name="Total Mins over 24 hr" dataDxfId="355">
      <calculatedColumnFormula>SUM(Jun[[#This Row],[Early]:[Night        ]])+(Jun[[#This Row],[Baseline Assessment Score]]*60)</calculatedColumnFormula>
    </tableColumn>
    <tableColumn id="63" xr3:uid="{5BDC1A54-B84F-4AE4-AC91-33E9FE0A76AD}" name="Actual contact time (hours)" dataDxfId="354">
      <calculatedColumnFormula>Jun[[#This Row],[Total Mins over 24 hr]]/60</calculatedColumnFormula>
    </tableColumn>
    <tableColumn id="64" xr3:uid="{87C4D39B-7B3F-433A-9D6F-B2AFBAEB8BC5}" name="Early (08.00 - 14.00) " dataDxfId="353">
      <calculatedColumnFormula>SUM(D13,G13,J13,M13,P13,S13,V13,Y13,AB13)+(Jun[[#This Row],[Baseline Assessment Score]]*60/3)</calculatedColumnFormula>
    </tableColumn>
    <tableColumn id="65" xr3:uid="{95DD393C-9551-4C36-B24C-68A1C8342EE6}" name="Contact time per shift" dataDxfId="352">
      <calculatedColumnFormula>SUM(Jun[[#This Row],[Early (08.00 - 14.00) ]]/60)</calculatedColumnFormula>
    </tableColumn>
    <tableColumn id="66" xr3:uid="{D77FFFA1-CBF6-4868-B807-E42991CBA2C1}" name="Late (14.00 - 20.00) " dataDxfId="351">
      <calculatedColumnFormula>SUM(E13,H13,K13,N13,Q13,T13,W13,Z13,AC13)+(Jun[[#This Row],[Baseline Assessment Score]]*60/3)</calculatedColumnFormula>
    </tableColumn>
    <tableColumn id="67" xr3:uid="{0E564BEF-40F2-4F6E-9D71-7E475E1F9B67}" name="Contact time per shift " dataDxfId="350">
      <calculatedColumnFormula>SUM(Jun[[#This Row],[Late (14.00 - 20.00) ]]/60)</calculatedColumnFormula>
    </tableColumn>
    <tableColumn id="68" xr3:uid="{3D4A59E4-1FF3-4F9F-B4B7-18E078529ECE}" name="Night (20:00 - 08:00)" dataDxfId="349">
      <calculatedColumnFormula>SUM(F13,I13,L13,O13,R13,U13,X13,AA13,AD13)+(Jun[[#This Row],[Baseline Assessment Score]]*60/3)</calculatedColumnFormula>
    </tableColumn>
    <tableColumn id="69" xr3:uid="{145EDA0A-D60C-42C6-9A68-A6915B6EFA39}" name="Contact time per shift  " dataDxfId="348">
      <calculatedColumnFormula>SUM(Jun[[#This Row],[Night (20:00 - 08:00)]]/60)</calculatedColumnFormula>
    </tableColumn>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5594F4-01F1-4EB2-B8E6-0F6E1C444297}" name="Jul" displayName="Jul" ref="B12:AL36" totalsRowShown="0" headerRowDxfId="347" dataDxfId="345" headerRowBorderDxfId="346" tableBorderDxfId="344" totalsRowBorderDxfId="343">
  <autoFilter ref="B12:AL36" xr:uid="{1D945390-F999-42E1-8B90-F146155C7359}"/>
  <tableColumns count="37">
    <tableColumn id="1" xr3:uid="{6FA7824B-DE0A-49F3-8065-C88BE7E309E7}" name="Adults Name" dataDxfId="342"/>
    <tableColumn id="70" xr3:uid="{FF2E2DFA-0ECB-4A4F-8E5A-12B606D0DCEF}" name="Baseline Assessment Score" dataDxfId="341"/>
    <tableColumn id="3" xr3:uid="{CE34D7D2-390E-4D4D-83E5-725F638931BC}" name="Early" dataDxfId="340"/>
    <tableColumn id="4" xr3:uid="{5B756C6D-886A-4837-92F8-D1450E5FF13A}" name="Late" dataDxfId="339"/>
    <tableColumn id="5" xr3:uid="{2652A8C9-BD10-420B-B6C6-F1663A2521CD}" name="Night" dataDxfId="338"/>
    <tableColumn id="7" xr3:uid="{2FD4CB0F-B407-4A5E-9F62-BFF099A74CD8}" name="Early " dataDxfId="337"/>
    <tableColumn id="8" xr3:uid="{CAC360E4-F7B4-4DF5-8B94-EB4ACB450903}" name="Late " dataDxfId="336"/>
    <tableColumn id="9" xr3:uid="{A014F7CE-1D9E-4A91-99CD-E706BD7C6877}" name="Night " dataDxfId="335"/>
    <tableColumn id="11" xr3:uid="{DA2026BA-D3E2-4BC2-B860-0B37235B3DCA}" name="Early  " dataDxfId="334"/>
    <tableColumn id="12" xr3:uid="{E2C438C4-C402-44B3-A105-E3222D4586C3}" name="Late  " dataDxfId="333"/>
    <tableColumn id="13" xr3:uid="{53474466-2374-4178-89F4-9E494D0F602A}" name="Night  " dataDxfId="332"/>
    <tableColumn id="15" xr3:uid="{0DFB1955-7471-49F2-A147-A8BF8E1CA35A}" name="Early   " dataDxfId="331"/>
    <tableColumn id="16" xr3:uid="{7DCA113C-91C9-4FEC-9B5C-A5100F0FC4F9}" name="Late   " dataDxfId="330"/>
    <tableColumn id="17" xr3:uid="{704F4F2A-E605-4B74-995F-B7E862E154A2}" name="Night   " dataDxfId="329"/>
    <tableColumn id="19" xr3:uid="{C295ABEB-49D7-47EE-B144-8A081105343C}" name="Early    " dataDxfId="328"/>
    <tableColumn id="20" xr3:uid="{96B2E82C-A1E2-413F-A7F0-09271D0BE7D7}" name="Late    " dataDxfId="327"/>
    <tableColumn id="21" xr3:uid="{9DBB7FAF-A01D-4B24-A8DC-0A18D44B33F1}" name="Night    " dataDxfId="326"/>
    <tableColumn id="23" xr3:uid="{D6CCF583-3199-4C1A-A431-9DDB55F39BA1}" name="Early     " dataDxfId="325"/>
    <tableColumn id="24" xr3:uid="{A7A0954D-A595-49CB-950C-E078AF2C2D15}" name="Late     " dataDxfId="324"/>
    <tableColumn id="25" xr3:uid="{61D9E675-A9DC-4731-841C-4EF15B049451}" name="Night     " dataDxfId="323"/>
    <tableColumn id="27" xr3:uid="{3973F8E2-C8F8-4649-8C17-473B1A31AC65}" name="Early      " dataDxfId="322"/>
    <tableColumn id="28" xr3:uid="{5428780E-85C8-48DE-A82A-7B2DEA8300DD}" name="Late      " dataDxfId="321"/>
    <tableColumn id="29" xr3:uid="{0D2C61F9-4A68-4B14-9AAE-C24F70DF3EB1}" name="Night      " dataDxfId="320"/>
    <tableColumn id="31" xr3:uid="{E3B06378-E67E-455F-BCBA-A46B12CB758F}" name="Early       " dataDxfId="319"/>
    <tableColumn id="32" xr3:uid="{77C81759-41A3-41C0-B728-D2E1508DBEED}" name="Late       " dataDxfId="318"/>
    <tableColumn id="33" xr3:uid="{A2C38ED6-3524-4000-845D-3793997558A5}" name="Night       " dataDxfId="317"/>
    <tableColumn id="35" xr3:uid="{AEC1F921-A541-46D9-86BD-B920553DACB0}" name="Early        " dataDxfId="316"/>
    <tableColumn id="36" xr3:uid="{CE60B856-71BB-45F9-8B98-4957501A93DE}" name="Late        " dataDxfId="315"/>
    <tableColumn id="37" xr3:uid="{49624177-2747-48C2-AD00-70F77AE716E9}" name="Night        " dataDxfId="314"/>
    <tableColumn id="62" xr3:uid="{8AA2BD94-6F68-434E-8E1C-F7C3661125E6}" name="Total Mins over 24 hr" dataDxfId="313">
      <calculatedColumnFormula>SUM(Jul[[#This Row],[Early]:[Night        ]])+(Jul[[#This Row],[Baseline Assessment Score]]*60)</calculatedColumnFormula>
    </tableColumn>
    <tableColumn id="63" xr3:uid="{0B6C4757-B39D-4EA2-AD15-0A2FE69B1C10}" name="Actual contact time (hours)" dataDxfId="312">
      <calculatedColumnFormula>Jul[[#This Row],[Total Mins over 24 hr]]/60</calculatedColumnFormula>
    </tableColumn>
    <tableColumn id="64" xr3:uid="{2E34B616-F60A-41C7-9FD5-46FB1E467323}" name="Early (08.00 - 14.00) " dataDxfId="311">
      <calculatedColumnFormula>SUM(D13,G13,J13,M13,P13,S13,V13,Y13,AB13)+(Jul[[#This Row],[Baseline Assessment Score]]*60/3)</calculatedColumnFormula>
    </tableColumn>
    <tableColumn id="65" xr3:uid="{EDC92842-FDE5-431C-9AA8-7ACAEE04555F}" name="Contact time per shift" dataDxfId="310">
      <calculatedColumnFormula>SUM(Jul[[#This Row],[Early (08.00 - 14.00) ]]/60)</calculatedColumnFormula>
    </tableColumn>
    <tableColumn id="66" xr3:uid="{02702D82-EA4C-4BC4-9C63-404F5F9529DE}" name="Late (14.00 - 20.00) " dataDxfId="309">
      <calculatedColumnFormula>SUM(E13,H13,K13,N13,Q13,T13,W13,Z13,AC13)+(Jul[[#This Row],[Baseline Assessment Score]]*60/3)</calculatedColumnFormula>
    </tableColumn>
    <tableColumn id="67" xr3:uid="{BEE4C197-F7DC-4AB8-B388-32C6C04CF92A}" name="Contact time per shift " dataDxfId="308">
      <calculatedColumnFormula>SUM(Jul[[#This Row],[Late (14.00 - 20.00) ]]/60)</calculatedColumnFormula>
    </tableColumn>
    <tableColumn id="68" xr3:uid="{9BB9C23B-6C61-44D5-B81D-895632596766}" name="Night (20:00 - 08:00)" dataDxfId="307">
      <calculatedColumnFormula>SUM(F13,I13,L13,O13,R13,U13,X13,AA13,AD13)+(Jul[[#This Row],[Baseline Assessment Score]]*60/3)</calculatedColumnFormula>
    </tableColumn>
    <tableColumn id="69" xr3:uid="{BC4F7863-37B8-4811-AEFE-4F5C341F8BE2}" name="Contact time per shift  " dataDxfId="306">
      <calculatedColumnFormula>SUM(Jul[[#This Row],[Night (20:00 - 08:00)]]/60)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BCDE56-5928-4E1A-BBB5-63B97B49C9AD}" name="Aug" displayName="Aug" ref="B12:AL36" totalsRowShown="0" headerRowDxfId="305" dataDxfId="303" headerRowBorderDxfId="304" tableBorderDxfId="302" totalsRowBorderDxfId="301">
  <autoFilter ref="B12:AL36" xr:uid="{1D945390-F999-42E1-8B90-F146155C7359}"/>
  <tableColumns count="37">
    <tableColumn id="1" xr3:uid="{026ED596-6DF2-4368-A3B3-04D44402318C}" name="Adults Name" dataDxfId="300"/>
    <tableColumn id="70" xr3:uid="{8745A808-38D8-4D88-A760-0B7B091EDBFC}" name="Baseline Assessment Score" dataDxfId="299"/>
    <tableColumn id="3" xr3:uid="{CE65EBC7-5044-4AB9-A40C-30082AE868C1}" name="Early" dataDxfId="298"/>
    <tableColumn id="4" xr3:uid="{DCD16F19-D71E-4DED-AE2C-FB6C926A6DD1}" name="Late" dataDxfId="297"/>
    <tableColumn id="5" xr3:uid="{B55CB7B8-8D6D-4AB6-B5CA-B393055702DE}" name="Night" dataDxfId="296"/>
    <tableColumn id="7" xr3:uid="{DE49F189-931F-415B-A92A-1766D41C8F41}" name="Early " dataDxfId="295"/>
    <tableColumn id="8" xr3:uid="{A8F0C630-EE70-49A0-B5A1-5FD164C0B0DD}" name="Late " dataDxfId="294"/>
    <tableColumn id="9" xr3:uid="{FB134E8B-ECDE-4DC9-BE72-B6D3DC2D8203}" name="Night " dataDxfId="293"/>
    <tableColumn id="11" xr3:uid="{BAF6CBAC-3A16-4F32-A085-1F6C01F31865}" name="Early  " dataDxfId="292"/>
    <tableColumn id="12" xr3:uid="{59E4CCEC-23D9-4A83-8C58-F0F699A4429B}" name="Late  " dataDxfId="291"/>
    <tableColumn id="13" xr3:uid="{C8C507CC-2EAF-4D37-B389-BA3115281D26}" name="Night  " dataDxfId="290"/>
    <tableColumn id="15" xr3:uid="{E80704D8-A737-48C0-8133-99A2434A65FB}" name="Early   " dataDxfId="289"/>
    <tableColumn id="16" xr3:uid="{E4288ECC-EEF5-4B91-AD06-35438618406D}" name="Late   " dataDxfId="288"/>
    <tableColumn id="17" xr3:uid="{0F623CB1-C53E-418E-9BD4-2CA33CD407DA}" name="Night   " dataDxfId="287"/>
    <tableColumn id="19" xr3:uid="{54995C0A-F8B8-4B69-B794-63FB91C68F99}" name="Early    " dataDxfId="286"/>
    <tableColumn id="20" xr3:uid="{0C4AEF0F-836F-4F6C-A81B-E72FC08A7052}" name="Late    " dataDxfId="285"/>
    <tableColumn id="21" xr3:uid="{228A2A9C-889E-49F5-8881-34FB0E727D0E}" name="Night    " dataDxfId="284"/>
    <tableColumn id="23" xr3:uid="{499B0841-49E0-4890-8DAE-1B88D7830C07}" name="Early     " dataDxfId="283"/>
    <tableColumn id="24" xr3:uid="{36798A8A-D813-491F-B186-62F433CE33E9}" name="Late     " dataDxfId="282"/>
    <tableColumn id="25" xr3:uid="{3012F384-92B4-43B2-8FC5-05B906EE59D9}" name="Night     " dataDxfId="281"/>
    <tableColumn id="27" xr3:uid="{DAFCD4B9-884D-4172-93FD-9713B8300C25}" name="Early      " dataDxfId="280"/>
    <tableColumn id="28" xr3:uid="{7A511A00-87EE-4753-9B67-4628EAEDCF12}" name="Late      " dataDxfId="279"/>
    <tableColumn id="29" xr3:uid="{6B2193BF-3D5B-4FA1-AE68-388065D8E71F}" name="Night      " dataDxfId="278"/>
    <tableColumn id="31" xr3:uid="{0B80A9FF-C4CA-434A-B6F9-550F390E4606}" name="Early       " dataDxfId="277"/>
    <tableColumn id="32" xr3:uid="{849ED296-4E65-4756-8178-818B736AB2E9}" name="Late       " dataDxfId="276"/>
    <tableColumn id="33" xr3:uid="{83AB2723-F4C9-4BFA-B8A5-98CBC1CD8A08}" name="Night       " dataDxfId="275"/>
    <tableColumn id="35" xr3:uid="{2CD25F17-8410-4221-BA9F-A32625D1472F}" name="Early        " dataDxfId="274"/>
    <tableColumn id="36" xr3:uid="{CCEA69F2-6EA2-4C23-ABC7-C9E797728660}" name="Late        " dataDxfId="273"/>
    <tableColumn id="37" xr3:uid="{C549223D-8B77-40E9-906E-BA6DF872059A}" name="Night        " dataDxfId="272"/>
    <tableColumn id="62" xr3:uid="{0B312EC8-437C-4486-B7D5-96003527FBED}" name="Total Mins over 24 hr" dataDxfId="271">
      <calculatedColumnFormula>SUM(Aug[[#This Row],[Early]:[Night        ]])+(Aug[[#This Row],[Baseline Assessment Score]]*60)</calculatedColumnFormula>
    </tableColumn>
    <tableColumn id="63" xr3:uid="{4B5E1A39-216B-4ACA-BE53-3B46B456ADE1}" name="Actual contact time (hours)" dataDxfId="270">
      <calculatedColumnFormula>Aug[[#This Row],[Total Mins over 24 hr]]/60</calculatedColumnFormula>
    </tableColumn>
    <tableColumn id="64" xr3:uid="{D9224A27-ABB5-455F-BDF3-6E015974381B}" name="Early (08.00 - 14.00) " dataDxfId="269">
      <calculatedColumnFormula>SUM(D13,G13,J13,M13,P13,S13,V13,Y13,AB13)+(Aug[[#This Row],[Baseline Assessment Score]]*60/3)</calculatedColumnFormula>
    </tableColumn>
    <tableColumn id="65" xr3:uid="{16C2AA0E-D9CE-4853-AE27-E683E0600219}" name="Contact time per shift" dataDxfId="268">
      <calculatedColumnFormula>SUM(Aug[[#This Row],[Early (08.00 - 14.00) ]]/60)</calculatedColumnFormula>
    </tableColumn>
    <tableColumn id="66" xr3:uid="{25F73C90-7D22-4186-A6A0-6C7BE9288461}" name="Late (14.00 - 20.00) " dataDxfId="267">
      <calculatedColumnFormula>SUM(E13,H13,K13,N13,Q13,T13,W13,Z13,AC13)+(Aug[[#This Row],[Baseline Assessment Score]]*60/3)</calculatedColumnFormula>
    </tableColumn>
    <tableColumn id="67" xr3:uid="{ADAB070A-C90E-4ADA-80A8-6500FC32C13E}" name="Contact time per shift " dataDxfId="266">
      <calculatedColumnFormula>SUM(Aug[[#This Row],[Late (14.00 - 20.00) ]]/60)</calculatedColumnFormula>
    </tableColumn>
    <tableColumn id="68" xr3:uid="{252AF90F-9572-40A9-9C30-FF76059482A4}" name="Night (20:00 - 08:00)" dataDxfId="265">
      <calculatedColumnFormula>SUM(F13,I13,L13,O13,R13,U13,X13,AA13,AD13)+(Aug[[#This Row],[Baseline Assessment Score]]*60/3)</calculatedColumnFormula>
    </tableColumn>
    <tableColumn id="69" xr3:uid="{0488516C-D118-46A2-A3C1-774FEF1E249B}" name="Contact time per shift  " dataDxfId="264">
      <calculatedColumnFormula>SUM(Aug[[#This Row],[Night (20:00 - 08:00)]]/60)</calculatedColumnFormula>
    </tableColum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45CA60-60EB-40EB-AB20-2E0F9A479561}" name="Sep" displayName="Sep" ref="B12:AL36" totalsRowShown="0" headerRowDxfId="263" dataDxfId="261" headerRowBorderDxfId="262" tableBorderDxfId="260" totalsRowBorderDxfId="259">
  <autoFilter ref="B12:AL36" xr:uid="{1D945390-F999-42E1-8B90-F146155C7359}"/>
  <tableColumns count="37">
    <tableColumn id="1" xr3:uid="{4FC10B08-D47E-47C5-8A08-F3C2B6D79502}" name="Adults Name" dataDxfId="258"/>
    <tableColumn id="70" xr3:uid="{6E5155B9-FD4A-45FA-97FB-BA796283AD92}" name="Baseline Assessment Score" dataDxfId="257"/>
    <tableColumn id="3" xr3:uid="{C99BFE60-20DB-43C4-BDEB-083563A6DE75}" name="Early" dataDxfId="256"/>
    <tableColumn id="4" xr3:uid="{0E9F5576-4208-4DDD-AEAD-9C63EB6147F4}" name="Late" dataDxfId="255"/>
    <tableColumn id="5" xr3:uid="{838C0D09-2C5C-402B-98BA-21772BB75861}" name="Night" dataDxfId="254"/>
    <tableColumn id="7" xr3:uid="{A473D322-4572-466A-9547-BA91C13E5DDE}" name="Early " dataDxfId="253"/>
    <tableColumn id="8" xr3:uid="{168B70DB-DE52-4276-BED2-313D5DB667DC}" name="Late " dataDxfId="252"/>
    <tableColumn id="9" xr3:uid="{298F673E-32E4-493A-88B1-1980EF0A57DD}" name="Night " dataDxfId="251"/>
    <tableColumn id="11" xr3:uid="{6D8AB824-34AB-482B-8ABB-E78CAF978541}" name="Early  " dataDxfId="250"/>
    <tableColumn id="12" xr3:uid="{A751E725-1C23-4BC3-9AC3-830B310E8C68}" name="Late  " dataDxfId="249"/>
    <tableColumn id="13" xr3:uid="{27E2A1FA-DFB7-43E7-911A-69C0FFBBB750}" name="Night  " dataDxfId="248"/>
    <tableColumn id="15" xr3:uid="{160C9843-9AC8-47EC-9F75-4D2436F9FF79}" name="Early   " dataDxfId="247"/>
    <tableColumn id="16" xr3:uid="{415E61D2-0EE6-4C38-8ABE-1BC797544AF2}" name="Late   " dataDxfId="246"/>
    <tableColumn id="17" xr3:uid="{7CEEE7F5-8E46-492E-8654-A866F98D29AE}" name="Night   " dataDxfId="245"/>
    <tableColumn id="19" xr3:uid="{256FDB3D-5E38-4A0A-88F7-2DCBC4E44509}" name="Early    " dataDxfId="244"/>
    <tableColumn id="20" xr3:uid="{4A7B185C-55F8-4968-9B7B-D568A74EF101}" name="Late    " dataDxfId="243"/>
    <tableColumn id="21" xr3:uid="{852EEAD4-C5C9-4607-936D-BB0287629792}" name="Night    " dataDxfId="242"/>
    <tableColumn id="23" xr3:uid="{7FD7D084-3E35-4E5D-B7E6-F792F6FC446E}" name="Early     " dataDxfId="241"/>
    <tableColumn id="24" xr3:uid="{6632B301-6F8C-411E-BF89-D7C41D59DCA8}" name="Late     " dataDxfId="240"/>
    <tableColumn id="25" xr3:uid="{144055EC-9CFA-46D3-8FEE-2EA91865B4F2}" name="Night     " dataDxfId="239"/>
    <tableColumn id="27" xr3:uid="{92DEAA14-B6EC-4CB4-8816-566DAA718491}" name="Early      " dataDxfId="238"/>
    <tableColumn id="28" xr3:uid="{426B3AFE-7F1A-484F-9C4F-C19285094B77}" name="Late      " dataDxfId="237"/>
    <tableColumn id="29" xr3:uid="{A105E86B-5DF1-4B10-B549-877F7E229FC7}" name="Night      " dataDxfId="236"/>
    <tableColumn id="31" xr3:uid="{2F38A1EC-1016-43F1-BF0A-6A8A4043F813}" name="Early       " dataDxfId="235"/>
    <tableColumn id="32" xr3:uid="{81BF1794-FCB1-44A9-A362-7023E4AC6E7B}" name="Late       " dataDxfId="234"/>
    <tableColumn id="33" xr3:uid="{524729A2-0BC4-4250-8BCA-67C98E7C43E5}" name="Night       " dataDxfId="233"/>
    <tableColumn id="35" xr3:uid="{121BC549-27DC-4043-8EB1-B8400E191532}" name="Early        " dataDxfId="232"/>
    <tableColumn id="36" xr3:uid="{86834358-D574-4ED8-890F-0915AD961071}" name="Late        " dataDxfId="231"/>
    <tableColumn id="37" xr3:uid="{F1CA4125-753A-44EC-BD86-6226F6A5998E}" name="Night        " dataDxfId="230"/>
    <tableColumn id="62" xr3:uid="{C9CF8C50-CE42-47DE-BD29-6BC403E63C83}" name="Total Mins over 24 hr" dataDxfId="229">
      <calculatedColumnFormula>SUM(Sep[[#This Row],[Early]:[Night        ]])+(Sep[[#This Row],[Baseline Assessment Score]]*60)</calculatedColumnFormula>
    </tableColumn>
    <tableColumn id="63" xr3:uid="{7B57CC0F-7E44-40BB-9572-8A45E8526299}" name="Actual contact time (hours)" dataDxfId="228">
      <calculatedColumnFormula>Sep[[#This Row],[Total Mins over 24 hr]]/60</calculatedColumnFormula>
    </tableColumn>
    <tableColumn id="64" xr3:uid="{93865EE2-EA7C-4978-BF9A-3972FD6C5744}" name="Early (08.00 - 14.00) " dataDxfId="227">
      <calculatedColumnFormula>SUM(D13,G13,J13,M13,P13,S13,V13,Y13,AB13)+(Sep[[#This Row],[Baseline Assessment Score]]*60/3)</calculatedColumnFormula>
    </tableColumn>
    <tableColumn id="65" xr3:uid="{7EA8DFD5-6146-44F7-BC8C-8D5811211A73}" name="Contact time per shift" dataDxfId="226">
      <calculatedColumnFormula>SUM(Sep[[#This Row],[Early (08.00 - 14.00) ]]/60)</calculatedColumnFormula>
    </tableColumn>
    <tableColumn id="66" xr3:uid="{150DA842-B66C-4E69-B255-C2658932E265}" name="Late (14.00 - 20.00) " dataDxfId="225">
      <calculatedColumnFormula>SUM(E13,H13,K13,N13,Q13,T13,W13,Z13,AC13)+(Sep[[#This Row],[Baseline Assessment Score]]*60/3)</calculatedColumnFormula>
    </tableColumn>
    <tableColumn id="67" xr3:uid="{B5F6BA06-AFAE-4656-8F78-278A687E60E6}" name="Contact time per shift " dataDxfId="224">
      <calculatedColumnFormula>SUM(Sep[[#This Row],[Late (14.00 - 20.00) ]]/60)</calculatedColumnFormula>
    </tableColumn>
    <tableColumn id="68" xr3:uid="{20E871B0-58E0-4102-A309-B558BF829A80}" name="Night (20:00 - 08:00)" dataDxfId="223">
      <calculatedColumnFormula>SUM(F13,I13,L13,O13,R13,U13,X13,AA13,AD13)+(Sep[[#This Row],[Baseline Assessment Score]]*60/3)</calculatedColumnFormula>
    </tableColumn>
    <tableColumn id="69" xr3:uid="{F5C5446E-830D-4DBA-80FC-25005002EA55}" name="Contact time per shift  " dataDxfId="222">
      <calculatedColumnFormula>SUM(Sep[[#This Row],[Night (20:00 - 08:00)]]/60)</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5DB9383-34A5-4D85-9850-9F732F4270BD}" name="Oct" displayName="Oct" ref="B12:AL36" totalsRowShown="0" headerRowDxfId="221" dataDxfId="219" headerRowBorderDxfId="220" tableBorderDxfId="218" totalsRowBorderDxfId="217">
  <autoFilter ref="B12:AL36" xr:uid="{1D945390-F999-42E1-8B90-F146155C7359}"/>
  <tableColumns count="37">
    <tableColumn id="1" xr3:uid="{499FA552-F589-492E-A119-C89261D4872E}" name="Adults Name" dataDxfId="216"/>
    <tableColumn id="70" xr3:uid="{B199547B-277B-4A2A-B3B2-B6514B73EE45}" name="Baseline Assessment Score" dataDxfId="215"/>
    <tableColumn id="3" xr3:uid="{EA801C1E-697A-4D33-97D3-E7104927F08F}" name="Early" dataDxfId="214"/>
    <tableColumn id="4" xr3:uid="{37525738-DE83-42F7-8D1B-13C2AEE0AC8F}" name="Late" dataDxfId="213"/>
    <tableColumn id="5" xr3:uid="{00F3AE31-F7CF-4CF9-9063-A31DA8684E35}" name="Night" dataDxfId="212"/>
    <tableColumn id="7" xr3:uid="{9029F1C9-2621-47A7-B21C-DF90F80262CA}" name="Early " dataDxfId="211"/>
    <tableColumn id="8" xr3:uid="{AB4A8A86-3502-4506-8F2E-19A67243D054}" name="Late " dataDxfId="210"/>
    <tableColumn id="9" xr3:uid="{775F91EC-BB1E-4400-BE4B-8B31440E985F}" name="Night " dataDxfId="209"/>
    <tableColumn id="11" xr3:uid="{AE58CA9E-412B-4C3A-9C79-CDAB3297C631}" name="Early  " dataDxfId="208"/>
    <tableColumn id="12" xr3:uid="{0DC730D4-411F-4CB4-83A9-4CE1DAB4EE3C}" name="Late  " dataDxfId="207"/>
    <tableColumn id="13" xr3:uid="{87B34E1F-D305-444D-9C42-51F3A24DE2FD}" name="Night  " dataDxfId="206"/>
    <tableColumn id="15" xr3:uid="{62887617-98FB-4933-89C5-9F58029AA7C4}" name="Early   " dataDxfId="205"/>
    <tableColumn id="16" xr3:uid="{DACCB69C-C28F-40C4-BCB4-DD8CD2073CE0}" name="Late   " dataDxfId="204"/>
    <tableColumn id="17" xr3:uid="{AB4CDB45-63D5-46BB-8766-6EC96FEBAEA4}" name="Night   " dataDxfId="203"/>
    <tableColumn id="19" xr3:uid="{9C21F1B4-781C-4B29-90F7-1B43C9FA8061}" name="Early    " dataDxfId="202"/>
    <tableColumn id="20" xr3:uid="{4681ECA9-C5D3-40EA-A89E-980C39F219DA}" name="Late    " dataDxfId="201"/>
    <tableColumn id="21" xr3:uid="{99E45212-9FC3-474E-9DF4-114E742177AA}" name="Night    " dataDxfId="200"/>
    <tableColumn id="23" xr3:uid="{CC150DE6-A8FE-4237-A232-09878F6164E9}" name="Early     " dataDxfId="199"/>
    <tableColumn id="24" xr3:uid="{AB6E1CCD-95A0-44CA-A877-8B0FE3086F74}" name="Late     " dataDxfId="198"/>
    <tableColumn id="25" xr3:uid="{E91290A1-D15F-4D19-ADF9-7FD4C3593915}" name="Night     " dataDxfId="197"/>
    <tableColumn id="27" xr3:uid="{EAA5510B-854C-4273-853C-677F50E31A3A}" name="Early      " dataDxfId="196"/>
    <tableColumn id="28" xr3:uid="{49A74BD0-64B8-405A-B839-C301B8DE24C8}" name="Late      " dataDxfId="195"/>
    <tableColumn id="29" xr3:uid="{859F366E-B9DD-473F-9516-F814E64A853D}" name="Night      " dataDxfId="194"/>
    <tableColumn id="31" xr3:uid="{D999182D-C226-451B-AEAC-2CA4C7B35454}" name="Early       " dataDxfId="193"/>
    <tableColumn id="32" xr3:uid="{0748CC7B-70C5-4218-B9AF-9A2750897655}" name="Late       " dataDxfId="192"/>
    <tableColumn id="33" xr3:uid="{BD91871A-FD8C-4EF7-BAB0-2E9993334F74}" name="Night       " dataDxfId="191"/>
    <tableColumn id="35" xr3:uid="{FF6B08E5-90DE-4B9F-A6BB-1504B2A3256E}" name="Early        " dataDxfId="190"/>
    <tableColumn id="36" xr3:uid="{2914B1D2-FF7C-4A72-9EE7-682207738150}" name="Late        " dataDxfId="189"/>
    <tableColumn id="37" xr3:uid="{A459AD8A-A046-4A77-946F-04DEF04469B5}" name="Night        " dataDxfId="188"/>
    <tableColumn id="62" xr3:uid="{D77F373C-2686-43B8-B5F7-C522891DDD35}" name="Total Mins over 24 hr" dataDxfId="187">
      <calculatedColumnFormula>SUM(Oct[[#This Row],[Early]:[Night        ]])+(Oct[[#This Row],[Baseline Assessment Score]]*60)</calculatedColumnFormula>
    </tableColumn>
    <tableColumn id="63" xr3:uid="{10905782-CB25-4A6C-B657-003553C7FB23}" name="Actual contact time (hours)" dataDxfId="186">
      <calculatedColumnFormula>Oct[[#This Row],[Total Mins over 24 hr]]/60</calculatedColumnFormula>
    </tableColumn>
    <tableColumn id="64" xr3:uid="{BDD85520-57F9-4499-9F64-C76B94A2A913}" name="Early (08.00 - 14.00) " dataDxfId="185">
      <calculatedColumnFormula>SUM(D13,G13,J13,M13,P13,S13,V13,Y13,AB13)+(Oct[[#This Row],[Baseline Assessment Score]]*60/3)</calculatedColumnFormula>
    </tableColumn>
    <tableColumn id="65" xr3:uid="{EBA3E296-A0AC-4479-A97F-5ADE58601BC0}" name="Contact time per shift" dataDxfId="184">
      <calculatedColumnFormula>SUM(Oct[[#This Row],[Early (08.00 - 14.00) ]]/60)</calculatedColumnFormula>
    </tableColumn>
    <tableColumn id="66" xr3:uid="{CD7AE99C-3E3F-4E6E-8912-CDBA7CEC68F0}" name="Late (14.00 - 20.00) " dataDxfId="183">
      <calculatedColumnFormula>SUM(E13,H13,K13,N13,Q13,T13,W13,Z13,AC13)+(Oct[[#This Row],[Baseline Assessment Score]]*60/3)</calculatedColumnFormula>
    </tableColumn>
    <tableColumn id="67" xr3:uid="{6B8C18FA-ECA3-4FE9-9504-2C3902693CEB}" name="Contact time per shift " dataDxfId="182">
      <calculatedColumnFormula>SUM(Oct[[#This Row],[Late (14.00 - 20.00) ]]/60)</calculatedColumnFormula>
    </tableColumn>
    <tableColumn id="68" xr3:uid="{19EFAFB0-4B2F-4B1F-9466-36B7D17C8239}" name="Night (20:00 - 08:00)" dataDxfId="181">
      <calculatedColumnFormula>SUM(F13,I13,L13,O13,R13,U13,X13,AA13,AD13)+(Oct[[#This Row],[Baseline Assessment Score]]*60/3)</calculatedColumnFormula>
    </tableColumn>
    <tableColumn id="69" xr3:uid="{C0CB65E5-E49D-4CB8-8058-B3B3345877BB}" name="Contact time per shift  " dataDxfId="180">
      <calculatedColumnFormula>SUM(Oct[[#This Row],[Night (20:00 - 08:00)]]/60)</calculatedColumnFormula>
    </tableColumn>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C5E4B6A-BA50-4580-BA3A-94B910E3322E}" name="Nov" displayName="Nov" ref="B12:AL36" totalsRowShown="0" headerRowDxfId="179" dataDxfId="177" headerRowBorderDxfId="178" tableBorderDxfId="176" totalsRowBorderDxfId="175">
  <autoFilter ref="B12:AL36" xr:uid="{1D945390-F999-42E1-8B90-F146155C7359}"/>
  <tableColumns count="37">
    <tableColumn id="1" xr3:uid="{4C9C2F1C-D877-488A-A621-11905383ACBB}" name="Adults Name" dataDxfId="174"/>
    <tableColumn id="70" xr3:uid="{F820A44F-D63C-41F6-9C34-5805D10295EE}" name="Baseline Assessment Score" dataDxfId="173"/>
    <tableColumn id="3" xr3:uid="{EDB8B80F-3106-4C5C-B30D-6A0781C723F2}" name="Early" dataDxfId="172"/>
    <tableColumn id="4" xr3:uid="{843DEF48-F0D8-4FF4-B104-A04AC560D765}" name="Late" dataDxfId="171"/>
    <tableColumn id="5" xr3:uid="{CA39E38C-0C1C-4C75-BC2B-5957AD1C6736}" name="Night" dataDxfId="170"/>
    <tableColumn id="7" xr3:uid="{9E132B04-5780-42BC-B5E1-AF2C89B08DE8}" name="Early " dataDxfId="169"/>
    <tableColumn id="8" xr3:uid="{904AE2B9-B3BC-4729-B9F6-948428501FD2}" name="Late " dataDxfId="168"/>
    <tableColumn id="9" xr3:uid="{B16E035A-1342-4180-9E0F-10F626403B0D}" name="Night " dataDxfId="167"/>
    <tableColumn id="11" xr3:uid="{9E1EF020-9304-4029-8F19-DC137763886D}" name="Early  " dataDxfId="166"/>
    <tableColumn id="12" xr3:uid="{1BD8AB35-62F2-4692-8B5A-F31F89CFD467}" name="Late  " dataDxfId="165"/>
    <tableColumn id="13" xr3:uid="{72B02E03-C60A-43F9-AB53-25CC3E05D46D}" name="Night  " dataDxfId="164"/>
    <tableColumn id="15" xr3:uid="{8CAFA9E4-10FB-4A89-8DAC-7F2A9FCC7986}" name="Early   " dataDxfId="163"/>
    <tableColumn id="16" xr3:uid="{2CA37AFA-7815-4892-ABF6-D752F1857D94}" name="Late   " dataDxfId="162"/>
    <tableColumn id="17" xr3:uid="{BE89E434-8657-4574-8017-6FA00B5019E8}" name="Night   " dataDxfId="161"/>
    <tableColumn id="19" xr3:uid="{542D4BE8-8FB8-4837-B1C1-2975E6B34D97}" name="Early    " dataDxfId="160"/>
    <tableColumn id="20" xr3:uid="{F41DB8D1-69D7-4EE4-994A-BD8BC72A9C65}" name="Late    " dataDxfId="159"/>
    <tableColumn id="21" xr3:uid="{FD409875-CA75-44E3-BD07-B35AA358A96B}" name="Night    " dataDxfId="158"/>
    <tableColumn id="23" xr3:uid="{A894C481-6EF8-4990-A2BC-EC230E1A3E0E}" name="Early     " dataDxfId="157"/>
    <tableColumn id="24" xr3:uid="{084C3EC2-FC2E-48E4-A8CC-4D8F729E46CE}" name="Late     " dataDxfId="156"/>
    <tableColumn id="25" xr3:uid="{72D499FB-5198-4AF9-90C4-82702428E200}" name="Night     " dataDxfId="155"/>
    <tableColumn id="27" xr3:uid="{2CA085CA-86BB-49C0-B523-1182C289E96F}" name="Early      " dataDxfId="154"/>
    <tableColumn id="28" xr3:uid="{5E9E3671-D2B1-45FA-9333-753D077B8189}" name="Late      " dataDxfId="153"/>
    <tableColumn id="29" xr3:uid="{21C285B0-D84E-4B62-8E6B-466717AF9103}" name="Night      " dataDxfId="152"/>
    <tableColumn id="31" xr3:uid="{C8226E4F-5497-4A6C-BE99-C7DD0D2495DB}" name="Early       " dataDxfId="151"/>
    <tableColumn id="32" xr3:uid="{365DE8DC-566D-419F-949E-5677A5B6484F}" name="Late       " dataDxfId="150"/>
    <tableColumn id="33" xr3:uid="{C654ACFF-0318-4607-89CA-99BDE5308A7B}" name="Night       " dataDxfId="149"/>
    <tableColumn id="35" xr3:uid="{CA229291-AFD4-430C-A424-BCDA6FC44A1F}" name="Early        " dataDxfId="148"/>
    <tableColumn id="36" xr3:uid="{AA547E07-FD2E-4DB7-8EF6-A2EE02DD03CF}" name="Late        " dataDxfId="147"/>
    <tableColumn id="37" xr3:uid="{33C4EF88-AA01-4A13-90FE-D6C06834226A}" name="Night        " dataDxfId="146"/>
    <tableColumn id="62" xr3:uid="{ADD5AC2F-7781-42CF-8B5A-0D0E840375A9}" name="Total Mins over 24 hr" dataDxfId="145">
      <calculatedColumnFormula>SUM(Nov[[#This Row],[Early]:[Night        ]])+(Nov[[#This Row],[Baseline Assessment Score]]*60)</calculatedColumnFormula>
    </tableColumn>
    <tableColumn id="63" xr3:uid="{49F2D10E-331E-474B-B943-C48D51970AEA}" name="Actual contact time (hours)" dataDxfId="144">
      <calculatedColumnFormula>Nov[[#This Row],[Total Mins over 24 hr]]/60</calculatedColumnFormula>
    </tableColumn>
    <tableColumn id="64" xr3:uid="{CC0083D2-FFAE-4942-B990-070D0D35958B}" name="Early (08.00 - 14.00) " dataDxfId="143">
      <calculatedColumnFormula>SUM(D13,G13,J13,M13,P13,S13,V13,Y13,AB13)+(Nov[[#This Row],[Baseline Assessment Score]]*60/3)</calculatedColumnFormula>
    </tableColumn>
    <tableColumn id="65" xr3:uid="{630D5AAA-5DC1-4E7A-8C22-062DC2CEB5B4}" name="Contact time per shift" dataDxfId="142">
      <calculatedColumnFormula>SUM(Nov[[#This Row],[Early (08.00 - 14.00) ]]/60)</calculatedColumnFormula>
    </tableColumn>
    <tableColumn id="66" xr3:uid="{25DE2CE6-A41D-4814-9C8E-C33536038636}" name="Late (14.00 - 20.00) " dataDxfId="141">
      <calculatedColumnFormula>SUM(E13,H13,K13,N13,Q13,T13,W13,Z13,AC13)+(Nov[[#This Row],[Baseline Assessment Score]]*60/3)</calculatedColumnFormula>
    </tableColumn>
    <tableColumn id="67" xr3:uid="{047E1214-0507-4481-B5AA-C5B9BBF54D13}" name="Contact time per shift " dataDxfId="140">
      <calculatedColumnFormula>SUM(Nov[[#This Row],[Late (14.00 - 20.00) ]]/60)</calculatedColumnFormula>
    </tableColumn>
    <tableColumn id="68" xr3:uid="{221A29B8-F0B0-4E02-9FCF-660895337ADC}" name="Night (20:00 - 08:00)" dataDxfId="139">
      <calculatedColumnFormula>SUM(F13,I13,L13,O13,R13,U13,X13,AA13,AD13)+(Nov[[#This Row],[Baseline Assessment Score]]*60/3)</calculatedColumnFormula>
    </tableColumn>
    <tableColumn id="69" xr3:uid="{43A63717-B388-45DB-B147-83B33914D9DB}" name="Contact time per shift  " dataDxfId="138">
      <calculatedColumnFormula>SUM(Nov[[#This Row],[Night (20:00 - 08:00)]]/60)</calculatedColumnFormula>
    </tableColumn>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6C19FA5-7592-4D1C-94E1-B6134679E855}" name="Dec" displayName="Dec" ref="B12:AL36" totalsRowShown="0" headerRowDxfId="137" dataDxfId="135" headerRowBorderDxfId="136" tableBorderDxfId="134" totalsRowBorderDxfId="133">
  <autoFilter ref="B12:AL36" xr:uid="{1D945390-F999-42E1-8B90-F146155C7359}"/>
  <tableColumns count="37">
    <tableColumn id="1" xr3:uid="{75C41465-DEE9-4603-9B00-0249114B0C61}" name="Adults Name" dataDxfId="132"/>
    <tableColumn id="70" xr3:uid="{E0C6B08B-7725-45C2-94D0-0473BD6166BD}" name="Baseline Assessment Score" dataDxfId="131"/>
    <tableColumn id="3" xr3:uid="{FD751DBF-0081-420D-8AC8-882AE7C24E79}" name="Early" dataDxfId="130"/>
    <tableColumn id="4" xr3:uid="{123FF539-C446-439D-A1BF-90E281BAF1E7}" name="Late" dataDxfId="129"/>
    <tableColumn id="5" xr3:uid="{8E0EF73C-363F-4BA4-B2EB-E36F211181E9}" name="Night" dataDxfId="128"/>
    <tableColumn id="7" xr3:uid="{2C674023-655C-4BE6-A2A9-21665878DCCB}" name="Early " dataDxfId="127"/>
    <tableColumn id="8" xr3:uid="{15057463-27C1-4533-A12D-94D44EA2F391}" name="Late " dataDxfId="126"/>
    <tableColumn id="9" xr3:uid="{6BA155E8-7104-4B88-A016-8263D3F02A1D}" name="Night " dataDxfId="125"/>
    <tableColumn id="11" xr3:uid="{C86B5FE3-30AF-4B03-8303-9562D89123A7}" name="Early  " dataDxfId="124"/>
    <tableColumn id="12" xr3:uid="{47E26345-B893-4941-B3B1-970FA862B5AE}" name="Late  " dataDxfId="123"/>
    <tableColumn id="13" xr3:uid="{58C4B159-8D32-4322-8140-29594FAE056A}" name="Night  " dataDxfId="122"/>
    <tableColumn id="15" xr3:uid="{63147A85-5E5A-48D0-98D8-DBB6373DDE51}" name="Early   " dataDxfId="121"/>
    <tableColumn id="16" xr3:uid="{2C8166DD-2632-4F92-A07B-A3EB6E3DC3FE}" name="Late   " dataDxfId="120"/>
    <tableColumn id="17" xr3:uid="{3A88F69E-8674-4D41-83E6-5EBA11FA2467}" name="Night   " dataDxfId="119"/>
    <tableColumn id="19" xr3:uid="{E6F917A6-F1D3-41D8-8FA8-DF072E58F27B}" name="Early    " dataDxfId="118"/>
    <tableColumn id="20" xr3:uid="{37E4F15A-E92F-4F46-B4B7-9D8631090760}" name="Late    " dataDxfId="117"/>
    <tableColumn id="21" xr3:uid="{92E81812-747A-46F4-A2E5-814CE07BE1CF}" name="Night    " dataDxfId="116"/>
    <tableColumn id="23" xr3:uid="{A6E453BB-E54A-44CB-8299-71576FDA6BD4}" name="Early     " dataDxfId="115"/>
    <tableColumn id="24" xr3:uid="{5B242156-8D99-4193-A296-5A52ED4B0EBD}" name="Late     " dataDxfId="114"/>
    <tableColumn id="25" xr3:uid="{AE45428D-2B2D-44AF-BA76-1001D14DD57E}" name="Night     " dataDxfId="113"/>
    <tableColumn id="27" xr3:uid="{897CACCE-6ED4-4230-9D53-4D2C3078588C}" name="Early      " dataDxfId="112"/>
    <tableColumn id="28" xr3:uid="{916F0674-B728-41CB-B4DB-68FC5962AC8E}" name="Late      " dataDxfId="111"/>
    <tableColumn id="29" xr3:uid="{2B08DE59-DA38-42E8-82CD-9BB9FBA9CC0B}" name="Night      " dataDxfId="110"/>
    <tableColumn id="31" xr3:uid="{34A79BD8-6E67-453F-A244-CF3C13BACE4A}" name="Early       " dataDxfId="109"/>
    <tableColumn id="32" xr3:uid="{6B787603-892E-4030-987C-8DF27F5CD6DB}" name="Late       " dataDxfId="108"/>
    <tableColumn id="33" xr3:uid="{E1152F61-6199-4202-9F4A-288D315DC058}" name="Night       " dataDxfId="107"/>
    <tableColumn id="35" xr3:uid="{29DAB6C8-5B8F-4851-973C-A9FD5789AED6}" name="Early        " dataDxfId="106"/>
    <tableColumn id="36" xr3:uid="{F09B3F24-DC91-4F99-961D-925CD52AF540}" name="Late        " dataDxfId="105"/>
    <tableColumn id="37" xr3:uid="{0BAB21C1-67BF-41E5-858C-85C72E1EC6B3}" name="Night        " dataDxfId="104"/>
    <tableColumn id="62" xr3:uid="{FA5403F9-3E0E-49A1-9A6F-E715AF89A5C5}" name="Total Mins over 24 hr" dataDxfId="103">
      <calculatedColumnFormula>SUM(Dec[[#This Row],[Early]:[Night        ]])+(Dec[[#This Row],[Baseline Assessment Score]]*60)</calculatedColumnFormula>
    </tableColumn>
    <tableColumn id="63" xr3:uid="{3D0A624C-63F5-4301-8652-D5DF8BBF0AE6}" name="Actual contact time (hours)" dataDxfId="102">
      <calculatedColumnFormula>Dec[[#This Row],[Total Mins over 24 hr]]/60</calculatedColumnFormula>
    </tableColumn>
    <tableColumn id="64" xr3:uid="{1709493C-5B3A-47C9-BABC-4A639A7653E6}" name="Early (08.00 - 14.00) " dataDxfId="101">
      <calculatedColumnFormula>SUM(D13,G13,J13,M13,P13,S13,V13,Y13,AB13)+(Dec[[#This Row],[Baseline Assessment Score]]*60/3)</calculatedColumnFormula>
    </tableColumn>
    <tableColumn id="65" xr3:uid="{1951E6A8-8247-4283-9443-B2D9D28AF0E2}" name="Contact time per shift" dataDxfId="100">
      <calculatedColumnFormula>SUM(Dec[[#This Row],[Early (08.00 - 14.00) ]]/60)</calculatedColumnFormula>
    </tableColumn>
    <tableColumn id="66" xr3:uid="{92C6AF72-0C99-42CE-BA02-B4AA4CE4FDEE}" name="Late (14.00 - 20.00) " dataDxfId="99">
      <calculatedColumnFormula>SUM(E13,H13,K13,N13,Q13,T13,W13,Z13,AC13)+(Dec[[#This Row],[Baseline Assessment Score]]*60/3)</calculatedColumnFormula>
    </tableColumn>
    <tableColumn id="67" xr3:uid="{A718CBA0-E8B2-4E16-AD46-7FD337A3060F}" name="Contact time per shift " dataDxfId="98">
      <calculatedColumnFormula>SUM(Dec[[#This Row],[Late (14.00 - 20.00) ]]/60)</calculatedColumnFormula>
    </tableColumn>
    <tableColumn id="68" xr3:uid="{F97F453D-D2BF-4CA6-9337-0BF8C84D8960}" name="Night (20:00 - 08:00)" dataDxfId="97">
      <calculatedColumnFormula>SUM(F13,I13,L13,O13,R13,U13,X13,AA13,AD13)+(Dec[[#This Row],[Baseline Assessment Score]]*60/3)</calculatedColumnFormula>
    </tableColumn>
    <tableColumn id="69" xr3:uid="{F5000992-C7C1-4DC8-8071-4AE19AF9BEE7}" name="Contact time per shift  " dataDxfId="96">
      <calculatedColumnFormula>SUM(Dec[[#This Row],[Night (20:00 - 08:00)]]/60)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2.bin" /></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printerSettings" Target="../printerSettings/printerSettings3.bin" /></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printerSettings" Target="../printerSettings/printerSettings4.bin" /></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printerSettings" Target="../printerSettings/printerSettings5.bin" /></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 /><Relationship Id="rId1" Type="http://schemas.openxmlformats.org/officeDocument/2006/relationships/printerSettings" Target="../printerSettings/printerSettings6.bin" /></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printerSettings" Target="../printerSettings/printerSettings7.bin" /></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 /><Relationship Id="rId1" Type="http://schemas.openxmlformats.org/officeDocument/2006/relationships/printerSettings" Target="../printerSettings/printerSettings8.bin" /></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 /><Relationship Id="rId1" Type="http://schemas.openxmlformats.org/officeDocument/2006/relationships/printerSettings" Target="../printerSettings/printerSettings9.bin" /></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 /><Relationship Id="rId1" Type="http://schemas.openxmlformats.org/officeDocument/2006/relationships/printerSettings" Target="../printerSettings/printerSettings10.bin" /></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 /><Relationship Id="rId1" Type="http://schemas.openxmlformats.org/officeDocument/2006/relationships/printerSettings" Target="../printerSettings/printerSettings11.bin" /></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 /><Relationship Id="rId1" Type="http://schemas.openxmlformats.org/officeDocument/2006/relationships/printerSettings" Target="../printerSettings/printerSettings12.bin" /></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 /><Relationship Id="rId1" Type="http://schemas.openxmlformats.org/officeDocument/2006/relationships/printerSettings" Target="../printerSettings/printerSettings1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5D9CA-DB64-4B1F-AC59-6F322617572B}">
  <sheetPr>
    <pageSetUpPr autoPageBreaks="0"/>
  </sheetPr>
  <dimension ref="B1:Y4"/>
  <sheetViews>
    <sheetView tabSelected="1" zoomScale="80" zoomScaleNormal="80" zoomScaleSheetLayoutView="90" workbookViewId="0">
      <selection activeCell="B3" sqref="B3:Y4"/>
    </sheetView>
  </sheetViews>
  <sheetFormatPr defaultRowHeight="15" x14ac:dyDescent="0.2"/>
  <cols>
    <col min="1" max="1" width="6.859375" customWidth="1"/>
  </cols>
  <sheetData>
    <row r="1" spans="2:25" ht="15.75" thickBot="1" x14ac:dyDescent="0.25"/>
    <row r="2" spans="2:25" ht="15.75" thickBot="1" x14ac:dyDescent="0.25">
      <c r="B2" s="147" t="s">
        <v>135</v>
      </c>
      <c r="C2" s="148"/>
      <c r="D2" s="148"/>
      <c r="E2" s="148"/>
      <c r="F2" s="148"/>
      <c r="G2" s="148"/>
      <c r="H2" s="148"/>
      <c r="I2" s="148"/>
      <c r="J2" s="148"/>
      <c r="K2" s="148"/>
      <c r="L2" s="148"/>
      <c r="M2" s="148"/>
      <c r="N2" s="148"/>
      <c r="O2" s="148"/>
      <c r="P2" s="148"/>
      <c r="Q2" s="148"/>
      <c r="R2" s="148"/>
      <c r="S2" s="148"/>
      <c r="T2" s="148"/>
      <c r="U2" s="148"/>
      <c r="V2" s="148"/>
      <c r="W2" s="148"/>
      <c r="X2" s="148"/>
      <c r="Y2" s="149"/>
    </row>
    <row r="3" spans="2:25" ht="333.75" customHeight="1" x14ac:dyDescent="0.2">
      <c r="B3" s="141" t="s">
        <v>136</v>
      </c>
      <c r="C3" s="142"/>
      <c r="D3" s="142"/>
      <c r="E3" s="142"/>
      <c r="F3" s="142"/>
      <c r="G3" s="142"/>
      <c r="H3" s="142"/>
      <c r="I3" s="142"/>
      <c r="J3" s="142"/>
      <c r="K3" s="142"/>
      <c r="L3" s="142"/>
      <c r="M3" s="142"/>
      <c r="N3" s="142"/>
      <c r="O3" s="142"/>
      <c r="P3" s="142"/>
      <c r="Q3" s="142"/>
      <c r="R3" s="142"/>
      <c r="S3" s="142"/>
      <c r="T3" s="142"/>
      <c r="U3" s="142"/>
      <c r="V3" s="142"/>
      <c r="W3" s="142"/>
      <c r="X3" s="142"/>
      <c r="Y3" s="143"/>
    </row>
    <row r="4" spans="2:25" ht="320.25" customHeight="1" thickBot="1" x14ac:dyDescent="0.25">
      <c r="B4" s="144"/>
      <c r="C4" s="145"/>
      <c r="D4" s="145"/>
      <c r="E4" s="145"/>
      <c r="F4" s="145"/>
      <c r="G4" s="145"/>
      <c r="H4" s="145"/>
      <c r="I4" s="145"/>
      <c r="J4" s="145"/>
      <c r="K4" s="145"/>
      <c r="L4" s="145"/>
      <c r="M4" s="145"/>
      <c r="N4" s="145"/>
      <c r="O4" s="145"/>
      <c r="P4" s="145"/>
      <c r="Q4" s="145"/>
      <c r="R4" s="145"/>
      <c r="S4" s="145"/>
      <c r="T4" s="145"/>
      <c r="U4" s="145"/>
      <c r="V4" s="145"/>
      <c r="W4" s="145"/>
      <c r="X4" s="145"/>
      <c r="Y4" s="146"/>
    </row>
  </sheetData>
  <mergeCells count="2">
    <mergeCell ref="B3:Y4"/>
    <mergeCell ref="B2:Y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E703-3D2E-4B62-8AF3-8D53C2380686}">
  <dimension ref="B2:Q40"/>
  <sheetViews>
    <sheetView topLeftCell="A20" zoomScale="80" zoomScaleNormal="80" workbookViewId="0">
      <selection activeCell="K31" sqref="K31"/>
    </sheetView>
  </sheetViews>
  <sheetFormatPr defaultRowHeight="15" x14ac:dyDescent="0.2"/>
  <cols>
    <col min="1" max="1" width="9.14453125" customWidth="1"/>
    <col min="2" max="2" width="19.37109375" customWidth="1"/>
    <col min="3" max="3" width="74.79296875" style="2" customWidth="1"/>
    <col min="4" max="4" width="17.75390625" customWidth="1"/>
    <col min="6" max="9" width="9.14453125" customWidth="1"/>
  </cols>
  <sheetData>
    <row r="2" spans="2:17" x14ac:dyDescent="0.2">
      <c r="B2" s="168" t="s">
        <v>93</v>
      </c>
      <c r="C2" s="168"/>
      <c r="D2" s="168"/>
      <c r="E2" s="22"/>
      <c r="F2" s="22"/>
      <c r="G2" s="22"/>
      <c r="H2" s="22"/>
      <c r="I2" s="22"/>
      <c r="J2" s="22"/>
    </row>
    <row r="3" spans="2:17" ht="66.75" customHeight="1" x14ac:dyDescent="0.2">
      <c r="B3" s="165" t="s">
        <v>54</v>
      </c>
      <c r="C3" s="166"/>
      <c r="D3" s="167"/>
      <c r="E3" s="26"/>
      <c r="F3" s="26"/>
      <c r="G3" s="26"/>
      <c r="H3" s="26"/>
      <c r="I3" s="26"/>
      <c r="J3" s="26"/>
      <c r="K3" s="26"/>
      <c r="L3" s="26"/>
      <c r="M3" s="26"/>
      <c r="N3" s="26"/>
      <c r="O3" s="26"/>
      <c r="P3" s="26"/>
      <c r="Q3" s="26"/>
    </row>
    <row r="4" spans="2:17" ht="15.75" thickBot="1" x14ac:dyDescent="0.25">
      <c r="B4" s="1"/>
      <c r="C4" s="4"/>
      <c r="D4" s="1"/>
      <c r="E4" s="1"/>
      <c r="F4" s="1"/>
      <c r="G4" s="1"/>
      <c r="H4" s="1"/>
      <c r="I4" s="1"/>
      <c r="J4" s="1"/>
    </row>
    <row r="5" spans="2:17" ht="17.25" customHeight="1" thickBot="1" x14ac:dyDescent="0.25">
      <c r="B5" s="58" t="s">
        <v>55</v>
      </c>
      <c r="C5" s="59" t="s">
        <v>92</v>
      </c>
      <c r="D5" s="60" t="s">
        <v>56</v>
      </c>
      <c r="E5" s="1"/>
      <c r="F5" s="1"/>
      <c r="G5" s="1"/>
      <c r="H5" s="1"/>
      <c r="I5" s="1"/>
      <c r="J5" s="1"/>
    </row>
    <row r="6" spans="2:17" ht="15" customHeight="1" x14ac:dyDescent="0.2">
      <c r="B6" s="162" t="s">
        <v>57</v>
      </c>
      <c r="C6" s="65" t="s">
        <v>58</v>
      </c>
      <c r="D6" s="169">
        <v>1</v>
      </c>
      <c r="E6" s="1"/>
      <c r="F6" s="1"/>
      <c r="G6" s="1"/>
      <c r="H6" s="1"/>
      <c r="I6" s="1"/>
      <c r="J6" s="1"/>
    </row>
    <row r="7" spans="2:17" ht="15" customHeight="1" x14ac:dyDescent="0.2">
      <c r="B7" s="163"/>
      <c r="C7" s="24" t="s">
        <v>59</v>
      </c>
      <c r="D7" s="170"/>
      <c r="E7" s="1"/>
      <c r="F7" s="1"/>
      <c r="G7" s="1"/>
      <c r="H7" s="1"/>
      <c r="I7" s="1"/>
      <c r="J7" s="1"/>
    </row>
    <row r="8" spans="2:17" ht="15" customHeight="1" x14ac:dyDescent="0.2">
      <c r="B8" s="163"/>
      <c r="C8" s="24" t="s">
        <v>60</v>
      </c>
      <c r="D8" s="170"/>
      <c r="E8" s="1"/>
      <c r="F8" s="1"/>
      <c r="G8" s="1"/>
      <c r="H8" s="1"/>
      <c r="I8" s="1"/>
      <c r="J8" s="1"/>
    </row>
    <row r="9" spans="2:17" x14ac:dyDescent="0.2">
      <c r="B9" s="163"/>
      <c r="C9" s="24" t="s">
        <v>61</v>
      </c>
      <c r="D9" s="170"/>
    </row>
    <row r="10" spans="2:17" x14ac:dyDescent="0.2">
      <c r="B10" s="163"/>
      <c r="C10" s="24" t="s">
        <v>62</v>
      </c>
      <c r="D10" s="170"/>
    </row>
    <row r="11" spans="2:17" x14ac:dyDescent="0.2">
      <c r="B11" s="163"/>
      <c r="C11" s="24" t="s">
        <v>63</v>
      </c>
      <c r="D11" s="170"/>
    </row>
    <row r="12" spans="2:17" x14ac:dyDescent="0.2">
      <c r="B12" s="163"/>
      <c r="C12" s="24" t="s">
        <v>64</v>
      </c>
      <c r="D12" s="170"/>
    </row>
    <row r="13" spans="2:17" ht="15.75" thickBot="1" x14ac:dyDescent="0.25">
      <c r="B13" s="164"/>
      <c r="C13" s="66" t="s">
        <v>65</v>
      </c>
      <c r="D13" s="171"/>
    </row>
    <row r="14" spans="2:17" x14ac:dyDescent="0.2">
      <c r="B14" s="172" t="s">
        <v>66</v>
      </c>
      <c r="C14" s="62" t="s">
        <v>58</v>
      </c>
      <c r="D14" s="175">
        <v>2</v>
      </c>
    </row>
    <row r="15" spans="2:17" x14ac:dyDescent="0.2">
      <c r="B15" s="173"/>
      <c r="C15" s="44" t="s">
        <v>67</v>
      </c>
      <c r="D15" s="176"/>
    </row>
    <row r="16" spans="2:17" x14ac:dyDescent="0.2">
      <c r="B16" s="173"/>
      <c r="C16" s="44" t="s">
        <v>68</v>
      </c>
      <c r="D16" s="176"/>
    </row>
    <row r="17" spans="2:4" x14ac:dyDescent="0.2">
      <c r="B17" s="173"/>
      <c r="C17" s="44" t="s">
        <v>61</v>
      </c>
      <c r="D17" s="176"/>
    </row>
    <row r="18" spans="2:4" x14ac:dyDescent="0.2">
      <c r="B18" s="173"/>
      <c r="C18" s="44" t="s">
        <v>69</v>
      </c>
      <c r="D18" s="176"/>
    </row>
    <row r="19" spans="2:4" x14ac:dyDescent="0.2">
      <c r="B19" s="173"/>
      <c r="C19" s="44" t="s">
        <v>70</v>
      </c>
      <c r="D19" s="176"/>
    </row>
    <row r="20" spans="2:4" x14ac:dyDescent="0.2">
      <c r="B20" s="173"/>
      <c r="C20" s="44" t="s">
        <v>71</v>
      </c>
      <c r="D20" s="176"/>
    </row>
    <row r="21" spans="2:4" x14ac:dyDescent="0.2">
      <c r="B21" s="173"/>
      <c r="C21" s="44" t="s">
        <v>72</v>
      </c>
      <c r="D21" s="176"/>
    </row>
    <row r="22" spans="2:4" ht="15.75" thickBot="1" x14ac:dyDescent="0.25">
      <c r="B22" s="174"/>
      <c r="C22" s="57" t="s">
        <v>73</v>
      </c>
      <c r="D22" s="177"/>
    </row>
    <row r="23" spans="2:4" x14ac:dyDescent="0.2">
      <c r="B23" s="150" t="s">
        <v>74</v>
      </c>
      <c r="C23" s="63" t="s">
        <v>58</v>
      </c>
      <c r="D23" s="153">
        <v>3</v>
      </c>
    </row>
    <row r="24" spans="2:4" x14ac:dyDescent="0.2">
      <c r="B24" s="151"/>
      <c r="C24" s="25" t="s">
        <v>75</v>
      </c>
      <c r="D24" s="154"/>
    </row>
    <row r="25" spans="2:4" x14ac:dyDescent="0.2">
      <c r="B25" s="151"/>
      <c r="C25" s="25" t="s">
        <v>76</v>
      </c>
      <c r="D25" s="154"/>
    </row>
    <row r="26" spans="2:4" x14ac:dyDescent="0.2">
      <c r="B26" s="151"/>
      <c r="C26" s="25" t="s">
        <v>77</v>
      </c>
      <c r="D26" s="154"/>
    </row>
    <row r="27" spans="2:4" x14ac:dyDescent="0.2">
      <c r="B27" s="151"/>
      <c r="C27" s="25" t="s">
        <v>78</v>
      </c>
      <c r="D27" s="154"/>
    </row>
    <row r="28" spans="2:4" x14ac:dyDescent="0.2">
      <c r="B28" s="151"/>
      <c r="C28" s="25" t="s">
        <v>79</v>
      </c>
      <c r="D28" s="154"/>
    </row>
    <row r="29" spans="2:4" x14ac:dyDescent="0.2">
      <c r="B29" s="151"/>
      <c r="C29" s="25" t="s">
        <v>80</v>
      </c>
      <c r="D29" s="154"/>
    </row>
    <row r="30" spans="2:4" x14ac:dyDescent="0.2">
      <c r="B30" s="151"/>
      <c r="C30" s="25" t="s">
        <v>81</v>
      </c>
      <c r="D30" s="154"/>
    </row>
    <row r="31" spans="2:4" ht="15.75" thickBot="1" x14ac:dyDescent="0.25">
      <c r="B31" s="152"/>
      <c r="C31" s="64" t="s">
        <v>82</v>
      </c>
      <c r="D31" s="155"/>
    </row>
    <row r="32" spans="2:4" x14ac:dyDescent="0.2">
      <c r="B32" s="156" t="s">
        <v>83</v>
      </c>
      <c r="C32" s="61" t="s">
        <v>58</v>
      </c>
      <c r="D32" s="159">
        <v>4</v>
      </c>
    </row>
    <row r="33" spans="2:4" x14ac:dyDescent="0.2">
      <c r="B33" s="157"/>
      <c r="C33" s="23" t="s">
        <v>84</v>
      </c>
      <c r="D33" s="160"/>
    </row>
    <row r="34" spans="2:4" x14ac:dyDescent="0.2">
      <c r="B34" s="157"/>
      <c r="C34" s="23" t="s">
        <v>85</v>
      </c>
      <c r="D34" s="160"/>
    </row>
    <row r="35" spans="2:4" x14ac:dyDescent="0.2">
      <c r="B35" s="157"/>
      <c r="C35" s="23" t="s">
        <v>86</v>
      </c>
      <c r="D35" s="160"/>
    </row>
    <row r="36" spans="2:4" x14ac:dyDescent="0.2">
      <c r="B36" s="157"/>
      <c r="C36" s="23" t="s">
        <v>87</v>
      </c>
      <c r="D36" s="160"/>
    </row>
    <row r="37" spans="2:4" x14ac:dyDescent="0.2">
      <c r="B37" s="157"/>
      <c r="C37" s="23" t="s">
        <v>88</v>
      </c>
      <c r="D37" s="160"/>
    </row>
    <row r="38" spans="2:4" x14ac:dyDescent="0.2">
      <c r="B38" s="157"/>
      <c r="C38" s="23" t="s">
        <v>89</v>
      </c>
      <c r="D38" s="160"/>
    </row>
    <row r="39" spans="2:4" x14ac:dyDescent="0.2">
      <c r="B39" s="157"/>
      <c r="C39" s="23" t="s">
        <v>90</v>
      </c>
      <c r="D39" s="160"/>
    </row>
    <row r="40" spans="2:4" ht="15.75" thickBot="1" x14ac:dyDescent="0.25">
      <c r="B40" s="158"/>
      <c r="C40" s="56" t="s">
        <v>91</v>
      </c>
      <c r="D40" s="161"/>
    </row>
  </sheetData>
  <mergeCells count="10">
    <mergeCell ref="B3:D3"/>
    <mergeCell ref="B2:D2"/>
    <mergeCell ref="D6:D13"/>
    <mergeCell ref="B14:B22"/>
    <mergeCell ref="D14:D22"/>
    <mergeCell ref="B23:B31"/>
    <mergeCell ref="D23:D31"/>
    <mergeCell ref="B32:B40"/>
    <mergeCell ref="D32:D40"/>
    <mergeCell ref="B6: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5C93-E558-4D00-8173-1B73650AF35F}">
  <dimension ref="A2:C14"/>
  <sheetViews>
    <sheetView topLeftCell="A10" zoomScale="90" zoomScaleNormal="90" workbookViewId="0">
      <selection activeCell="B4" sqref="B4:C4"/>
    </sheetView>
  </sheetViews>
  <sheetFormatPr defaultRowHeight="15" x14ac:dyDescent="0.2"/>
  <cols>
    <col min="1" max="1" width="3.8984375" customWidth="1"/>
    <col min="2" max="2" width="25.15234375" bestFit="1" customWidth="1"/>
    <col min="3" max="3" width="226.5390625" customWidth="1"/>
  </cols>
  <sheetData>
    <row r="2" spans="1:3" ht="18.75" x14ac:dyDescent="0.25">
      <c r="B2" s="178" t="s">
        <v>99</v>
      </c>
      <c r="C2" s="178"/>
    </row>
    <row r="3" spans="1:3" ht="15.75" thickBot="1" x14ac:dyDescent="0.25"/>
    <row r="4" spans="1:3" ht="33.75" customHeight="1" thickTop="1" thickBot="1" x14ac:dyDescent="0.25">
      <c r="A4" s="43"/>
      <c r="B4" s="179" t="s">
        <v>100</v>
      </c>
      <c r="C4" s="180"/>
    </row>
    <row r="5" spans="1:3" ht="16.5" thickTop="1" thickBot="1" x14ac:dyDescent="0.25">
      <c r="B5" s="41"/>
      <c r="C5" s="42"/>
    </row>
    <row r="6" spans="1:3" ht="121.5" customHeight="1" thickBot="1" x14ac:dyDescent="0.25">
      <c r="B6" s="28" t="s">
        <v>101</v>
      </c>
      <c r="C6" s="33" t="s">
        <v>107</v>
      </c>
    </row>
    <row r="7" spans="1:3" ht="75.75" customHeight="1" thickBot="1" x14ac:dyDescent="0.25">
      <c r="B7" s="29" t="s">
        <v>41</v>
      </c>
      <c r="C7" s="36" t="s">
        <v>106</v>
      </c>
    </row>
    <row r="8" spans="1:3" ht="50.25" customHeight="1" thickBot="1" x14ac:dyDescent="0.25">
      <c r="B8" s="30" t="s">
        <v>42</v>
      </c>
      <c r="C8" s="33" t="s">
        <v>108</v>
      </c>
    </row>
    <row r="9" spans="1:3" ht="163.5" customHeight="1" thickBot="1" x14ac:dyDescent="0.25">
      <c r="B9" s="29" t="s">
        <v>102</v>
      </c>
      <c r="C9" s="36" t="s">
        <v>109</v>
      </c>
    </row>
    <row r="10" spans="1:3" ht="57.75" customHeight="1" thickBot="1" x14ac:dyDescent="0.25">
      <c r="B10" s="30" t="s">
        <v>43</v>
      </c>
      <c r="C10" s="33" t="s">
        <v>110</v>
      </c>
    </row>
    <row r="11" spans="1:3" ht="94.5" customHeight="1" thickBot="1" x14ac:dyDescent="0.25">
      <c r="B11" s="29" t="s">
        <v>44</v>
      </c>
      <c r="C11" s="35" t="s">
        <v>111</v>
      </c>
    </row>
    <row r="12" spans="1:3" ht="45" customHeight="1" thickBot="1" x14ac:dyDescent="0.25">
      <c r="B12" s="31" t="s">
        <v>103</v>
      </c>
      <c r="C12" s="37" t="s">
        <v>112</v>
      </c>
    </row>
    <row r="13" spans="1:3" ht="45.75" customHeight="1" thickBot="1" x14ac:dyDescent="0.25">
      <c r="B13" s="30" t="s">
        <v>104</v>
      </c>
      <c r="C13" s="35" t="s">
        <v>113</v>
      </c>
    </row>
    <row r="14" spans="1:3" ht="45" customHeight="1" x14ac:dyDescent="0.2">
      <c r="B14" s="31" t="s">
        <v>105</v>
      </c>
      <c r="C14" s="34" t="s">
        <v>114</v>
      </c>
    </row>
  </sheetData>
  <mergeCells count="2">
    <mergeCell ref="B2:C2"/>
    <mergeCell ref="B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80BA-307D-44F2-8707-2F89906063AD}">
  <sheetPr>
    <tabColor theme="4" tint="0.39997558519241921"/>
  </sheetPr>
  <dimension ref="B2:AL58"/>
  <sheetViews>
    <sheetView topLeftCell="A2" zoomScale="80" zoomScaleNormal="80" workbookViewId="0">
      <selection activeCell="D13" sqref="D13"/>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8" t="s">
        <v>1</v>
      </c>
      <c r="C5" s="255"/>
      <c r="D5" s="256"/>
      <c r="E5" s="256"/>
      <c r="F5" s="256"/>
      <c r="G5" s="256"/>
      <c r="H5" s="256"/>
      <c r="I5" s="257"/>
      <c r="R5" s="46">
        <v>1</v>
      </c>
      <c r="S5" s="271" t="s">
        <v>116</v>
      </c>
      <c r="T5" s="272"/>
      <c r="U5" s="273"/>
      <c r="V5" s="46">
        <f>COUNTIF(Jan[Baseline Assessment Score],1)</f>
        <v>0</v>
      </c>
      <c r="AE5" s="250" t="s">
        <v>119</v>
      </c>
      <c r="AF5" s="251"/>
      <c r="AG5" s="252"/>
      <c r="AH5" s="253" t="s">
        <v>66</v>
      </c>
      <c r="AI5" s="254"/>
      <c r="AJ5" s="51">
        <v>0</v>
      </c>
      <c r="AK5" s="11" t="s">
        <v>120</v>
      </c>
      <c r="AL5" s="52">
        <v>5</v>
      </c>
    </row>
    <row r="6" spans="2:38" ht="15.75" thickBot="1" x14ac:dyDescent="0.25">
      <c r="B6" s="9" t="s">
        <v>2</v>
      </c>
      <c r="C6" s="258" t="s">
        <v>123</v>
      </c>
      <c r="D6" s="259"/>
      <c r="E6" s="260"/>
      <c r="F6" s="10" t="s">
        <v>0</v>
      </c>
      <c r="G6" s="246"/>
      <c r="H6" s="247"/>
      <c r="I6" s="248"/>
      <c r="R6" s="47">
        <v>2</v>
      </c>
      <c r="S6" s="268" t="s">
        <v>66</v>
      </c>
      <c r="T6" s="269"/>
      <c r="U6" s="270"/>
      <c r="V6" s="47">
        <f>COUNTIF(Jan[Baseline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COUNTIF(Jan[Baseline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COUNTIF(Jan[Baseline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230" t="s">
        <v>40</v>
      </c>
      <c r="E11" s="231"/>
      <c r="F11" s="232"/>
      <c r="G11" s="224" t="s">
        <v>41</v>
      </c>
      <c r="H11" s="225"/>
      <c r="I11" s="226"/>
      <c r="J11" s="227" t="s">
        <v>42</v>
      </c>
      <c r="K11" s="228"/>
      <c r="L11" s="229"/>
      <c r="M11" s="224" t="s">
        <v>47</v>
      </c>
      <c r="N11" s="225"/>
      <c r="O11" s="226"/>
      <c r="P11" s="227" t="s">
        <v>43</v>
      </c>
      <c r="Q11" s="228"/>
      <c r="R11" s="229"/>
      <c r="S11" s="224" t="s">
        <v>44</v>
      </c>
      <c r="T11" s="225"/>
      <c r="U11" s="226"/>
      <c r="V11" s="227" t="s">
        <v>95</v>
      </c>
      <c r="W11" s="228"/>
      <c r="X11" s="229"/>
      <c r="Y11" s="224" t="s">
        <v>45</v>
      </c>
      <c r="Z11" s="225"/>
      <c r="AA11" s="226"/>
      <c r="AB11" s="227" t="s">
        <v>46</v>
      </c>
      <c r="AC11" s="228"/>
      <c r="AD11" s="229"/>
    </row>
    <row r="12" spans="2:38" ht="55.5" thickBot="1" x14ac:dyDescent="0.25">
      <c r="B12" s="68" t="s">
        <v>3</v>
      </c>
      <c r="C12" s="77" t="s">
        <v>39</v>
      </c>
      <c r="D12" s="78" t="s">
        <v>4</v>
      </c>
      <c r="E12" s="79" t="s">
        <v>5</v>
      </c>
      <c r="F12" s="80" t="s">
        <v>6</v>
      </c>
      <c r="G12" s="81" t="s">
        <v>13</v>
      </c>
      <c r="H12" s="81" t="s">
        <v>14</v>
      </c>
      <c r="I12" s="32" t="s">
        <v>15</v>
      </c>
      <c r="J12" s="79" t="s">
        <v>16</v>
      </c>
      <c r="K12" s="79" t="s">
        <v>17</v>
      </c>
      <c r="L12" s="80" t="s">
        <v>18</v>
      </c>
      <c r="M12" s="81" t="s">
        <v>19</v>
      </c>
      <c r="N12" s="81" t="s">
        <v>20</v>
      </c>
      <c r="O12" s="32" t="s">
        <v>21</v>
      </c>
      <c r="P12" s="79" t="s">
        <v>22</v>
      </c>
      <c r="Q12" s="79" t="s">
        <v>23</v>
      </c>
      <c r="R12" s="80" t="s">
        <v>24</v>
      </c>
      <c r="S12" s="81" t="s">
        <v>25</v>
      </c>
      <c r="T12" s="81" t="s">
        <v>26</v>
      </c>
      <c r="U12" s="32" t="s">
        <v>27</v>
      </c>
      <c r="V12" s="79" t="s">
        <v>28</v>
      </c>
      <c r="W12" s="79" t="s">
        <v>29</v>
      </c>
      <c r="X12" s="80" t="s">
        <v>30</v>
      </c>
      <c r="Y12" s="81" t="s">
        <v>32</v>
      </c>
      <c r="Z12" s="81" t="s">
        <v>33</v>
      </c>
      <c r="AA12" s="32" t="s">
        <v>34</v>
      </c>
      <c r="AB12" s="79" t="s">
        <v>31</v>
      </c>
      <c r="AC12" s="79" t="s">
        <v>35</v>
      </c>
      <c r="AD12" s="80" t="s">
        <v>36</v>
      </c>
      <c r="AE12" s="82" t="s">
        <v>7</v>
      </c>
      <c r="AF12" s="80" t="s">
        <v>8</v>
      </c>
      <c r="AG12" s="83" t="s">
        <v>9</v>
      </c>
      <c r="AH12" s="32" t="s">
        <v>12</v>
      </c>
      <c r="AI12" s="82" t="s">
        <v>11</v>
      </c>
      <c r="AJ12" s="80" t="s">
        <v>10</v>
      </c>
      <c r="AK12" s="83" t="s">
        <v>37</v>
      </c>
      <c r="AL12" s="8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SUM(Jan[[#This Row],[Early]:[Night        ]])+(Jan[[#This Row],[Baseline Assessment Score]]*60)</f>
        <v>0</v>
      </c>
      <c r="AF13" s="16">
        <f>Jan[[#This Row],[Total Mins over 24 hr]]/60</f>
        <v>0</v>
      </c>
      <c r="AG13" s="13">
        <f>SUM(D13,G13,J13,M13,P13,S13,V13,Y13,AB13)+(Jan[[#This Row],[Baseline Assessment Score]]*60/3)</f>
        <v>0</v>
      </c>
      <c r="AH13" s="16">
        <f>SUM(Jan[[#This Row],[Early (08.00 - 14.00) ]]/60)</f>
        <v>0</v>
      </c>
      <c r="AI13" s="13">
        <f>SUM(E13,H13,K13,N13,Q13,T13,W13,Z13,AC13)+(Jan[[#This Row],[Baseline Assessment Score]]*60/3)</f>
        <v>0</v>
      </c>
      <c r="AJ13" s="16">
        <f>SUM(Jan[[#This Row],[Late (14.00 - 20.00) ]]/60)</f>
        <v>0</v>
      </c>
      <c r="AK13" s="13">
        <f>SUM(F13,I13,L13,O13,R13,U13,X13,AA13,AD13)+(Jan[[#This Row],[Baseline Assessment Score]]*60/3)</f>
        <v>0</v>
      </c>
      <c r="AL13" s="86">
        <f>SUM(Jan[[#This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SUM(Jan[[#This Row],[Early]:[Night        ]])+(Jan[[#This Row],[Baseline Assessment Score]]*60)</f>
        <v>0</v>
      </c>
      <c r="AF14" s="19">
        <f>Jan[[#This Row],[Total Mins over 24 hr]]/60</f>
        <v>0</v>
      </c>
      <c r="AG14" s="15">
        <f>SUM(D14,G14,J14,M14,P14,S14,V14,Y14,AB14)+(Jan[[#This Row],[Baseline Assessment Score]]*60/3)</f>
        <v>0</v>
      </c>
      <c r="AH14" s="19">
        <f>SUM(Jan[[#This Row],[Early (08.00 - 14.00) ]]/60)</f>
        <v>0</v>
      </c>
      <c r="AI14" s="15">
        <f>SUM(E14,H14,K14,N14,Q14,T14,W14,Z14,AC14)+(Jan[[#This Row],[Baseline Assessment Score]]*60/3)</f>
        <v>0</v>
      </c>
      <c r="AJ14" s="19">
        <f>SUM(Jan[[#This Row],[Late (14.00 - 20.00) ]]/60)</f>
        <v>0</v>
      </c>
      <c r="AK14" s="15">
        <f>SUM(F14,I14,L14,O14,R14,U14,X14,AA14,AD14)+(Jan[[#This Row],[Baseline Assessment Score]]*60/3)</f>
        <v>0</v>
      </c>
      <c r="AL14" s="88">
        <f>SUM(Jan[[#This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SUM(Jan[[#This Row],[Early]:[Night        ]])+(Jan[[#This Row],[Baseline Assessment Score]]*60)</f>
        <v>0</v>
      </c>
      <c r="AF15" s="19">
        <f>Jan[[#This Row],[Total Mins over 24 hr]]/60</f>
        <v>0</v>
      </c>
      <c r="AG15" s="15">
        <f>SUM(D15,G15,J15,M15,P15,S15,V15,Y15,AB15)+(Jan[[#This Row],[Baseline Assessment Score]]*60/3)</f>
        <v>0</v>
      </c>
      <c r="AH15" s="19">
        <f>SUM(Jan[[#This Row],[Early (08.00 - 14.00) ]]/60)</f>
        <v>0</v>
      </c>
      <c r="AI15" s="15">
        <f>SUM(E15,H15,K15,N15,Q15,T15,W15,Z15,AC15)+(Jan[[#This Row],[Baseline Assessment Score]]*60/3)</f>
        <v>0</v>
      </c>
      <c r="AJ15" s="19">
        <f>SUM(Jan[[#This Row],[Late (14.00 - 20.00) ]]/60)</f>
        <v>0</v>
      </c>
      <c r="AK15" s="15">
        <f>SUM(F15,I15,L15,O15,R15,U15,X15,AA15,AD15)+(Jan[[#This Row],[Baseline Assessment Score]]*60/3)</f>
        <v>0</v>
      </c>
      <c r="AL15" s="88">
        <f>SUM(Jan[[#This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SUM(Jan[[#This Row],[Early]:[Night        ]])+(Jan[[#This Row],[Baseline Assessment Score]]*60)</f>
        <v>0</v>
      </c>
      <c r="AF16" s="19">
        <f>Jan[[#This Row],[Total Mins over 24 hr]]/60</f>
        <v>0</v>
      </c>
      <c r="AG16" s="15">
        <f>SUM(D16,G16,J16,M16,P16,S16,V16,Y16,AB16)+(Jan[[#This Row],[Baseline Assessment Score]]*60/3)</f>
        <v>0</v>
      </c>
      <c r="AH16" s="19">
        <f>SUM(Jan[[#This Row],[Early (08.00 - 14.00) ]]/60)</f>
        <v>0</v>
      </c>
      <c r="AI16" s="15">
        <f>SUM(E16,H16,K16,N16,Q16,T16,W16,Z16,AC16)+(Jan[[#This Row],[Baseline Assessment Score]]*60/3)</f>
        <v>0</v>
      </c>
      <c r="AJ16" s="19">
        <f>SUM(Jan[[#This Row],[Late (14.00 - 20.00) ]]/60)</f>
        <v>0</v>
      </c>
      <c r="AK16" s="15">
        <f>SUM(F16,I16,L16,O16,R16,U16,X16,AA16,AD16)+(Jan[[#This Row],[Baseline Assessment Score]]*60/3)</f>
        <v>0</v>
      </c>
      <c r="AL16" s="88">
        <f>SUM(Jan[[#This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SUM(Jan[[#This Row],[Early]:[Night        ]])+(Jan[[#This Row],[Baseline Assessment Score]]*60)</f>
        <v>0</v>
      </c>
      <c r="AF17" s="19">
        <f>Jan[[#This Row],[Total Mins over 24 hr]]/60</f>
        <v>0</v>
      </c>
      <c r="AG17" s="15">
        <f>SUM(D17,G17,J17,M17,P17,S17,V17,Y17,AB17)+(Jan[[#This Row],[Baseline Assessment Score]]*60/3)</f>
        <v>0</v>
      </c>
      <c r="AH17" s="19">
        <f>SUM(Jan[[#This Row],[Early (08.00 - 14.00) ]]/60)</f>
        <v>0</v>
      </c>
      <c r="AI17" s="15">
        <f>SUM(E17,H17,K17,N17,Q17,T17,W17,Z17,AC17)+(Jan[[#This Row],[Baseline Assessment Score]]*60/3)</f>
        <v>0</v>
      </c>
      <c r="AJ17" s="19">
        <f>SUM(Jan[[#This Row],[Late (14.00 - 20.00) ]]/60)</f>
        <v>0</v>
      </c>
      <c r="AK17" s="15">
        <f>SUM(F17,I17,L17,O17,R17,U17,X17,AA17,AD17)+(Jan[[#This Row],[Baseline Assessment Score]]*60/3)</f>
        <v>0</v>
      </c>
      <c r="AL17" s="88">
        <f>SUM(Jan[[#This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SUM(Jan[[#This Row],[Early]:[Night        ]])+(Jan[[#This Row],[Baseline Assessment Score]]*60)</f>
        <v>0</v>
      </c>
      <c r="AF18" s="19">
        <f>Jan[[#This Row],[Total Mins over 24 hr]]/60</f>
        <v>0</v>
      </c>
      <c r="AG18" s="15">
        <f>SUM(D18,G18,J18,M18,P18,S18,V18,Y18,AB18)+(Jan[[#This Row],[Baseline Assessment Score]]*60/3)</f>
        <v>0</v>
      </c>
      <c r="AH18" s="19">
        <f>SUM(Jan[[#This Row],[Early (08.00 - 14.00) ]]/60)</f>
        <v>0</v>
      </c>
      <c r="AI18" s="15">
        <f>SUM(E18,H18,K18,N18,Q18,T18,W18,Z18,AC18)+(Jan[[#This Row],[Baseline Assessment Score]]*60/3)</f>
        <v>0</v>
      </c>
      <c r="AJ18" s="19">
        <f>SUM(Jan[[#This Row],[Late (14.00 - 20.00) ]]/60)</f>
        <v>0</v>
      </c>
      <c r="AK18" s="15">
        <f>SUM(F18,I18,L18,O18,R18,U18,X18,AA18,AD18)+(Jan[[#This Row],[Baseline Assessment Score]]*60/3)</f>
        <v>0</v>
      </c>
      <c r="AL18" s="88">
        <f>SUM(Jan[[#This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SUM(Jan[[#This Row],[Early]:[Night        ]])+(Jan[[#This Row],[Baseline Assessment Score]]*60)</f>
        <v>0</v>
      </c>
      <c r="AF19" s="19">
        <f>Jan[[#This Row],[Total Mins over 24 hr]]/60</f>
        <v>0</v>
      </c>
      <c r="AG19" s="15">
        <f>SUM(D19,G19,J19,M19,P19,S19,V19,Y19,AB19)+(Jan[[#This Row],[Baseline Assessment Score]]*60/3)</f>
        <v>0</v>
      </c>
      <c r="AH19" s="19">
        <f>SUM(Jan[[#This Row],[Early (08.00 - 14.00) ]]/60)</f>
        <v>0</v>
      </c>
      <c r="AI19" s="15">
        <f>SUM(E19,H19,K19,N19,Q19,T19,W19,Z19,AC19)+(Jan[[#This Row],[Baseline Assessment Score]]*60/3)</f>
        <v>0</v>
      </c>
      <c r="AJ19" s="19">
        <f>SUM(Jan[[#This Row],[Late (14.00 - 20.00) ]]/60)</f>
        <v>0</v>
      </c>
      <c r="AK19" s="15">
        <f>SUM(F19,I19,L19,O19,R19,U19,X19,AA19,AD19)+(Jan[[#This Row],[Baseline Assessment Score]]*60/3)</f>
        <v>0</v>
      </c>
      <c r="AL19" s="88">
        <f>SUM(Jan[[#This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SUM(Jan[[#This Row],[Early]:[Night        ]])+(Jan[[#This Row],[Baseline Assessment Score]]*60)</f>
        <v>0</v>
      </c>
      <c r="AF20" s="19">
        <f>Jan[[#This Row],[Total Mins over 24 hr]]/60</f>
        <v>0</v>
      </c>
      <c r="AG20" s="15">
        <f>SUM(D20,G20,J20,M20,P20,S20,V20,Y20,AB20)+(Jan[[#This Row],[Baseline Assessment Score]]*60/3)</f>
        <v>0</v>
      </c>
      <c r="AH20" s="19">
        <f>SUM(Jan[[#This Row],[Early (08.00 - 14.00) ]]/60)</f>
        <v>0</v>
      </c>
      <c r="AI20" s="15">
        <f>SUM(E20,H20,K20,N20,Q20,T20,W20,Z20,AC20)+(Jan[[#This Row],[Baseline Assessment Score]]*60/3)</f>
        <v>0</v>
      </c>
      <c r="AJ20" s="19">
        <f>SUM(Jan[[#This Row],[Late (14.00 - 20.00) ]]/60)</f>
        <v>0</v>
      </c>
      <c r="AK20" s="15">
        <f>SUM(F20,I20,L20,O20,R20,U20,X20,AA20,AD20)+(Jan[[#This Row],[Baseline Assessment Score]]*60/3)</f>
        <v>0</v>
      </c>
      <c r="AL20" s="88">
        <f>SUM(Jan[[#This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SUM(Jan[[#This Row],[Early]:[Night        ]])+(Jan[[#This Row],[Baseline Assessment Score]]*60)</f>
        <v>0</v>
      </c>
      <c r="AF21" s="19">
        <f>Jan[[#This Row],[Total Mins over 24 hr]]/60</f>
        <v>0</v>
      </c>
      <c r="AG21" s="15">
        <f>SUM(D21,G21,J21,M21,P21,S21,V21,Y21,AB21)+(Jan[[#This Row],[Baseline Assessment Score]]*60/3)</f>
        <v>0</v>
      </c>
      <c r="AH21" s="19">
        <f>SUM(Jan[[#This Row],[Early (08.00 - 14.00) ]]/60)</f>
        <v>0</v>
      </c>
      <c r="AI21" s="15">
        <f>SUM(E21,H21,K21,N21,Q21,T21,W21,Z21,AC21)+(Jan[[#This Row],[Baseline Assessment Score]]*60/3)</f>
        <v>0</v>
      </c>
      <c r="AJ21" s="19">
        <f>SUM(Jan[[#This Row],[Late (14.00 - 20.00) ]]/60)</f>
        <v>0</v>
      </c>
      <c r="AK21" s="15">
        <f>SUM(F21,I21,L21,O21,R21,U21,X21,AA21,AD21)+(Jan[[#This Row],[Baseline Assessment Score]]*60/3)</f>
        <v>0</v>
      </c>
      <c r="AL21" s="88">
        <f>SUM(Jan[[#This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SUM(Jan[[#This Row],[Early]:[Night        ]])+(Jan[[#This Row],[Baseline Assessment Score]]*60)</f>
        <v>0</v>
      </c>
      <c r="AF22" s="19">
        <f>Jan[[#This Row],[Total Mins over 24 hr]]/60</f>
        <v>0</v>
      </c>
      <c r="AG22" s="15">
        <f>SUM(D22,G22,J22,M22,P22,S22,V22,Y22,AB22)+(Jan[[#This Row],[Baseline Assessment Score]]*60/3)</f>
        <v>0</v>
      </c>
      <c r="AH22" s="19">
        <f>SUM(Jan[[#This Row],[Early (08.00 - 14.00) ]]/60)</f>
        <v>0</v>
      </c>
      <c r="AI22" s="15">
        <f>SUM(E22,H22,K22,N22,Q22,T22,W22,Z22,AC22)+(Jan[[#This Row],[Baseline Assessment Score]]*60/3)</f>
        <v>0</v>
      </c>
      <c r="AJ22" s="19">
        <f>SUM(Jan[[#This Row],[Late (14.00 - 20.00) ]]/60)</f>
        <v>0</v>
      </c>
      <c r="AK22" s="15">
        <f>SUM(F22,I22,L22,O22,R22,U22,X22,AA22,AD22)+(Jan[[#This Row],[Baseline Assessment Score]]*60/3)</f>
        <v>0</v>
      </c>
      <c r="AL22" s="88">
        <f>SUM(Jan[[#This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SUM(Jan[[#This Row],[Early]:[Night        ]])+(Jan[[#This Row],[Baseline Assessment Score]]*60)</f>
        <v>0</v>
      </c>
      <c r="AF23" s="19">
        <f>Jan[[#This Row],[Total Mins over 24 hr]]/60</f>
        <v>0</v>
      </c>
      <c r="AG23" s="15">
        <f>SUM(D23,G23,J23,M23,P23,S23,V23,Y23,AB23)+(Jan[[#This Row],[Baseline Assessment Score]]*60/3)</f>
        <v>0</v>
      </c>
      <c r="AH23" s="19">
        <f>SUM(Jan[[#This Row],[Early (08.00 - 14.00) ]]/60)</f>
        <v>0</v>
      </c>
      <c r="AI23" s="15">
        <f>SUM(E23,H23,K23,N23,Q23,T23,W23,Z23,AC23)+(Jan[[#This Row],[Baseline Assessment Score]]*60/3)</f>
        <v>0</v>
      </c>
      <c r="AJ23" s="19">
        <f>SUM(Jan[[#This Row],[Late (14.00 - 20.00) ]]/60)</f>
        <v>0</v>
      </c>
      <c r="AK23" s="15">
        <f>SUM(F23,I23,L23,O23,R23,U23,X23,AA23,AD23)+(Jan[[#This Row],[Baseline Assessment Score]]*60/3)</f>
        <v>0</v>
      </c>
      <c r="AL23" s="88">
        <f>SUM(Jan[[#This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SUM(Jan[[#This Row],[Early]:[Night        ]])+(Jan[[#This Row],[Baseline Assessment Score]]*60)</f>
        <v>0</v>
      </c>
      <c r="AF24" s="19">
        <f>Jan[[#This Row],[Total Mins over 24 hr]]/60</f>
        <v>0</v>
      </c>
      <c r="AG24" s="15">
        <f>SUM(D24,G24,J24,M24,P24,S24,V24,Y24,AB24)+(Jan[[#This Row],[Baseline Assessment Score]]*60/3)</f>
        <v>0</v>
      </c>
      <c r="AH24" s="19">
        <f>SUM(Jan[[#This Row],[Early (08.00 - 14.00) ]]/60)</f>
        <v>0</v>
      </c>
      <c r="AI24" s="15">
        <f>SUM(E24,H24,K24,N24,Q24,T24,W24,Z24,AC24)+(Jan[[#This Row],[Baseline Assessment Score]]*60/3)</f>
        <v>0</v>
      </c>
      <c r="AJ24" s="19">
        <f>SUM(Jan[[#This Row],[Late (14.00 - 20.00) ]]/60)</f>
        <v>0</v>
      </c>
      <c r="AK24" s="15">
        <f>SUM(F24,I24,L24,O24,R24,U24,X24,AA24,AD24)+(Jan[[#This Row],[Baseline Assessment Score]]*60/3)</f>
        <v>0</v>
      </c>
      <c r="AL24" s="88">
        <f>SUM(Jan[[#This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SUM(Jan[[#This Row],[Early]:[Night        ]])+(Jan[[#This Row],[Baseline Assessment Score]]*60)</f>
        <v>0</v>
      </c>
      <c r="AF25" s="19">
        <f>Jan[[#This Row],[Total Mins over 24 hr]]/60</f>
        <v>0</v>
      </c>
      <c r="AG25" s="15">
        <f>SUM(D25,G25,J25,M25,P25,S25,V25,Y25,AB25)+(Jan[[#This Row],[Baseline Assessment Score]]*60/3)</f>
        <v>0</v>
      </c>
      <c r="AH25" s="19">
        <f>SUM(Jan[[#This Row],[Early (08.00 - 14.00) ]]/60)</f>
        <v>0</v>
      </c>
      <c r="AI25" s="15">
        <f>SUM(E25,H25,K25,N25,Q25,T25,W25,Z25,AC25)+(Jan[[#This Row],[Baseline Assessment Score]]*60/3)</f>
        <v>0</v>
      </c>
      <c r="AJ25" s="19">
        <f>SUM(Jan[[#This Row],[Late (14.00 - 20.00) ]]/60)</f>
        <v>0</v>
      </c>
      <c r="AK25" s="15">
        <f>SUM(F25,I25,L25,O25,R25,U25,X25,AA25,AD25)+(Jan[[#This Row],[Baseline Assessment Score]]*60/3)</f>
        <v>0</v>
      </c>
      <c r="AL25" s="88">
        <f>SUM(Jan[[#This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SUM(Jan[[#This Row],[Early]:[Night        ]])+(Jan[[#This Row],[Baseline Assessment Score]]*60)</f>
        <v>0</v>
      </c>
      <c r="AF26" s="19">
        <f>Jan[[#This Row],[Total Mins over 24 hr]]/60</f>
        <v>0</v>
      </c>
      <c r="AG26" s="15">
        <f>SUM(D26,G26,J26,M26,P26,S26,V26,Y26,AB26)+(Jan[[#This Row],[Baseline Assessment Score]]*60/3)</f>
        <v>0</v>
      </c>
      <c r="AH26" s="19">
        <f>SUM(Jan[[#This Row],[Early (08.00 - 14.00) ]]/60)</f>
        <v>0</v>
      </c>
      <c r="AI26" s="15">
        <f>SUM(E26,H26,K26,N26,Q26,T26,W26,Z26,AC26)+(Jan[[#This Row],[Baseline Assessment Score]]*60/3)</f>
        <v>0</v>
      </c>
      <c r="AJ26" s="19">
        <f>SUM(Jan[[#This Row],[Late (14.00 - 20.00) ]]/60)</f>
        <v>0</v>
      </c>
      <c r="AK26" s="15">
        <f>SUM(F26,I26,L26,O26,R26,U26,X26,AA26,AD26)+(Jan[[#This Row],[Baseline Assessment Score]]*60/3)</f>
        <v>0</v>
      </c>
      <c r="AL26" s="88">
        <f>SUM(Jan[[#This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SUM(Jan[[#This Row],[Early]:[Night        ]])+(Jan[[#This Row],[Baseline Assessment Score]]*60)</f>
        <v>0</v>
      </c>
      <c r="AF27" s="19">
        <f>Jan[[#This Row],[Total Mins over 24 hr]]/60</f>
        <v>0</v>
      </c>
      <c r="AG27" s="15">
        <f>SUM(D27,G27,J27,M27,P27,S27,V27,Y27,AB27)+(Jan[[#This Row],[Baseline Assessment Score]]*60/3)</f>
        <v>0</v>
      </c>
      <c r="AH27" s="19">
        <f>SUM(Jan[[#This Row],[Early (08.00 - 14.00) ]]/60)</f>
        <v>0</v>
      </c>
      <c r="AI27" s="15">
        <f>SUM(E27,H27,K27,N27,Q27,T27,W27,Z27,AC27)+(Jan[[#This Row],[Baseline Assessment Score]]*60/3)</f>
        <v>0</v>
      </c>
      <c r="AJ27" s="19">
        <f>SUM(Jan[[#This Row],[Late (14.00 - 20.00) ]]/60)</f>
        <v>0</v>
      </c>
      <c r="AK27" s="15">
        <f>SUM(F27,I27,L27,O27,R27,U27,X27,AA27,AD27)+(Jan[[#This Row],[Baseline Assessment Score]]*60/3)</f>
        <v>0</v>
      </c>
      <c r="AL27" s="88">
        <f>SUM(Jan[[#This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SUM(Jan[[#This Row],[Early]:[Night        ]])+(Jan[[#This Row],[Baseline Assessment Score]]*60)</f>
        <v>0</v>
      </c>
      <c r="AF28" s="19">
        <f>Jan[[#This Row],[Total Mins over 24 hr]]/60</f>
        <v>0</v>
      </c>
      <c r="AG28" s="15">
        <f>SUM(D28,G28,J28,M28,P28,S28,V28,Y28,AB28)+(Jan[[#This Row],[Baseline Assessment Score]]*60/3)</f>
        <v>0</v>
      </c>
      <c r="AH28" s="19">
        <f>SUM(Jan[[#This Row],[Early (08.00 - 14.00) ]]/60)</f>
        <v>0</v>
      </c>
      <c r="AI28" s="15">
        <f>SUM(E28,H28,K28,N28,Q28,T28,W28,Z28,AC28)+(Jan[[#This Row],[Baseline Assessment Score]]*60/3)</f>
        <v>0</v>
      </c>
      <c r="AJ28" s="19">
        <f>SUM(Jan[[#This Row],[Late (14.00 - 20.00) ]]/60)</f>
        <v>0</v>
      </c>
      <c r="AK28" s="15">
        <f>SUM(F28,I28,L28,O28,R28,U28,X28,AA28,AD28)+(Jan[[#This Row],[Baseline Assessment Score]]*60/3)</f>
        <v>0</v>
      </c>
      <c r="AL28" s="88">
        <f>SUM(Jan[[#This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SUM(Jan[[#This Row],[Early]:[Night        ]])+(Jan[[#This Row],[Baseline Assessment Score]]*60)</f>
        <v>0</v>
      </c>
      <c r="AF29" s="19">
        <f>Jan[[#This Row],[Total Mins over 24 hr]]/60</f>
        <v>0</v>
      </c>
      <c r="AG29" s="15">
        <f>SUM(D29,G29,J29,M29,P29,S29,V29,Y29,AB29)+(Jan[[#This Row],[Baseline Assessment Score]]*60/3)</f>
        <v>0</v>
      </c>
      <c r="AH29" s="19">
        <f>SUM(Jan[[#This Row],[Early (08.00 - 14.00) ]]/60)</f>
        <v>0</v>
      </c>
      <c r="AI29" s="15">
        <f>SUM(E29,H29,K29,N29,Q29,T29,W29,Z29,AC29)+(Jan[[#This Row],[Baseline Assessment Score]]*60/3)</f>
        <v>0</v>
      </c>
      <c r="AJ29" s="19">
        <f>SUM(Jan[[#This Row],[Late (14.00 - 20.00) ]]/60)</f>
        <v>0</v>
      </c>
      <c r="AK29" s="15">
        <f>SUM(F29,I29,L29,O29,R29,U29,X29,AA29,AD29)+(Jan[[#This Row],[Baseline Assessment Score]]*60/3)</f>
        <v>0</v>
      </c>
      <c r="AL29" s="88">
        <f>SUM(Jan[[#This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SUM(Jan[[#This Row],[Early]:[Night        ]])+(Jan[[#This Row],[Baseline Assessment Score]]*60)</f>
        <v>0</v>
      </c>
      <c r="AF30" s="19">
        <f>Jan[[#This Row],[Total Mins over 24 hr]]/60</f>
        <v>0</v>
      </c>
      <c r="AG30" s="15">
        <f>SUM(D30,G30,J30,M30,P30,S30,V30,Y30,AB30)+(Jan[[#This Row],[Baseline Assessment Score]]*60/3)</f>
        <v>0</v>
      </c>
      <c r="AH30" s="19">
        <f>SUM(Jan[[#This Row],[Early (08.00 - 14.00) ]]/60)</f>
        <v>0</v>
      </c>
      <c r="AI30" s="15">
        <f>SUM(E30,H30,K30,N30,Q30,T30,W30,Z30,AC30)+(Jan[[#This Row],[Baseline Assessment Score]]*60/3)</f>
        <v>0</v>
      </c>
      <c r="AJ30" s="19">
        <f>SUM(Jan[[#This Row],[Late (14.00 - 20.00) ]]/60)</f>
        <v>0</v>
      </c>
      <c r="AK30" s="15">
        <f>SUM(F30,I30,L30,O30,R30,U30,X30,AA30,AD30)+(Jan[[#This Row],[Baseline Assessment Score]]*60/3)</f>
        <v>0</v>
      </c>
      <c r="AL30" s="88">
        <f>SUM(Jan[[#This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SUM(Jan[[#This Row],[Early]:[Night        ]])+(Jan[[#This Row],[Baseline Assessment Score]]*60)</f>
        <v>0</v>
      </c>
      <c r="AF31" s="19">
        <f>Jan[[#This Row],[Total Mins over 24 hr]]/60</f>
        <v>0</v>
      </c>
      <c r="AG31" s="15">
        <f>SUM(D31,G31,J31,M31,P31,S31,V31,Y31,AB31)+(Jan[[#This Row],[Baseline Assessment Score]]*60/3)</f>
        <v>0</v>
      </c>
      <c r="AH31" s="19">
        <f>SUM(Jan[[#This Row],[Early (08.00 - 14.00) ]]/60)</f>
        <v>0</v>
      </c>
      <c r="AI31" s="15">
        <f>SUM(E31,H31,K31,N31,Q31,T31,W31,Z31,AC31)+(Jan[[#This Row],[Baseline Assessment Score]]*60/3)</f>
        <v>0</v>
      </c>
      <c r="AJ31" s="19">
        <f>SUM(Jan[[#This Row],[Late (14.00 - 20.00) ]]/60)</f>
        <v>0</v>
      </c>
      <c r="AK31" s="15">
        <f>SUM(F31,I31,L31,O31,R31,U31,X31,AA31,AD31)+(Jan[[#This Row],[Baseline Assessment Score]]*60/3)</f>
        <v>0</v>
      </c>
      <c r="AL31" s="88">
        <f>SUM(Jan[[#This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SUM(Jan[[#This Row],[Early]:[Night        ]])+(Jan[[#This Row],[Baseline Assessment Score]]*60)</f>
        <v>0</v>
      </c>
      <c r="AF32" s="19">
        <f>Jan[[#This Row],[Total Mins over 24 hr]]/60</f>
        <v>0</v>
      </c>
      <c r="AG32" s="15">
        <f>SUM(D32,G32,J32,M32,P32,S32,V32,Y32,AB32)+(Jan[[#This Row],[Baseline Assessment Score]]*60/3)</f>
        <v>0</v>
      </c>
      <c r="AH32" s="19">
        <f>SUM(Jan[[#This Row],[Early (08.00 - 14.00) ]]/60)</f>
        <v>0</v>
      </c>
      <c r="AI32" s="15">
        <f>SUM(E32,H32,K32,N32,Q32,T32,W32,Z32,AC32)+(Jan[[#This Row],[Baseline Assessment Score]]*60/3)</f>
        <v>0</v>
      </c>
      <c r="AJ32" s="19">
        <f>SUM(Jan[[#This Row],[Late (14.00 - 20.00) ]]/60)</f>
        <v>0</v>
      </c>
      <c r="AK32" s="15">
        <f>SUM(F32,I32,L32,O32,R32,U32,X32,AA32,AD32)+(Jan[[#This Row],[Baseline Assessment Score]]*60/3)</f>
        <v>0</v>
      </c>
      <c r="AL32" s="88">
        <f>SUM(Jan[[#This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SUM(Jan[[#This Row],[Early]:[Night        ]])+(Jan[[#This Row],[Baseline Assessment Score]]*60)</f>
        <v>0</v>
      </c>
      <c r="AF33" s="19">
        <f>Jan[[#This Row],[Total Mins over 24 hr]]/60</f>
        <v>0</v>
      </c>
      <c r="AG33" s="15">
        <f>SUM(D33,G33,J33,M33,P33,S33,V33,Y33,AB33)+(Jan[[#This Row],[Baseline Assessment Score]]*60/3)</f>
        <v>0</v>
      </c>
      <c r="AH33" s="19">
        <f>SUM(Jan[[#This Row],[Early (08.00 - 14.00) ]]/60)</f>
        <v>0</v>
      </c>
      <c r="AI33" s="15">
        <f>SUM(E33,H33,K33,N33,Q33,T33,W33,Z33,AC33)+(Jan[[#This Row],[Baseline Assessment Score]]*60/3)</f>
        <v>0</v>
      </c>
      <c r="AJ33" s="19">
        <f>SUM(Jan[[#This Row],[Late (14.00 - 20.00) ]]/60)</f>
        <v>0</v>
      </c>
      <c r="AK33" s="15">
        <f>SUM(F33,I33,L33,O33,R33,U33,X33,AA33,AD33)+(Jan[[#This Row],[Baseline Assessment Score]]*60/3)</f>
        <v>0</v>
      </c>
      <c r="AL33" s="88">
        <f>SUM(Jan[[#This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SUM(Jan[[#This Row],[Early]:[Night        ]])+(Jan[[#This Row],[Baseline Assessment Score]]*60)</f>
        <v>0</v>
      </c>
      <c r="AF34" s="19">
        <f>Jan[[#This Row],[Total Mins over 24 hr]]/60</f>
        <v>0</v>
      </c>
      <c r="AG34" s="15">
        <f>SUM(D34,G34,J34,M34,P34,S34,V34,Y34,AB34)+(Jan[[#This Row],[Baseline Assessment Score]]*60/3)</f>
        <v>0</v>
      </c>
      <c r="AH34" s="19">
        <f>SUM(Jan[[#This Row],[Early (08.00 - 14.00) ]]/60)</f>
        <v>0</v>
      </c>
      <c r="AI34" s="15">
        <f>SUM(E34,H34,K34,N34,Q34,T34,W34,Z34,AC34)+(Jan[[#This Row],[Baseline Assessment Score]]*60/3)</f>
        <v>0</v>
      </c>
      <c r="AJ34" s="19">
        <f>SUM(Jan[[#This Row],[Late (14.00 - 20.00) ]]/60)</f>
        <v>0</v>
      </c>
      <c r="AK34" s="15">
        <f>SUM(F34,I34,L34,O34,R34,U34,X34,AA34,AD34)+(Jan[[#This Row],[Baseline Assessment Score]]*60/3)</f>
        <v>0</v>
      </c>
      <c r="AL34" s="88">
        <f>SUM(Jan[[#This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SUM(Jan[[#This Row],[Early]:[Night        ]])+(Jan[[#This Row],[Baseline Assessment Score]]*60)</f>
        <v>0</v>
      </c>
      <c r="AF35" s="19">
        <f>Jan[[#This Row],[Total Mins over 24 hr]]/60</f>
        <v>0</v>
      </c>
      <c r="AG35" s="15">
        <f>SUM(D35,G35,J35,M35,P35,S35,V35,Y35,AB35)+(Jan[[#This Row],[Baseline Assessment Score]]*60/3)</f>
        <v>0</v>
      </c>
      <c r="AH35" s="19">
        <f>SUM(Jan[[#This Row],[Early (08.00 - 14.00) ]]/60)</f>
        <v>0</v>
      </c>
      <c r="AI35" s="15">
        <f>SUM(E35,H35,K35,N35,Q35,T35,W35,Z35,AC35)+(Jan[[#This Row],[Baseline Assessment Score]]*60/3)</f>
        <v>0</v>
      </c>
      <c r="AJ35" s="19">
        <f>SUM(Jan[[#This Row],[Late (14.00 - 20.00) ]]/60)</f>
        <v>0</v>
      </c>
      <c r="AK35" s="15">
        <f>SUM(F35,I35,L35,O35,R35,U35,X35,AA35,AD35)+(Jan[[#This Row],[Baseline Assessment Score]]*60/3)</f>
        <v>0</v>
      </c>
      <c r="AL35" s="88">
        <f>SUM(Jan[[#This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SUM(Jan[[#This Row],[Early]:[Night        ]])+(Jan[[#This Row],[Baseline Assessment Score]]*60)</f>
        <v>0</v>
      </c>
      <c r="AF36" s="20">
        <f>Jan[[#This Row],[Total Mins over 24 hr]]/60</f>
        <v>0</v>
      </c>
      <c r="AG36" s="18">
        <f>SUM(D36,G36,J36,M36,P36,S36,V36,Y36,AB36)+(Jan[[#This Row],[Baseline Assessment Score]]*60/3)</f>
        <v>0</v>
      </c>
      <c r="AH36" s="20">
        <f>SUM(Jan[[#This Row],[Early (08.00 - 14.00) ]]/60)</f>
        <v>0</v>
      </c>
      <c r="AI36" s="18">
        <f>SUM(E36,H36,K36,N36,Q36,T36,W36,Z36,AC36)+(Jan[[#This Row],[Baseline Assessment Score]]*60/3)</f>
        <v>0</v>
      </c>
      <c r="AJ36" s="20">
        <f>SUM(Jan[[#This Row],[Late (14.00 - 20.00) ]]/60)</f>
        <v>0</v>
      </c>
      <c r="AK36" s="18">
        <f>SUM(F36,I36,L36,O36,R36,U36,X36,AA36,AD36)+(Jan[[#This Row],[Baseline Assessment Score]]*60/3)</f>
        <v>0</v>
      </c>
      <c r="AL36" s="91">
        <f>SUM(Jan[[#This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190" t="s">
        <v>51</v>
      </c>
      <c r="W37" s="191"/>
      <c r="X37" s="191"/>
      <c r="Y37" s="191"/>
      <c r="Z37" s="191"/>
      <c r="AA37" s="191"/>
      <c r="AB37" s="191"/>
      <c r="AC37" s="191"/>
      <c r="AD37" s="191"/>
      <c r="AE37" s="221">
        <f>SUM(Jan[Actual contact time (hours)])</f>
        <v>0</v>
      </c>
      <c r="AF37" s="221"/>
      <c r="AG37" s="221">
        <f>SUM(Jan[Contact time per shift])</f>
        <v>0</v>
      </c>
      <c r="AH37" s="222"/>
      <c r="AI37" s="221">
        <f>SUM(Jan[[Contact time per shift ]])</f>
        <v>0</v>
      </c>
      <c r="AJ37" s="222"/>
      <c r="AK37" s="221">
        <f>SUM(Jan[[Contact time per shift  ]])</f>
        <v>0</v>
      </c>
      <c r="AL37" s="223"/>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COUNTIF(Jan[Adults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H6:AI6"/>
    <mergeCell ref="AH7:AI7"/>
    <mergeCell ref="AJ8:AL10"/>
    <mergeCell ref="B2:AL2"/>
    <mergeCell ref="G6:I6"/>
    <mergeCell ref="D10:AD10"/>
    <mergeCell ref="AE5:AG7"/>
    <mergeCell ref="AH5:AI5"/>
    <mergeCell ref="C5:I5"/>
    <mergeCell ref="C6:E6"/>
    <mergeCell ref="R4:V4"/>
    <mergeCell ref="S8:U8"/>
    <mergeCell ref="S7:U7"/>
    <mergeCell ref="S6:U6"/>
    <mergeCell ref="S5:U5"/>
    <mergeCell ref="S11:U11"/>
    <mergeCell ref="V11:X11"/>
    <mergeCell ref="Y11:AA11"/>
    <mergeCell ref="AB11:AD11"/>
    <mergeCell ref="D11:F11"/>
    <mergeCell ref="G11:I11"/>
    <mergeCell ref="J11:L11"/>
    <mergeCell ref="M11:O11"/>
    <mergeCell ref="P11:R11"/>
    <mergeCell ref="AK38:AL38"/>
    <mergeCell ref="AI38:AJ38"/>
    <mergeCell ref="AG38:AH38"/>
    <mergeCell ref="AE38:AF38"/>
    <mergeCell ref="AE37:AF37"/>
    <mergeCell ref="AG37:AH37"/>
    <mergeCell ref="AI37:AJ37"/>
    <mergeCell ref="AK37:AL37"/>
    <mergeCell ref="AE41:AF41"/>
    <mergeCell ref="AE42:AF42"/>
    <mergeCell ref="AK39:AL39"/>
    <mergeCell ref="AI39:AJ39"/>
    <mergeCell ref="AG39:AH39"/>
    <mergeCell ref="AE39:AF39"/>
    <mergeCell ref="AE40:AF40"/>
    <mergeCell ref="AG40:AH40"/>
    <mergeCell ref="AI40:AJ40"/>
    <mergeCell ref="AK40:AL40"/>
    <mergeCell ref="AG42:AH42"/>
    <mergeCell ref="AI42:AJ42"/>
    <mergeCell ref="AK42:AL42"/>
    <mergeCell ref="AK41:AL41"/>
    <mergeCell ref="AI41:AJ41"/>
    <mergeCell ref="AG41:AH41"/>
    <mergeCell ref="AE43:AF43"/>
    <mergeCell ref="AG43:AH43"/>
    <mergeCell ref="AK43:AL43"/>
    <mergeCell ref="AI43:AJ43"/>
    <mergeCell ref="AK46:AL46"/>
    <mergeCell ref="AI46:AJ46"/>
    <mergeCell ref="AG46:AH46"/>
    <mergeCell ref="AE46:AF46"/>
    <mergeCell ref="AK45:AL45"/>
    <mergeCell ref="AI45:AJ45"/>
    <mergeCell ref="AG45:AH45"/>
    <mergeCell ref="AE45:AF45"/>
    <mergeCell ref="C37:T37"/>
    <mergeCell ref="C38:T43"/>
    <mergeCell ref="V37:AD37"/>
    <mergeCell ref="V40:AD40"/>
    <mergeCell ref="V41:AD41"/>
    <mergeCell ref="V42:AD42"/>
    <mergeCell ref="V43:AD43"/>
    <mergeCell ref="V38:AD38"/>
    <mergeCell ref="V39:AD39"/>
  </mergeCells>
  <conditionalFormatting sqref="D13:AD36">
    <cfRule type="cellIs" priority="64" stopIfTrue="1" operator="lessThanOrEqual">
      <formula>$AJ$5</formula>
    </cfRule>
    <cfRule type="cellIs" dxfId="91" priority="65" operator="greaterThan">
      <formula>$AL$7</formula>
    </cfRule>
    <cfRule type="cellIs" dxfId="90" priority="66" operator="between">
      <formula>$AJ$7</formula>
      <formula>$AL$7</formula>
    </cfRule>
    <cfRule type="cellIs" dxfId="89" priority="67" operator="between">
      <formula>$AJ$6</formula>
      <formula>$AL$6</formula>
    </cfRule>
    <cfRule type="cellIs" dxfId="88" priority="68" operator="between">
      <formula>$AJ$5</formula>
      <formula>$AL$5</formula>
    </cfRule>
  </conditionalFormatting>
  <dataValidations count="1">
    <dataValidation type="list" allowBlank="1" showInputMessage="1" showErrorMessage="1" sqref="C13:C36" xr:uid="{DDD8813D-7F40-4F55-AACC-C6EFCD5531C5}">
      <formula1>$R$5:$R$8</formula1>
    </dataValidation>
  </dataValidations>
  <pageMargins left="0.7" right="0.7" top="0.75" bottom="0.75" header="0.3" footer="0.3"/>
  <pageSetup paperSize="9" orientation="portrait" r:id="rId1"/>
  <ignoredErrors>
    <ignoredError sqref="AE39" formula="1"/>
    <ignoredError sqref="AE43 AG43 AI43 AK43" evalError="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77" operator="containsText" id="{9371A6BD-E9B4-4AD5-A06D-14607A782CE9}">
            <xm:f>NOT(ISERROR(SEARCH($R$8,C13)))</xm:f>
            <xm:f>$R$8</xm:f>
            <x14:dxf>
              <fill>
                <patternFill>
                  <bgColor rgb="FFFF9999"/>
                </patternFill>
              </fill>
            </x14:dxf>
          </x14:cfRule>
          <x14:cfRule type="containsText" priority="78" operator="containsText" id="{4E6C4DB5-F0EF-4658-943A-23BD307D72EE}">
            <xm:f>NOT(ISERROR(SEARCH($R$7,C13)))</xm:f>
            <xm:f>$R$7</xm:f>
            <x14:dxf>
              <fill>
                <patternFill>
                  <bgColor theme="5" tint="0.59996337778862885"/>
                </patternFill>
              </fill>
            </x14:dxf>
          </x14:cfRule>
          <x14:cfRule type="containsText" priority="79" operator="containsText" id="{3F138161-EBC9-4D23-B551-01F654D181F9}">
            <xm:f>NOT(ISERROR(SEARCH($R$6,C13)))</xm:f>
            <xm:f>$R$6</xm:f>
            <x14:dxf>
              <fill>
                <patternFill>
                  <bgColor theme="9" tint="0.59996337778862885"/>
                </patternFill>
              </fill>
            </x14:dxf>
          </x14:cfRule>
          <x14:cfRule type="containsText" priority="80" operator="containsText" id="{378DD5A8-5A04-45AF-810E-575FD19A77A1}">
            <xm:f>NOT(ISERROR(SEARCH($R$5,C13)))</xm:f>
            <xm:f>$R$5</xm:f>
            <x14:dxf>
              <fill>
                <patternFill>
                  <bgColor theme="8" tint="0.79998168889431442"/>
                </patternFill>
              </fill>
            </x14:dxf>
          </x14:cfRule>
          <xm:sqref>C13:C36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FEBC-15B6-4833-A0C8-4CE51B0AD404}">
  <sheetPr>
    <tabColor theme="5" tint="0.39997558519241921"/>
  </sheetPr>
  <dimension ref="B2:AL58"/>
  <sheetViews>
    <sheetView topLeftCell="A4" zoomScale="80" zoomScaleNormal="80" workbookViewId="0">
      <selection activeCell="AE37" sqref="AE37:AF37"/>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92" t="s">
        <v>1</v>
      </c>
      <c r="C5" s="255"/>
      <c r="D5" s="256"/>
      <c r="E5" s="256"/>
      <c r="F5" s="256"/>
      <c r="G5" s="256"/>
      <c r="H5" s="256"/>
      <c r="I5" s="257"/>
      <c r="R5" s="46">
        <v>1</v>
      </c>
      <c r="S5" s="271" t="s">
        <v>116</v>
      </c>
      <c r="T5" s="272"/>
      <c r="U5" s="273"/>
      <c r="V5" s="46">
        <f>COUNTIF(Feb[Baseline Assessment Score],1)</f>
        <v>0</v>
      </c>
      <c r="AE5" s="250" t="s">
        <v>119</v>
      </c>
      <c r="AF5" s="251"/>
      <c r="AG5" s="252"/>
      <c r="AH5" s="253" t="s">
        <v>66</v>
      </c>
      <c r="AI5" s="254"/>
      <c r="AJ5" s="51">
        <v>0</v>
      </c>
      <c r="AK5" s="11" t="s">
        <v>120</v>
      </c>
      <c r="AL5" s="52">
        <v>5</v>
      </c>
    </row>
    <row r="6" spans="2:38" ht="15.75" thickBot="1" x14ac:dyDescent="0.25">
      <c r="B6" s="93" t="s">
        <v>2</v>
      </c>
      <c r="C6" s="258" t="s">
        <v>124</v>
      </c>
      <c r="D6" s="259"/>
      <c r="E6" s="260"/>
      <c r="F6" s="94" t="s">
        <v>0</v>
      </c>
      <c r="G6" s="246"/>
      <c r="H6" s="247"/>
      <c r="I6" s="248"/>
      <c r="R6" s="47">
        <v>2</v>
      </c>
      <c r="S6" s="268" t="s">
        <v>66</v>
      </c>
      <c r="T6" s="269"/>
      <c r="U6" s="270"/>
      <c r="V6" s="47">
        <f>COUNTIF(Feb[Baseline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COUNTIF(Feb[Baseline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COUNTIF(Feb[Baseline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282" t="s">
        <v>40</v>
      </c>
      <c r="E11" s="283"/>
      <c r="F11" s="284"/>
      <c r="G11" s="274" t="s">
        <v>41</v>
      </c>
      <c r="H11" s="275"/>
      <c r="I11" s="276"/>
      <c r="J11" s="277" t="s">
        <v>42</v>
      </c>
      <c r="K11" s="278"/>
      <c r="L11" s="279"/>
      <c r="M11" s="274" t="s">
        <v>47</v>
      </c>
      <c r="N11" s="275"/>
      <c r="O11" s="276"/>
      <c r="P11" s="277" t="s">
        <v>43</v>
      </c>
      <c r="Q11" s="278"/>
      <c r="R11" s="279"/>
      <c r="S11" s="274" t="s">
        <v>44</v>
      </c>
      <c r="T11" s="275"/>
      <c r="U11" s="276"/>
      <c r="V11" s="277" t="s">
        <v>95</v>
      </c>
      <c r="W11" s="278"/>
      <c r="X11" s="279"/>
      <c r="Y11" s="274" t="s">
        <v>45</v>
      </c>
      <c r="Z11" s="275"/>
      <c r="AA11" s="276"/>
      <c r="AB11" s="277" t="s">
        <v>46</v>
      </c>
      <c r="AC11" s="278"/>
      <c r="AD11" s="279"/>
    </row>
    <row r="12" spans="2:38" ht="55.5" thickBot="1" x14ac:dyDescent="0.25">
      <c r="B12" s="68" t="s">
        <v>3</v>
      </c>
      <c r="C12" s="77" t="s">
        <v>39</v>
      </c>
      <c r="D12" s="96" t="s">
        <v>4</v>
      </c>
      <c r="E12" s="95" t="s">
        <v>5</v>
      </c>
      <c r="F12" s="97" t="s">
        <v>6</v>
      </c>
      <c r="G12" s="81" t="s">
        <v>13</v>
      </c>
      <c r="H12" s="81" t="s">
        <v>14</v>
      </c>
      <c r="I12" s="32" t="s">
        <v>15</v>
      </c>
      <c r="J12" s="95" t="s">
        <v>16</v>
      </c>
      <c r="K12" s="95" t="s">
        <v>17</v>
      </c>
      <c r="L12" s="97" t="s">
        <v>18</v>
      </c>
      <c r="M12" s="81" t="s">
        <v>19</v>
      </c>
      <c r="N12" s="81" t="s">
        <v>20</v>
      </c>
      <c r="O12" s="32" t="s">
        <v>21</v>
      </c>
      <c r="P12" s="95" t="s">
        <v>22</v>
      </c>
      <c r="Q12" s="95" t="s">
        <v>23</v>
      </c>
      <c r="R12" s="97" t="s">
        <v>24</v>
      </c>
      <c r="S12" s="81" t="s">
        <v>25</v>
      </c>
      <c r="T12" s="81" t="s">
        <v>26</v>
      </c>
      <c r="U12" s="32" t="s">
        <v>27</v>
      </c>
      <c r="V12" s="95" t="s">
        <v>28</v>
      </c>
      <c r="W12" s="95" t="s">
        <v>29</v>
      </c>
      <c r="X12" s="97" t="s">
        <v>30</v>
      </c>
      <c r="Y12" s="81" t="s">
        <v>32</v>
      </c>
      <c r="Z12" s="81" t="s">
        <v>33</v>
      </c>
      <c r="AA12" s="32" t="s">
        <v>34</v>
      </c>
      <c r="AB12" s="95" t="s">
        <v>31</v>
      </c>
      <c r="AC12" s="95" t="s">
        <v>35</v>
      </c>
      <c r="AD12" s="97" t="s">
        <v>36</v>
      </c>
      <c r="AE12" s="98" t="s">
        <v>7</v>
      </c>
      <c r="AF12" s="97" t="s">
        <v>8</v>
      </c>
      <c r="AG12" s="83" t="s">
        <v>9</v>
      </c>
      <c r="AH12" s="32" t="s">
        <v>12</v>
      </c>
      <c r="AI12" s="98" t="s">
        <v>11</v>
      </c>
      <c r="AJ12" s="97" t="s">
        <v>10</v>
      </c>
      <c r="AK12" s="83" t="s">
        <v>37</v>
      </c>
      <c r="AL12" s="8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SUM(Feb[[#This Row],[Early]:[Night        ]])+(Feb[[#This Row],[Baseline Assessment Score]]*60)</f>
        <v>0</v>
      </c>
      <c r="AF13" s="16">
        <f>Feb[[#This Row],[Total Mins over 24 hr]]/60</f>
        <v>0</v>
      </c>
      <c r="AG13" s="13">
        <f>SUM(D13,G13,J13,M13,P13,S13,V13,Y13,AB13)+(Feb[[#This Row],[Baseline Assessment Score]]*60/3)</f>
        <v>0</v>
      </c>
      <c r="AH13" s="16">
        <f>SUM(Feb[[#This Row],[Early (08.00 - 14.00) ]]/60)</f>
        <v>0</v>
      </c>
      <c r="AI13" s="13">
        <f>SUM(E13,H13,K13,N13,Q13,T13,W13,Z13,AC13)+(Feb[[#This Row],[Baseline Assessment Score]]*60/3)</f>
        <v>0</v>
      </c>
      <c r="AJ13" s="16">
        <f>SUM(Feb[[#This Row],[Late (14.00 - 20.00) ]]/60)</f>
        <v>0</v>
      </c>
      <c r="AK13" s="13">
        <f>SUM(F13,I13,L13,O13,R13,U13,X13,AA13,AD13)+(Feb[[#This Row],[Baseline Assessment Score]]*60/3)</f>
        <v>0</v>
      </c>
      <c r="AL13" s="86">
        <f>SUM(Feb[[#This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SUM(Feb[[#This Row],[Early]:[Night        ]])+(Feb[[#This Row],[Baseline Assessment Score]]*60)</f>
        <v>0</v>
      </c>
      <c r="AF14" s="19">
        <f>Feb[[#This Row],[Total Mins over 24 hr]]/60</f>
        <v>0</v>
      </c>
      <c r="AG14" s="15">
        <f>SUM(D14,G14,J14,M14,P14,S14,V14,Y14,AB14)+(Feb[[#This Row],[Baseline Assessment Score]]*60/3)</f>
        <v>0</v>
      </c>
      <c r="AH14" s="19">
        <f>SUM(Feb[[#This Row],[Early (08.00 - 14.00) ]]/60)</f>
        <v>0</v>
      </c>
      <c r="AI14" s="15">
        <f>SUM(E14,H14,K14,N14,Q14,T14,W14,Z14,AC14)+(Feb[[#This Row],[Baseline Assessment Score]]*60/3)</f>
        <v>0</v>
      </c>
      <c r="AJ14" s="19">
        <f>SUM(Feb[[#This Row],[Late (14.00 - 20.00) ]]/60)</f>
        <v>0</v>
      </c>
      <c r="AK14" s="15">
        <f>SUM(F14,I14,L14,O14,R14,U14,X14,AA14,AD14)+(Feb[[#This Row],[Baseline Assessment Score]]*60/3)</f>
        <v>0</v>
      </c>
      <c r="AL14" s="88">
        <f>SUM(Feb[[#This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SUM(Feb[[#This Row],[Early]:[Night        ]])+(Feb[[#This Row],[Baseline Assessment Score]]*60)</f>
        <v>0</v>
      </c>
      <c r="AF15" s="19">
        <f>Feb[[#This Row],[Total Mins over 24 hr]]/60</f>
        <v>0</v>
      </c>
      <c r="AG15" s="15">
        <f>SUM(D15,G15,J15,M15,P15,S15,V15,Y15,AB15)+(Feb[[#This Row],[Baseline Assessment Score]]*60/3)</f>
        <v>0</v>
      </c>
      <c r="AH15" s="19">
        <f>SUM(Feb[[#This Row],[Early (08.00 - 14.00) ]]/60)</f>
        <v>0</v>
      </c>
      <c r="AI15" s="15">
        <f>SUM(E15,H15,K15,N15,Q15,T15,W15,Z15,AC15)+(Feb[[#This Row],[Baseline Assessment Score]]*60/3)</f>
        <v>0</v>
      </c>
      <c r="AJ15" s="19">
        <f>SUM(Feb[[#This Row],[Late (14.00 - 20.00) ]]/60)</f>
        <v>0</v>
      </c>
      <c r="AK15" s="15">
        <f>SUM(F15,I15,L15,O15,R15,U15,X15,AA15,AD15)+(Feb[[#This Row],[Baseline Assessment Score]]*60/3)</f>
        <v>0</v>
      </c>
      <c r="AL15" s="88">
        <f>SUM(Feb[[#This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SUM(Feb[[#This Row],[Early]:[Night        ]])+(Feb[[#This Row],[Baseline Assessment Score]]*60)</f>
        <v>0</v>
      </c>
      <c r="AF16" s="19">
        <f>Feb[[#This Row],[Total Mins over 24 hr]]/60</f>
        <v>0</v>
      </c>
      <c r="AG16" s="15">
        <f>SUM(D16,G16,J16,M16,P16,S16,V16,Y16,AB16)+(Feb[[#This Row],[Baseline Assessment Score]]*60/3)</f>
        <v>0</v>
      </c>
      <c r="AH16" s="19">
        <f>SUM(Feb[[#This Row],[Early (08.00 - 14.00) ]]/60)</f>
        <v>0</v>
      </c>
      <c r="AI16" s="15">
        <f>SUM(E16,H16,K16,N16,Q16,T16,W16,Z16,AC16)+(Feb[[#This Row],[Baseline Assessment Score]]*60/3)</f>
        <v>0</v>
      </c>
      <c r="AJ16" s="19">
        <f>SUM(Feb[[#This Row],[Late (14.00 - 20.00) ]]/60)</f>
        <v>0</v>
      </c>
      <c r="AK16" s="15">
        <f>SUM(F16,I16,L16,O16,R16,U16,X16,AA16,AD16)+(Feb[[#This Row],[Baseline Assessment Score]]*60/3)</f>
        <v>0</v>
      </c>
      <c r="AL16" s="88">
        <f>SUM(Feb[[#This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SUM(Feb[[#This Row],[Early]:[Night        ]])+(Feb[[#This Row],[Baseline Assessment Score]]*60)</f>
        <v>0</v>
      </c>
      <c r="AF17" s="19">
        <f>Feb[[#This Row],[Total Mins over 24 hr]]/60</f>
        <v>0</v>
      </c>
      <c r="AG17" s="15">
        <f>SUM(D17,G17,J17,M17,P17,S17,V17,Y17,AB17)+(Feb[[#This Row],[Baseline Assessment Score]]*60/3)</f>
        <v>0</v>
      </c>
      <c r="AH17" s="19">
        <f>SUM(Feb[[#This Row],[Early (08.00 - 14.00) ]]/60)</f>
        <v>0</v>
      </c>
      <c r="AI17" s="15">
        <f>SUM(E17,H17,K17,N17,Q17,T17,W17,Z17,AC17)+(Feb[[#This Row],[Baseline Assessment Score]]*60/3)</f>
        <v>0</v>
      </c>
      <c r="AJ17" s="19">
        <f>SUM(Feb[[#This Row],[Late (14.00 - 20.00) ]]/60)</f>
        <v>0</v>
      </c>
      <c r="AK17" s="15">
        <f>SUM(F17,I17,L17,O17,R17,U17,X17,AA17,AD17)+(Feb[[#This Row],[Baseline Assessment Score]]*60/3)</f>
        <v>0</v>
      </c>
      <c r="AL17" s="88">
        <f>SUM(Feb[[#This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SUM(Feb[[#This Row],[Early]:[Night        ]])+(Feb[[#This Row],[Baseline Assessment Score]]*60)</f>
        <v>0</v>
      </c>
      <c r="AF18" s="19">
        <f>Feb[[#This Row],[Total Mins over 24 hr]]/60</f>
        <v>0</v>
      </c>
      <c r="AG18" s="15">
        <f>SUM(D18,G18,J18,M18,P18,S18,V18,Y18,AB18)+(Feb[[#This Row],[Baseline Assessment Score]]*60/3)</f>
        <v>0</v>
      </c>
      <c r="AH18" s="19">
        <f>SUM(Feb[[#This Row],[Early (08.00 - 14.00) ]]/60)</f>
        <v>0</v>
      </c>
      <c r="AI18" s="15">
        <f>SUM(E18,H18,K18,N18,Q18,T18,W18,Z18,AC18)+(Feb[[#This Row],[Baseline Assessment Score]]*60/3)</f>
        <v>0</v>
      </c>
      <c r="AJ18" s="19">
        <f>SUM(Feb[[#This Row],[Late (14.00 - 20.00) ]]/60)</f>
        <v>0</v>
      </c>
      <c r="AK18" s="15">
        <f>SUM(F18,I18,L18,O18,R18,U18,X18,AA18,AD18)+(Feb[[#This Row],[Baseline Assessment Score]]*60/3)</f>
        <v>0</v>
      </c>
      <c r="AL18" s="88">
        <f>SUM(Feb[[#This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SUM(Feb[[#This Row],[Early]:[Night        ]])+(Feb[[#This Row],[Baseline Assessment Score]]*60)</f>
        <v>0</v>
      </c>
      <c r="AF19" s="19">
        <f>Feb[[#This Row],[Total Mins over 24 hr]]/60</f>
        <v>0</v>
      </c>
      <c r="AG19" s="15">
        <f>SUM(D19,G19,J19,M19,P19,S19,V19,Y19,AB19)+(Feb[[#This Row],[Baseline Assessment Score]]*60/3)</f>
        <v>0</v>
      </c>
      <c r="AH19" s="19">
        <f>SUM(Feb[[#This Row],[Early (08.00 - 14.00) ]]/60)</f>
        <v>0</v>
      </c>
      <c r="AI19" s="15">
        <f>SUM(E19,H19,K19,N19,Q19,T19,W19,Z19,AC19)+(Feb[[#This Row],[Baseline Assessment Score]]*60/3)</f>
        <v>0</v>
      </c>
      <c r="AJ19" s="19">
        <f>SUM(Feb[[#This Row],[Late (14.00 - 20.00) ]]/60)</f>
        <v>0</v>
      </c>
      <c r="AK19" s="15">
        <f>SUM(F19,I19,L19,O19,R19,U19,X19,AA19,AD19)+(Feb[[#This Row],[Baseline Assessment Score]]*60/3)</f>
        <v>0</v>
      </c>
      <c r="AL19" s="88">
        <f>SUM(Feb[[#This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SUM(Feb[[#This Row],[Early]:[Night        ]])+(Feb[[#This Row],[Baseline Assessment Score]]*60)</f>
        <v>0</v>
      </c>
      <c r="AF20" s="19">
        <f>Feb[[#This Row],[Total Mins over 24 hr]]/60</f>
        <v>0</v>
      </c>
      <c r="AG20" s="15">
        <f>SUM(D20,G20,J20,M20,P20,S20,V20,Y20,AB20)+(Feb[[#This Row],[Baseline Assessment Score]]*60/3)</f>
        <v>0</v>
      </c>
      <c r="AH20" s="19">
        <f>SUM(Feb[[#This Row],[Early (08.00 - 14.00) ]]/60)</f>
        <v>0</v>
      </c>
      <c r="AI20" s="15">
        <f>SUM(E20,H20,K20,N20,Q20,T20,W20,Z20,AC20)+(Feb[[#This Row],[Baseline Assessment Score]]*60/3)</f>
        <v>0</v>
      </c>
      <c r="AJ20" s="19">
        <f>SUM(Feb[[#This Row],[Late (14.00 - 20.00) ]]/60)</f>
        <v>0</v>
      </c>
      <c r="AK20" s="15">
        <f>SUM(F20,I20,L20,O20,R20,U20,X20,AA20,AD20)+(Feb[[#This Row],[Baseline Assessment Score]]*60/3)</f>
        <v>0</v>
      </c>
      <c r="AL20" s="88">
        <f>SUM(Feb[[#This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SUM(Feb[[#This Row],[Early]:[Night        ]])+(Feb[[#This Row],[Baseline Assessment Score]]*60)</f>
        <v>0</v>
      </c>
      <c r="AF21" s="19">
        <f>Feb[[#This Row],[Total Mins over 24 hr]]/60</f>
        <v>0</v>
      </c>
      <c r="AG21" s="15">
        <f>SUM(D21,G21,J21,M21,P21,S21,V21,Y21,AB21)+(Feb[[#This Row],[Baseline Assessment Score]]*60/3)</f>
        <v>0</v>
      </c>
      <c r="AH21" s="19">
        <f>SUM(Feb[[#This Row],[Early (08.00 - 14.00) ]]/60)</f>
        <v>0</v>
      </c>
      <c r="AI21" s="15">
        <f>SUM(E21,H21,K21,N21,Q21,T21,W21,Z21,AC21)+(Feb[[#This Row],[Baseline Assessment Score]]*60/3)</f>
        <v>0</v>
      </c>
      <c r="AJ21" s="19">
        <f>SUM(Feb[[#This Row],[Late (14.00 - 20.00) ]]/60)</f>
        <v>0</v>
      </c>
      <c r="AK21" s="15">
        <f>SUM(F21,I21,L21,O21,R21,U21,X21,AA21,AD21)+(Feb[[#This Row],[Baseline Assessment Score]]*60/3)</f>
        <v>0</v>
      </c>
      <c r="AL21" s="88">
        <f>SUM(Feb[[#This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SUM(Feb[[#This Row],[Early]:[Night        ]])+(Feb[[#This Row],[Baseline Assessment Score]]*60)</f>
        <v>0</v>
      </c>
      <c r="AF22" s="19">
        <f>Feb[[#This Row],[Total Mins over 24 hr]]/60</f>
        <v>0</v>
      </c>
      <c r="AG22" s="15">
        <f>SUM(D22,G22,J22,M22,P22,S22,V22,Y22,AB22)+(Feb[[#This Row],[Baseline Assessment Score]]*60/3)</f>
        <v>0</v>
      </c>
      <c r="AH22" s="19">
        <f>SUM(Feb[[#This Row],[Early (08.00 - 14.00) ]]/60)</f>
        <v>0</v>
      </c>
      <c r="AI22" s="15">
        <f>SUM(E22,H22,K22,N22,Q22,T22,W22,Z22,AC22)+(Feb[[#This Row],[Baseline Assessment Score]]*60/3)</f>
        <v>0</v>
      </c>
      <c r="AJ22" s="19">
        <f>SUM(Feb[[#This Row],[Late (14.00 - 20.00) ]]/60)</f>
        <v>0</v>
      </c>
      <c r="AK22" s="15">
        <f>SUM(F22,I22,L22,O22,R22,U22,X22,AA22,AD22)+(Feb[[#This Row],[Baseline Assessment Score]]*60/3)</f>
        <v>0</v>
      </c>
      <c r="AL22" s="88">
        <f>SUM(Feb[[#This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SUM(Feb[[#This Row],[Early]:[Night        ]])+(Feb[[#This Row],[Baseline Assessment Score]]*60)</f>
        <v>0</v>
      </c>
      <c r="AF23" s="19">
        <f>Feb[[#This Row],[Total Mins over 24 hr]]/60</f>
        <v>0</v>
      </c>
      <c r="AG23" s="15">
        <f>SUM(D23,G23,J23,M23,P23,S23,V23,Y23,AB23)+(Feb[[#This Row],[Baseline Assessment Score]]*60/3)</f>
        <v>0</v>
      </c>
      <c r="AH23" s="19">
        <f>SUM(Feb[[#This Row],[Early (08.00 - 14.00) ]]/60)</f>
        <v>0</v>
      </c>
      <c r="AI23" s="15">
        <f>SUM(E23,H23,K23,N23,Q23,T23,W23,Z23,AC23)+(Feb[[#This Row],[Baseline Assessment Score]]*60/3)</f>
        <v>0</v>
      </c>
      <c r="AJ23" s="19">
        <f>SUM(Feb[[#This Row],[Late (14.00 - 20.00) ]]/60)</f>
        <v>0</v>
      </c>
      <c r="AK23" s="15">
        <f>SUM(F23,I23,L23,O23,R23,U23,X23,AA23,AD23)+(Feb[[#This Row],[Baseline Assessment Score]]*60/3)</f>
        <v>0</v>
      </c>
      <c r="AL23" s="88">
        <f>SUM(Feb[[#This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SUM(Feb[[#This Row],[Early]:[Night        ]])+(Feb[[#This Row],[Baseline Assessment Score]]*60)</f>
        <v>0</v>
      </c>
      <c r="AF24" s="19">
        <f>Feb[[#This Row],[Total Mins over 24 hr]]/60</f>
        <v>0</v>
      </c>
      <c r="AG24" s="15">
        <f>SUM(D24,G24,J24,M24,P24,S24,V24,Y24,AB24)+(Feb[[#This Row],[Baseline Assessment Score]]*60/3)</f>
        <v>0</v>
      </c>
      <c r="AH24" s="19">
        <f>SUM(Feb[[#This Row],[Early (08.00 - 14.00) ]]/60)</f>
        <v>0</v>
      </c>
      <c r="AI24" s="15">
        <f>SUM(E24,H24,K24,N24,Q24,T24,W24,Z24,AC24)+(Feb[[#This Row],[Baseline Assessment Score]]*60/3)</f>
        <v>0</v>
      </c>
      <c r="AJ24" s="19">
        <f>SUM(Feb[[#This Row],[Late (14.00 - 20.00) ]]/60)</f>
        <v>0</v>
      </c>
      <c r="AK24" s="15">
        <f>SUM(F24,I24,L24,O24,R24,U24,X24,AA24,AD24)+(Feb[[#This Row],[Baseline Assessment Score]]*60/3)</f>
        <v>0</v>
      </c>
      <c r="AL24" s="88">
        <f>SUM(Feb[[#This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SUM(Feb[[#This Row],[Early]:[Night        ]])+(Feb[[#This Row],[Baseline Assessment Score]]*60)</f>
        <v>0</v>
      </c>
      <c r="AF25" s="19">
        <f>Feb[[#This Row],[Total Mins over 24 hr]]/60</f>
        <v>0</v>
      </c>
      <c r="AG25" s="15">
        <f>SUM(D25,G25,J25,M25,P25,S25,V25,Y25,AB25)+(Feb[[#This Row],[Baseline Assessment Score]]*60/3)</f>
        <v>0</v>
      </c>
      <c r="AH25" s="19">
        <f>SUM(Feb[[#This Row],[Early (08.00 - 14.00) ]]/60)</f>
        <v>0</v>
      </c>
      <c r="AI25" s="15">
        <f>SUM(E25,H25,K25,N25,Q25,T25,W25,Z25,AC25)+(Feb[[#This Row],[Baseline Assessment Score]]*60/3)</f>
        <v>0</v>
      </c>
      <c r="AJ25" s="19">
        <f>SUM(Feb[[#This Row],[Late (14.00 - 20.00) ]]/60)</f>
        <v>0</v>
      </c>
      <c r="AK25" s="15">
        <f>SUM(F25,I25,L25,O25,R25,U25,X25,AA25,AD25)+(Feb[[#This Row],[Baseline Assessment Score]]*60/3)</f>
        <v>0</v>
      </c>
      <c r="AL25" s="88">
        <f>SUM(Feb[[#This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SUM(Feb[[#This Row],[Early]:[Night        ]])+(Feb[[#This Row],[Baseline Assessment Score]]*60)</f>
        <v>0</v>
      </c>
      <c r="AF26" s="19">
        <f>Feb[[#This Row],[Total Mins over 24 hr]]/60</f>
        <v>0</v>
      </c>
      <c r="AG26" s="15">
        <f>SUM(D26,G26,J26,M26,P26,S26,V26,Y26,AB26)+(Feb[[#This Row],[Baseline Assessment Score]]*60/3)</f>
        <v>0</v>
      </c>
      <c r="AH26" s="19">
        <f>SUM(Feb[[#This Row],[Early (08.00 - 14.00) ]]/60)</f>
        <v>0</v>
      </c>
      <c r="AI26" s="15">
        <f>SUM(E26,H26,K26,N26,Q26,T26,W26,Z26,AC26)+(Feb[[#This Row],[Baseline Assessment Score]]*60/3)</f>
        <v>0</v>
      </c>
      <c r="AJ26" s="19">
        <f>SUM(Feb[[#This Row],[Late (14.00 - 20.00) ]]/60)</f>
        <v>0</v>
      </c>
      <c r="AK26" s="15">
        <f>SUM(F26,I26,L26,O26,R26,U26,X26,AA26,AD26)+(Feb[[#This Row],[Baseline Assessment Score]]*60/3)</f>
        <v>0</v>
      </c>
      <c r="AL26" s="88">
        <f>SUM(Feb[[#This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SUM(Feb[[#This Row],[Early]:[Night        ]])+(Feb[[#This Row],[Baseline Assessment Score]]*60)</f>
        <v>0</v>
      </c>
      <c r="AF27" s="19">
        <f>Feb[[#This Row],[Total Mins over 24 hr]]/60</f>
        <v>0</v>
      </c>
      <c r="AG27" s="15">
        <f>SUM(D27,G27,J27,M27,P27,S27,V27,Y27,AB27)+(Feb[[#This Row],[Baseline Assessment Score]]*60/3)</f>
        <v>0</v>
      </c>
      <c r="AH27" s="19">
        <f>SUM(Feb[[#This Row],[Early (08.00 - 14.00) ]]/60)</f>
        <v>0</v>
      </c>
      <c r="AI27" s="15">
        <f>SUM(E27,H27,K27,N27,Q27,T27,W27,Z27,AC27)+(Feb[[#This Row],[Baseline Assessment Score]]*60/3)</f>
        <v>0</v>
      </c>
      <c r="AJ27" s="19">
        <f>SUM(Feb[[#This Row],[Late (14.00 - 20.00) ]]/60)</f>
        <v>0</v>
      </c>
      <c r="AK27" s="15">
        <f>SUM(F27,I27,L27,O27,R27,U27,X27,AA27,AD27)+(Feb[[#This Row],[Baseline Assessment Score]]*60/3)</f>
        <v>0</v>
      </c>
      <c r="AL27" s="88">
        <f>SUM(Feb[[#This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SUM(Feb[[#This Row],[Early]:[Night        ]])+(Feb[[#This Row],[Baseline Assessment Score]]*60)</f>
        <v>0</v>
      </c>
      <c r="AF28" s="19">
        <f>Feb[[#This Row],[Total Mins over 24 hr]]/60</f>
        <v>0</v>
      </c>
      <c r="AG28" s="15">
        <f>SUM(D28,G28,J28,M28,P28,S28,V28,Y28,AB28)+(Feb[[#This Row],[Baseline Assessment Score]]*60/3)</f>
        <v>0</v>
      </c>
      <c r="AH28" s="19">
        <f>SUM(Feb[[#This Row],[Early (08.00 - 14.00) ]]/60)</f>
        <v>0</v>
      </c>
      <c r="AI28" s="15">
        <f>SUM(E28,H28,K28,N28,Q28,T28,W28,Z28,AC28)+(Feb[[#This Row],[Baseline Assessment Score]]*60/3)</f>
        <v>0</v>
      </c>
      <c r="AJ28" s="19">
        <f>SUM(Feb[[#This Row],[Late (14.00 - 20.00) ]]/60)</f>
        <v>0</v>
      </c>
      <c r="AK28" s="15">
        <f>SUM(F28,I28,L28,O28,R28,U28,X28,AA28,AD28)+(Feb[[#This Row],[Baseline Assessment Score]]*60/3)</f>
        <v>0</v>
      </c>
      <c r="AL28" s="88">
        <f>SUM(Feb[[#This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SUM(Feb[[#This Row],[Early]:[Night        ]])+(Feb[[#This Row],[Baseline Assessment Score]]*60)</f>
        <v>0</v>
      </c>
      <c r="AF29" s="19">
        <f>Feb[[#This Row],[Total Mins over 24 hr]]/60</f>
        <v>0</v>
      </c>
      <c r="AG29" s="15">
        <f>SUM(D29,G29,J29,M29,P29,S29,V29,Y29,AB29)+(Feb[[#This Row],[Baseline Assessment Score]]*60/3)</f>
        <v>0</v>
      </c>
      <c r="AH29" s="19">
        <f>SUM(Feb[[#This Row],[Early (08.00 - 14.00) ]]/60)</f>
        <v>0</v>
      </c>
      <c r="AI29" s="15">
        <f>SUM(E29,H29,K29,N29,Q29,T29,W29,Z29,AC29)+(Feb[[#This Row],[Baseline Assessment Score]]*60/3)</f>
        <v>0</v>
      </c>
      <c r="AJ29" s="19">
        <f>SUM(Feb[[#This Row],[Late (14.00 - 20.00) ]]/60)</f>
        <v>0</v>
      </c>
      <c r="AK29" s="15">
        <f>SUM(F29,I29,L29,O29,R29,U29,X29,AA29,AD29)+(Feb[[#This Row],[Baseline Assessment Score]]*60/3)</f>
        <v>0</v>
      </c>
      <c r="AL29" s="88">
        <f>SUM(Feb[[#This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SUM(Feb[[#This Row],[Early]:[Night        ]])+(Feb[[#This Row],[Baseline Assessment Score]]*60)</f>
        <v>0</v>
      </c>
      <c r="AF30" s="19">
        <f>Feb[[#This Row],[Total Mins over 24 hr]]/60</f>
        <v>0</v>
      </c>
      <c r="AG30" s="15">
        <f>SUM(D30,G30,J30,M30,P30,S30,V30,Y30,AB30)+(Feb[[#This Row],[Baseline Assessment Score]]*60/3)</f>
        <v>0</v>
      </c>
      <c r="AH30" s="19">
        <f>SUM(Feb[[#This Row],[Early (08.00 - 14.00) ]]/60)</f>
        <v>0</v>
      </c>
      <c r="AI30" s="15">
        <f>SUM(E30,H30,K30,N30,Q30,T30,W30,Z30,AC30)+(Feb[[#This Row],[Baseline Assessment Score]]*60/3)</f>
        <v>0</v>
      </c>
      <c r="AJ30" s="19">
        <f>SUM(Feb[[#This Row],[Late (14.00 - 20.00) ]]/60)</f>
        <v>0</v>
      </c>
      <c r="AK30" s="15">
        <f>SUM(F30,I30,L30,O30,R30,U30,X30,AA30,AD30)+(Feb[[#This Row],[Baseline Assessment Score]]*60/3)</f>
        <v>0</v>
      </c>
      <c r="AL30" s="88">
        <f>SUM(Feb[[#This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SUM(Feb[[#This Row],[Early]:[Night        ]])+(Feb[[#This Row],[Baseline Assessment Score]]*60)</f>
        <v>0</v>
      </c>
      <c r="AF31" s="19">
        <f>Feb[[#This Row],[Total Mins over 24 hr]]/60</f>
        <v>0</v>
      </c>
      <c r="AG31" s="15">
        <f>SUM(D31,G31,J31,M31,P31,S31,V31,Y31,AB31)+(Feb[[#This Row],[Baseline Assessment Score]]*60/3)</f>
        <v>0</v>
      </c>
      <c r="AH31" s="19">
        <f>SUM(Feb[[#This Row],[Early (08.00 - 14.00) ]]/60)</f>
        <v>0</v>
      </c>
      <c r="AI31" s="15">
        <f>SUM(E31,H31,K31,N31,Q31,T31,W31,Z31,AC31)+(Feb[[#This Row],[Baseline Assessment Score]]*60/3)</f>
        <v>0</v>
      </c>
      <c r="AJ31" s="19">
        <f>SUM(Feb[[#This Row],[Late (14.00 - 20.00) ]]/60)</f>
        <v>0</v>
      </c>
      <c r="AK31" s="15">
        <f>SUM(F31,I31,L31,O31,R31,U31,X31,AA31,AD31)+(Feb[[#This Row],[Baseline Assessment Score]]*60/3)</f>
        <v>0</v>
      </c>
      <c r="AL31" s="88">
        <f>SUM(Feb[[#This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SUM(Feb[[#This Row],[Early]:[Night        ]])+(Feb[[#This Row],[Baseline Assessment Score]]*60)</f>
        <v>0</v>
      </c>
      <c r="AF32" s="19">
        <f>Feb[[#This Row],[Total Mins over 24 hr]]/60</f>
        <v>0</v>
      </c>
      <c r="AG32" s="15">
        <f>SUM(D32,G32,J32,M32,P32,S32,V32,Y32,AB32)+(Feb[[#This Row],[Baseline Assessment Score]]*60/3)</f>
        <v>0</v>
      </c>
      <c r="AH32" s="19">
        <f>SUM(Feb[[#This Row],[Early (08.00 - 14.00) ]]/60)</f>
        <v>0</v>
      </c>
      <c r="AI32" s="15">
        <f>SUM(E32,H32,K32,N32,Q32,T32,W32,Z32,AC32)+(Feb[[#This Row],[Baseline Assessment Score]]*60/3)</f>
        <v>0</v>
      </c>
      <c r="AJ32" s="19">
        <f>SUM(Feb[[#This Row],[Late (14.00 - 20.00) ]]/60)</f>
        <v>0</v>
      </c>
      <c r="AK32" s="15">
        <f>SUM(F32,I32,L32,O32,R32,U32,X32,AA32,AD32)+(Feb[[#This Row],[Baseline Assessment Score]]*60/3)</f>
        <v>0</v>
      </c>
      <c r="AL32" s="88">
        <f>SUM(Feb[[#This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SUM(Feb[[#This Row],[Early]:[Night        ]])+(Feb[[#This Row],[Baseline Assessment Score]]*60)</f>
        <v>0</v>
      </c>
      <c r="AF33" s="19">
        <f>Feb[[#This Row],[Total Mins over 24 hr]]/60</f>
        <v>0</v>
      </c>
      <c r="AG33" s="15">
        <f>SUM(D33,G33,J33,M33,P33,S33,V33,Y33,AB33)+(Feb[[#This Row],[Baseline Assessment Score]]*60/3)</f>
        <v>0</v>
      </c>
      <c r="AH33" s="19">
        <f>SUM(Feb[[#This Row],[Early (08.00 - 14.00) ]]/60)</f>
        <v>0</v>
      </c>
      <c r="AI33" s="15">
        <f>SUM(E33,H33,K33,N33,Q33,T33,W33,Z33,AC33)+(Feb[[#This Row],[Baseline Assessment Score]]*60/3)</f>
        <v>0</v>
      </c>
      <c r="AJ33" s="19">
        <f>SUM(Feb[[#This Row],[Late (14.00 - 20.00) ]]/60)</f>
        <v>0</v>
      </c>
      <c r="AK33" s="15">
        <f>SUM(F33,I33,L33,O33,R33,U33,X33,AA33,AD33)+(Feb[[#This Row],[Baseline Assessment Score]]*60/3)</f>
        <v>0</v>
      </c>
      <c r="AL33" s="88">
        <f>SUM(Feb[[#This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SUM(Feb[[#This Row],[Early]:[Night        ]])+(Feb[[#This Row],[Baseline Assessment Score]]*60)</f>
        <v>0</v>
      </c>
      <c r="AF34" s="19">
        <f>Feb[[#This Row],[Total Mins over 24 hr]]/60</f>
        <v>0</v>
      </c>
      <c r="AG34" s="15">
        <f>SUM(D34,G34,J34,M34,P34,S34,V34,Y34,AB34)+(Feb[[#This Row],[Baseline Assessment Score]]*60/3)</f>
        <v>0</v>
      </c>
      <c r="AH34" s="19">
        <f>SUM(Feb[[#This Row],[Early (08.00 - 14.00) ]]/60)</f>
        <v>0</v>
      </c>
      <c r="AI34" s="15">
        <f>SUM(E34,H34,K34,N34,Q34,T34,W34,Z34,AC34)+(Feb[[#This Row],[Baseline Assessment Score]]*60/3)</f>
        <v>0</v>
      </c>
      <c r="AJ34" s="19">
        <f>SUM(Feb[[#This Row],[Late (14.00 - 20.00) ]]/60)</f>
        <v>0</v>
      </c>
      <c r="AK34" s="15">
        <f>SUM(F34,I34,L34,O34,R34,U34,X34,AA34,AD34)+(Feb[[#This Row],[Baseline Assessment Score]]*60/3)</f>
        <v>0</v>
      </c>
      <c r="AL34" s="88">
        <f>SUM(Feb[[#This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SUM(Feb[[#This Row],[Early]:[Night        ]])+(Feb[[#This Row],[Baseline Assessment Score]]*60)</f>
        <v>0</v>
      </c>
      <c r="AF35" s="19">
        <f>Feb[[#This Row],[Total Mins over 24 hr]]/60</f>
        <v>0</v>
      </c>
      <c r="AG35" s="15">
        <f>SUM(D35,G35,J35,M35,P35,S35,V35,Y35,AB35)+(Feb[[#This Row],[Baseline Assessment Score]]*60/3)</f>
        <v>0</v>
      </c>
      <c r="AH35" s="19">
        <f>SUM(Feb[[#This Row],[Early (08.00 - 14.00) ]]/60)</f>
        <v>0</v>
      </c>
      <c r="AI35" s="15">
        <f>SUM(E35,H35,K35,N35,Q35,T35,W35,Z35,AC35)+(Feb[[#This Row],[Baseline Assessment Score]]*60/3)</f>
        <v>0</v>
      </c>
      <c r="AJ35" s="19">
        <f>SUM(Feb[[#This Row],[Late (14.00 - 20.00) ]]/60)</f>
        <v>0</v>
      </c>
      <c r="AK35" s="15">
        <f>SUM(F35,I35,L35,O35,R35,U35,X35,AA35,AD35)+(Feb[[#This Row],[Baseline Assessment Score]]*60/3)</f>
        <v>0</v>
      </c>
      <c r="AL35" s="88">
        <f>SUM(Feb[[#This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SUM(Feb[[#This Row],[Early]:[Night        ]])+(Feb[[#This Row],[Baseline Assessment Score]]*60)</f>
        <v>0</v>
      </c>
      <c r="AF36" s="20">
        <f>Feb[[#This Row],[Total Mins over 24 hr]]/60</f>
        <v>0</v>
      </c>
      <c r="AG36" s="18">
        <f>SUM(D36,G36,J36,M36,P36,S36,V36,Y36,AB36)+(Feb[[#This Row],[Baseline Assessment Score]]*60/3)</f>
        <v>0</v>
      </c>
      <c r="AH36" s="20">
        <f>SUM(Feb[[#This Row],[Early (08.00 - 14.00) ]]/60)</f>
        <v>0</v>
      </c>
      <c r="AI36" s="18">
        <f>SUM(E36,H36,K36,N36,Q36,T36,W36,Z36,AC36)+(Feb[[#This Row],[Baseline Assessment Score]]*60/3)</f>
        <v>0</v>
      </c>
      <c r="AJ36" s="20">
        <f>SUM(Feb[[#This Row],[Late (14.00 - 20.00) ]]/60)</f>
        <v>0</v>
      </c>
      <c r="AK36" s="18">
        <f>SUM(F36,I36,L36,O36,R36,U36,X36,AA36,AD36)+(Feb[[#This Row],[Baseline Assessment Score]]*60/3)</f>
        <v>0</v>
      </c>
      <c r="AL36" s="91">
        <f>SUM(Feb[[#This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280" t="s">
        <v>51</v>
      </c>
      <c r="W37" s="281"/>
      <c r="X37" s="281"/>
      <c r="Y37" s="281"/>
      <c r="Z37" s="281"/>
      <c r="AA37" s="281"/>
      <c r="AB37" s="281"/>
      <c r="AC37" s="281"/>
      <c r="AD37" s="281"/>
      <c r="AE37" s="285">
        <f>SUM(Feb[Actual contact time (hours)])</f>
        <v>0</v>
      </c>
      <c r="AF37" s="285"/>
      <c r="AG37" s="285">
        <f>SUM(Feb[Contact time per shift])</f>
        <v>0</v>
      </c>
      <c r="AH37" s="286"/>
      <c r="AI37" s="285">
        <f>SUM(Feb[[Contact time per shift ]])</f>
        <v>0</v>
      </c>
      <c r="AJ37" s="286"/>
      <c r="AK37" s="285">
        <f>SUM(Feb[[Contact time per shift  ]])</f>
        <v>0</v>
      </c>
      <c r="AL37" s="287"/>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COUNTIF(Feb[Adults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83" priority="2" operator="greaterThan">
      <formula>$AL$7</formula>
    </cfRule>
    <cfRule type="cellIs" dxfId="82" priority="3" operator="between">
      <formula>$AJ$7</formula>
      <formula>$AL$7</formula>
    </cfRule>
    <cfRule type="cellIs" dxfId="81" priority="4" operator="between">
      <formula>$AJ$6</formula>
      <formula>$AL$6</formula>
    </cfRule>
    <cfRule type="cellIs" dxfId="80" priority="5" operator="between">
      <formula>$AJ$5</formula>
      <formula>$AL$5</formula>
    </cfRule>
  </conditionalFormatting>
  <dataValidations count="1">
    <dataValidation type="list" allowBlank="1" showInputMessage="1" showErrorMessage="1" sqref="C13:C36" xr:uid="{E7869458-48F8-431B-BAB4-E966CBC3A621}">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F270941C-452E-4F7A-A251-BA467F497E08}">
            <xm:f>NOT(ISERROR(SEARCH($R$8,C13)))</xm:f>
            <xm:f>$R$8</xm:f>
            <x14:dxf>
              <fill>
                <patternFill>
                  <bgColor rgb="FFFF9999"/>
                </patternFill>
              </fill>
            </x14:dxf>
          </x14:cfRule>
          <x14:cfRule type="containsText" priority="7" operator="containsText" id="{AEE5EE8E-B98D-4998-925C-4F07349C5A2E}">
            <xm:f>NOT(ISERROR(SEARCH($R$7,C13)))</xm:f>
            <xm:f>$R$7</xm:f>
            <x14:dxf>
              <fill>
                <patternFill>
                  <bgColor theme="5" tint="0.59996337778862885"/>
                </patternFill>
              </fill>
            </x14:dxf>
          </x14:cfRule>
          <x14:cfRule type="containsText" priority="8" operator="containsText" id="{498299E6-DE4B-4D41-A614-23DA4BFDBE28}">
            <xm:f>NOT(ISERROR(SEARCH($R$6,C13)))</xm:f>
            <xm:f>$R$6</xm:f>
            <x14:dxf>
              <fill>
                <patternFill>
                  <bgColor theme="9" tint="0.59996337778862885"/>
                </patternFill>
              </fill>
            </x14:dxf>
          </x14:cfRule>
          <x14:cfRule type="containsText" priority="9" operator="containsText" id="{EE4164DF-EEBA-4DAB-AC9D-3F0D61CBEDCC}">
            <xm:f>NOT(ISERROR(SEARCH($R$5,C13)))</xm:f>
            <xm:f>$R$5</xm:f>
            <x14:dxf>
              <fill>
                <patternFill>
                  <bgColor theme="8" tint="0.79998168889431442"/>
                </patternFill>
              </fill>
            </x14:dxf>
          </x14:cfRule>
          <xm:sqref>C13:C36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14353-C345-4EB3-9902-6353E9B5C9F2}">
  <sheetPr>
    <tabColor theme="9" tint="0.39997558519241921"/>
  </sheetPr>
  <dimension ref="B2:AL58"/>
  <sheetViews>
    <sheetView zoomScale="80" zoomScaleNormal="80" workbookViewId="0">
      <selection activeCell="F15" sqref="F15"/>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99" t="s">
        <v>1</v>
      </c>
      <c r="C5" s="255"/>
      <c r="D5" s="256"/>
      <c r="E5" s="256"/>
      <c r="F5" s="256"/>
      <c r="G5" s="256"/>
      <c r="H5" s="256"/>
      <c r="I5" s="257"/>
      <c r="R5" s="46">
        <v>1</v>
      </c>
      <c r="S5" s="271" t="s">
        <v>116</v>
      </c>
      <c r="T5" s="272"/>
      <c r="U5" s="273"/>
      <c r="V5" s="46">
        <f>COUNTIF(Mar[Baseline Assessment Score],1)</f>
        <v>0</v>
      </c>
      <c r="AE5" s="250" t="s">
        <v>119</v>
      </c>
      <c r="AF5" s="251"/>
      <c r="AG5" s="252"/>
      <c r="AH5" s="253" t="s">
        <v>66</v>
      </c>
      <c r="AI5" s="254"/>
      <c r="AJ5" s="51">
        <v>0</v>
      </c>
      <c r="AK5" s="11" t="s">
        <v>120</v>
      </c>
      <c r="AL5" s="52">
        <v>5</v>
      </c>
    </row>
    <row r="6" spans="2:38" ht="15.75" thickBot="1" x14ac:dyDescent="0.25">
      <c r="B6" s="100" t="s">
        <v>2</v>
      </c>
      <c r="C6" s="258" t="s">
        <v>125</v>
      </c>
      <c r="D6" s="259"/>
      <c r="E6" s="260"/>
      <c r="F6" s="101" t="s">
        <v>0</v>
      </c>
      <c r="G6" s="246"/>
      <c r="H6" s="247"/>
      <c r="I6" s="248"/>
      <c r="R6" s="47">
        <v>2</v>
      </c>
      <c r="S6" s="268" t="s">
        <v>66</v>
      </c>
      <c r="T6" s="269"/>
      <c r="U6" s="270"/>
      <c r="V6" s="47">
        <f>COUNTIF(Mar[Baseline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COUNTIF(Mar[Baseline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COUNTIF(Mar[Baseline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296" t="s">
        <v>40</v>
      </c>
      <c r="E11" s="297"/>
      <c r="F11" s="298"/>
      <c r="G11" s="288" t="s">
        <v>41</v>
      </c>
      <c r="H11" s="289"/>
      <c r="I11" s="290"/>
      <c r="J11" s="291" t="s">
        <v>42</v>
      </c>
      <c r="K11" s="292"/>
      <c r="L11" s="293"/>
      <c r="M11" s="288" t="s">
        <v>47</v>
      </c>
      <c r="N11" s="289"/>
      <c r="O11" s="290"/>
      <c r="P11" s="291" t="s">
        <v>43</v>
      </c>
      <c r="Q11" s="292"/>
      <c r="R11" s="293"/>
      <c r="S11" s="288" t="s">
        <v>44</v>
      </c>
      <c r="T11" s="289"/>
      <c r="U11" s="290"/>
      <c r="V11" s="291" t="s">
        <v>95</v>
      </c>
      <c r="W11" s="292"/>
      <c r="X11" s="293"/>
      <c r="Y11" s="288" t="s">
        <v>45</v>
      </c>
      <c r="Z11" s="289"/>
      <c r="AA11" s="290"/>
      <c r="AB11" s="291" t="s">
        <v>46</v>
      </c>
      <c r="AC11" s="292"/>
      <c r="AD11" s="293"/>
    </row>
    <row r="12" spans="2:38" ht="55.5" thickBot="1" x14ac:dyDescent="0.25">
      <c r="B12" s="68" t="s">
        <v>3</v>
      </c>
      <c r="C12" s="77" t="s">
        <v>39</v>
      </c>
      <c r="D12" s="102" t="s">
        <v>4</v>
      </c>
      <c r="E12" s="103" t="s">
        <v>5</v>
      </c>
      <c r="F12" s="104" t="s">
        <v>6</v>
      </c>
      <c r="G12" s="81" t="s">
        <v>13</v>
      </c>
      <c r="H12" s="81" t="s">
        <v>14</v>
      </c>
      <c r="I12" s="32" t="s">
        <v>15</v>
      </c>
      <c r="J12" s="103" t="s">
        <v>16</v>
      </c>
      <c r="K12" s="103" t="s">
        <v>17</v>
      </c>
      <c r="L12" s="104" t="s">
        <v>18</v>
      </c>
      <c r="M12" s="81" t="s">
        <v>19</v>
      </c>
      <c r="N12" s="81" t="s">
        <v>20</v>
      </c>
      <c r="O12" s="32" t="s">
        <v>21</v>
      </c>
      <c r="P12" s="103" t="s">
        <v>22</v>
      </c>
      <c r="Q12" s="103" t="s">
        <v>23</v>
      </c>
      <c r="R12" s="104" t="s">
        <v>24</v>
      </c>
      <c r="S12" s="81" t="s">
        <v>25</v>
      </c>
      <c r="T12" s="81" t="s">
        <v>26</v>
      </c>
      <c r="U12" s="32" t="s">
        <v>27</v>
      </c>
      <c r="V12" s="103" t="s">
        <v>28</v>
      </c>
      <c r="W12" s="103" t="s">
        <v>29</v>
      </c>
      <c r="X12" s="104" t="s">
        <v>30</v>
      </c>
      <c r="Y12" s="81" t="s">
        <v>32</v>
      </c>
      <c r="Z12" s="81" t="s">
        <v>33</v>
      </c>
      <c r="AA12" s="32" t="s">
        <v>34</v>
      </c>
      <c r="AB12" s="103" t="s">
        <v>31</v>
      </c>
      <c r="AC12" s="103" t="s">
        <v>35</v>
      </c>
      <c r="AD12" s="104" t="s">
        <v>36</v>
      </c>
      <c r="AE12" s="105" t="s">
        <v>7</v>
      </c>
      <c r="AF12" s="104" t="s">
        <v>8</v>
      </c>
      <c r="AG12" s="83" t="s">
        <v>9</v>
      </c>
      <c r="AH12" s="32" t="s">
        <v>12</v>
      </c>
      <c r="AI12" s="105" t="s">
        <v>11</v>
      </c>
      <c r="AJ12" s="104" t="s">
        <v>10</v>
      </c>
      <c r="AK12" s="83" t="s">
        <v>37</v>
      </c>
      <c r="AL12" s="8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SUM(Mar[[#This Row],[Early]:[Night        ]])+(Mar[[#This Row],[Baseline Assessment Score]]*60)</f>
        <v>0</v>
      </c>
      <c r="AF13" s="16">
        <f>Mar[[#This Row],[Total Mins over 24 hr]]/60</f>
        <v>0</v>
      </c>
      <c r="AG13" s="13">
        <f>SUM(D13,G13,J13,M13,P13,S13,V13,Y13,AB13)+(Mar[[#This Row],[Baseline Assessment Score]]*60/3)</f>
        <v>0</v>
      </c>
      <c r="AH13" s="16">
        <f>SUM(Mar[[#This Row],[Early (08.00 - 14.00) ]]/60)</f>
        <v>0</v>
      </c>
      <c r="AI13" s="13">
        <f>SUM(E13,H13,K13,N13,Q13,T13,W13,Z13,AC13)+(Mar[[#This Row],[Baseline Assessment Score]]*60/3)</f>
        <v>0</v>
      </c>
      <c r="AJ13" s="16">
        <f>SUM(Mar[[#This Row],[Late (14.00 - 20.00) ]]/60)</f>
        <v>0</v>
      </c>
      <c r="AK13" s="13">
        <f>SUM(F13,I13,L13,O13,R13,U13,X13,AA13,AD13)+(Mar[[#This Row],[Baseline Assessment Score]]*60/3)</f>
        <v>0</v>
      </c>
      <c r="AL13" s="86">
        <f>SUM(Mar[[#This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SUM(Mar[[#This Row],[Early]:[Night        ]])+(Mar[[#This Row],[Baseline Assessment Score]]*60)</f>
        <v>0</v>
      </c>
      <c r="AF14" s="19">
        <f>Mar[[#This Row],[Total Mins over 24 hr]]/60</f>
        <v>0</v>
      </c>
      <c r="AG14" s="15">
        <f>SUM(D14,G14,J14,M14,P14,S14,V14,Y14,AB14)+(Mar[[#This Row],[Baseline Assessment Score]]*60/3)</f>
        <v>0</v>
      </c>
      <c r="AH14" s="19">
        <f>SUM(Mar[[#This Row],[Early (08.00 - 14.00) ]]/60)</f>
        <v>0</v>
      </c>
      <c r="AI14" s="15">
        <f>SUM(E14,H14,K14,N14,Q14,T14,W14,Z14,AC14)+(Mar[[#This Row],[Baseline Assessment Score]]*60/3)</f>
        <v>0</v>
      </c>
      <c r="AJ14" s="19">
        <f>SUM(Mar[[#This Row],[Late (14.00 - 20.00) ]]/60)</f>
        <v>0</v>
      </c>
      <c r="AK14" s="15">
        <f>SUM(F14,I14,L14,O14,R14,U14,X14,AA14,AD14)+(Mar[[#This Row],[Baseline Assessment Score]]*60/3)</f>
        <v>0</v>
      </c>
      <c r="AL14" s="88">
        <f>SUM(Mar[[#This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SUM(Mar[[#This Row],[Early]:[Night        ]])+(Mar[[#This Row],[Baseline Assessment Score]]*60)</f>
        <v>0</v>
      </c>
      <c r="AF15" s="19">
        <f>Mar[[#This Row],[Total Mins over 24 hr]]/60</f>
        <v>0</v>
      </c>
      <c r="AG15" s="15">
        <f>SUM(D15,G15,J15,M15,P15,S15,V15,Y15,AB15)+(Mar[[#This Row],[Baseline Assessment Score]]*60/3)</f>
        <v>0</v>
      </c>
      <c r="AH15" s="19">
        <f>SUM(Mar[[#This Row],[Early (08.00 - 14.00) ]]/60)</f>
        <v>0</v>
      </c>
      <c r="AI15" s="15">
        <f>SUM(E15,H15,K15,N15,Q15,T15,W15,Z15,AC15)+(Mar[[#This Row],[Baseline Assessment Score]]*60/3)</f>
        <v>0</v>
      </c>
      <c r="AJ15" s="19">
        <f>SUM(Mar[[#This Row],[Late (14.00 - 20.00) ]]/60)</f>
        <v>0</v>
      </c>
      <c r="AK15" s="15">
        <f>SUM(F15,I15,L15,O15,R15,U15,X15,AA15,AD15)+(Mar[[#This Row],[Baseline Assessment Score]]*60/3)</f>
        <v>0</v>
      </c>
      <c r="AL15" s="88">
        <f>SUM(Mar[[#This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SUM(Mar[[#This Row],[Early]:[Night        ]])+(Mar[[#This Row],[Baseline Assessment Score]]*60)</f>
        <v>0</v>
      </c>
      <c r="AF16" s="19">
        <f>Mar[[#This Row],[Total Mins over 24 hr]]/60</f>
        <v>0</v>
      </c>
      <c r="AG16" s="15">
        <f>SUM(D16,G16,J16,M16,P16,S16,V16,Y16,AB16)+(Mar[[#This Row],[Baseline Assessment Score]]*60/3)</f>
        <v>0</v>
      </c>
      <c r="AH16" s="19">
        <f>SUM(Mar[[#This Row],[Early (08.00 - 14.00) ]]/60)</f>
        <v>0</v>
      </c>
      <c r="AI16" s="15">
        <f>SUM(E16,H16,K16,N16,Q16,T16,W16,Z16,AC16)+(Mar[[#This Row],[Baseline Assessment Score]]*60/3)</f>
        <v>0</v>
      </c>
      <c r="AJ16" s="19">
        <f>SUM(Mar[[#This Row],[Late (14.00 - 20.00) ]]/60)</f>
        <v>0</v>
      </c>
      <c r="AK16" s="15">
        <f>SUM(F16,I16,L16,O16,R16,U16,X16,AA16,AD16)+(Mar[[#This Row],[Baseline Assessment Score]]*60/3)</f>
        <v>0</v>
      </c>
      <c r="AL16" s="88">
        <f>SUM(Mar[[#This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SUM(Mar[[#This Row],[Early]:[Night        ]])+(Mar[[#This Row],[Baseline Assessment Score]]*60)</f>
        <v>0</v>
      </c>
      <c r="AF17" s="19">
        <f>Mar[[#This Row],[Total Mins over 24 hr]]/60</f>
        <v>0</v>
      </c>
      <c r="AG17" s="15">
        <f>SUM(D17,G17,J17,M17,P17,S17,V17,Y17,AB17)+(Mar[[#This Row],[Baseline Assessment Score]]*60/3)</f>
        <v>0</v>
      </c>
      <c r="AH17" s="19">
        <f>SUM(Mar[[#This Row],[Early (08.00 - 14.00) ]]/60)</f>
        <v>0</v>
      </c>
      <c r="AI17" s="15">
        <f>SUM(E17,H17,K17,N17,Q17,T17,W17,Z17,AC17)+(Mar[[#This Row],[Baseline Assessment Score]]*60/3)</f>
        <v>0</v>
      </c>
      <c r="AJ17" s="19">
        <f>SUM(Mar[[#This Row],[Late (14.00 - 20.00) ]]/60)</f>
        <v>0</v>
      </c>
      <c r="AK17" s="15">
        <f>SUM(F17,I17,L17,O17,R17,U17,X17,AA17,AD17)+(Mar[[#This Row],[Baseline Assessment Score]]*60/3)</f>
        <v>0</v>
      </c>
      <c r="AL17" s="88">
        <f>SUM(Mar[[#This Row],[Night (20:00 - 08:00)]]/60)</f>
        <v>0</v>
      </c>
    </row>
    <row r="18" spans="2:38" x14ac:dyDescent="0.2">
      <c r="B18" s="87"/>
      <c r="C18" s="73"/>
      <c r="D18" s="75"/>
      <c r="E18" s="14"/>
      <c r="F18" s="106"/>
      <c r="G18" s="14"/>
      <c r="H18" s="14"/>
      <c r="I18" s="5"/>
      <c r="J18" s="14"/>
      <c r="K18" s="14"/>
      <c r="L18" s="5"/>
      <c r="M18" s="14"/>
      <c r="N18" s="14"/>
      <c r="O18" s="5"/>
      <c r="P18" s="14"/>
      <c r="Q18" s="14"/>
      <c r="R18" s="5"/>
      <c r="S18" s="14"/>
      <c r="T18" s="14"/>
      <c r="U18" s="5"/>
      <c r="V18" s="14"/>
      <c r="W18" s="14"/>
      <c r="X18" s="5"/>
      <c r="Y18" s="14"/>
      <c r="Z18" s="14"/>
      <c r="AA18" s="5"/>
      <c r="AB18" s="14"/>
      <c r="AC18" s="14"/>
      <c r="AD18" s="5"/>
      <c r="AE18" s="15">
        <f>SUM(Mar[[#This Row],[Early]:[Night        ]])+(Mar[[#This Row],[Baseline Assessment Score]]*60)</f>
        <v>0</v>
      </c>
      <c r="AF18" s="19">
        <f>Mar[[#This Row],[Total Mins over 24 hr]]/60</f>
        <v>0</v>
      </c>
      <c r="AG18" s="15">
        <f>SUM(D18,G18,J18,M18,P18,S18,V18,Y18,AB18)+(Mar[[#This Row],[Baseline Assessment Score]]*60/3)</f>
        <v>0</v>
      </c>
      <c r="AH18" s="19">
        <f>SUM(Mar[[#This Row],[Early (08.00 - 14.00) ]]/60)</f>
        <v>0</v>
      </c>
      <c r="AI18" s="15">
        <f>SUM(E18,H18,K18,N18,Q18,T18,W18,Z18,AC18)+(Mar[[#This Row],[Baseline Assessment Score]]*60/3)</f>
        <v>0</v>
      </c>
      <c r="AJ18" s="19">
        <f>SUM(Mar[[#This Row],[Late (14.00 - 20.00) ]]/60)</f>
        <v>0</v>
      </c>
      <c r="AK18" s="15">
        <f>SUM(F18,I18,L18,O18,R18,U18,X18,AA18,AD18)+(Mar[[#This Row],[Baseline Assessment Score]]*60/3)</f>
        <v>0</v>
      </c>
      <c r="AL18" s="88">
        <f>SUM(Mar[[#This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SUM(Mar[[#This Row],[Early]:[Night        ]])+(Mar[[#This Row],[Baseline Assessment Score]]*60)</f>
        <v>0</v>
      </c>
      <c r="AF19" s="19">
        <f>Mar[[#This Row],[Total Mins over 24 hr]]/60</f>
        <v>0</v>
      </c>
      <c r="AG19" s="15">
        <f>SUM(D19,G19,J19,M19,P19,S19,V19,Y19,AB19)+(Mar[[#This Row],[Baseline Assessment Score]]*60/3)</f>
        <v>0</v>
      </c>
      <c r="AH19" s="19">
        <f>SUM(Mar[[#This Row],[Early (08.00 - 14.00) ]]/60)</f>
        <v>0</v>
      </c>
      <c r="AI19" s="15">
        <f>SUM(E19,H19,K19,N19,Q19,T19,W19,Z19,AC19)+(Mar[[#This Row],[Baseline Assessment Score]]*60/3)</f>
        <v>0</v>
      </c>
      <c r="AJ19" s="19">
        <f>SUM(Mar[[#This Row],[Late (14.00 - 20.00) ]]/60)</f>
        <v>0</v>
      </c>
      <c r="AK19" s="15">
        <f>SUM(F19,I19,L19,O19,R19,U19,X19,AA19,AD19)+(Mar[[#This Row],[Baseline Assessment Score]]*60/3)</f>
        <v>0</v>
      </c>
      <c r="AL19" s="88">
        <f>SUM(Mar[[#This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SUM(Mar[[#This Row],[Early]:[Night        ]])+(Mar[[#This Row],[Baseline Assessment Score]]*60)</f>
        <v>0</v>
      </c>
      <c r="AF20" s="19">
        <f>Mar[[#This Row],[Total Mins over 24 hr]]/60</f>
        <v>0</v>
      </c>
      <c r="AG20" s="15">
        <f>SUM(D20,G20,J20,M20,P20,S20,V20,Y20,AB20)+(Mar[[#This Row],[Baseline Assessment Score]]*60/3)</f>
        <v>0</v>
      </c>
      <c r="AH20" s="19">
        <f>SUM(Mar[[#This Row],[Early (08.00 - 14.00) ]]/60)</f>
        <v>0</v>
      </c>
      <c r="AI20" s="15">
        <f>SUM(E20,H20,K20,N20,Q20,T20,W20,Z20,AC20)+(Mar[[#This Row],[Baseline Assessment Score]]*60/3)</f>
        <v>0</v>
      </c>
      <c r="AJ20" s="19">
        <f>SUM(Mar[[#This Row],[Late (14.00 - 20.00) ]]/60)</f>
        <v>0</v>
      </c>
      <c r="AK20" s="15">
        <f>SUM(F20,I20,L20,O20,R20,U20,X20,AA20,AD20)+(Mar[[#This Row],[Baseline Assessment Score]]*60/3)</f>
        <v>0</v>
      </c>
      <c r="AL20" s="88">
        <f>SUM(Mar[[#This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SUM(Mar[[#This Row],[Early]:[Night        ]])+(Mar[[#This Row],[Baseline Assessment Score]]*60)</f>
        <v>0</v>
      </c>
      <c r="AF21" s="19">
        <f>Mar[[#This Row],[Total Mins over 24 hr]]/60</f>
        <v>0</v>
      </c>
      <c r="AG21" s="15">
        <f>SUM(D21,G21,J21,M21,P21,S21,V21,Y21,AB21)+(Mar[[#This Row],[Baseline Assessment Score]]*60/3)</f>
        <v>0</v>
      </c>
      <c r="AH21" s="19">
        <f>SUM(Mar[[#This Row],[Early (08.00 - 14.00) ]]/60)</f>
        <v>0</v>
      </c>
      <c r="AI21" s="15">
        <f>SUM(E21,H21,K21,N21,Q21,T21,W21,Z21,AC21)+(Mar[[#This Row],[Baseline Assessment Score]]*60/3)</f>
        <v>0</v>
      </c>
      <c r="AJ21" s="19">
        <f>SUM(Mar[[#This Row],[Late (14.00 - 20.00) ]]/60)</f>
        <v>0</v>
      </c>
      <c r="AK21" s="15">
        <f>SUM(F21,I21,L21,O21,R21,U21,X21,AA21,AD21)+(Mar[[#This Row],[Baseline Assessment Score]]*60/3)</f>
        <v>0</v>
      </c>
      <c r="AL21" s="88">
        <f>SUM(Mar[[#This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SUM(Mar[[#This Row],[Early]:[Night        ]])+(Mar[[#This Row],[Baseline Assessment Score]]*60)</f>
        <v>0</v>
      </c>
      <c r="AF22" s="19">
        <f>Mar[[#This Row],[Total Mins over 24 hr]]/60</f>
        <v>0</v>
      </c>
      <c r="AG22" s="15">
        <f>SUM(D22,G22,J22,M22,P22,S22,V22,Y22,AB22)+(Mar[[#This Row],[Baseline Assessment Score]]*60/3)</f>
        <v>0</v>
      </c>
      <c r="AH22" s="19">
        <f>SUM(Mar[[#This Row],[Early (08.00 - 14.00) ]]/60)</f>
        <v>0</v>
      </c>
      <c r="AI22" s="15">
        <f>SUM(E22,H22,K22,N22,Q22,T22,W22,Z22,AC22)+(Mar[[#This Row],[Baseline Assessment Score]]*60/3)</f>
        <v>0</v>
      </c>
      <c r="AJ22" s="19">
        <f>SUM(Mar[[#This Row],[Late (14.00 - 20.00) ]]/60)</f>
        <v>0</v>
      </c>
      <c r="AK22" s="15">
        <f>SUM(F22,I22,L22,O22,R22,U22,X22,AA22,AD22)+(Mar[[#This Row],[Baseline Assessment Score]]*60/3)</f>
        <v>0</v>
      </c>
      <c r="AL22" s="88">
        <f>SUM(Mar[[#This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SUM(Mar[[#This Row],[Early]:[Night        ]])+(Mar[[#This Row],[Baseline Assessment Score]]*60)</f>
        <v>0</v>
      </c>
      <c r="AF23" s="19">
        <f>Mar[[#This Row],[Total Mins over 24 hr]]/60</f>
        <v>0</v>
      </c>
      <c r="AG23" s="15">
        <f>SUM(D23,G23,J23,M23,P23,S23,V23,Y23,AB23)+(Mar[[#This Row],[Baseline Assessment Score]]*60/3)</f>
        <v>0</v>
      </c>
      <c r="AH23" s="19">
        <f>SUM(Mar[[#This Row],[Early (08.00 - 14.00) ]]/60)</f>
        <v>0</v>
      </c>
      <c r="AI23" s="15">
        <f>SUM(E23,H23,K23,N23,Q23,T23,W23,Z23,AC23)+(Mar[[#This Row],[Baseline Assessment Score]]*60/3)</f>
        <v>0</v>
      </c>
      <c r="AJ23" s="19">
        <f>SUM(Mar[[#This Row],[Late (14.00 - 20.00) ]]/60)</f>
        <v>0</v>
      </c>
      <c r="AK23" s="15">
        <f>SUM(F23,I23,L23,O23,R23,U23,X23,AA23,AD23)+(Mar[[#This Row],[Baseline Assessment Score]]*60/3)</f>
        <v>0</v>
      </c>
      <c r="AL23" s="88">
        <f>SUM(Mar[[#This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SUM(Mar[[#This Row],[Early]:[Night        ]])+(Mar[[#This Row],[Baseline Assessment Score]]*60)</f>
        <v>0</v>
      </c>
      <c r="AF24" s="19">
        <f>Mar[[#This Row],[Total Mins over 24 hr]]/60</f>
        <v>0</v>
      </c>
      <c r="AG24" s="15">
        <f>SUM(D24,G24,J24,M24,P24,S24,V24,Y24,AB24)+(Mar[[#This Row],[Baseline Assessment Score]]*60/3)</f>
        <v>0</v>
      </c>
      <c r="AH24" s="19">
        <f>SUM(Mar[[#This Row],[Early (08.00 - 14.00) ]]/60)</f>
        <v>0</v>
      </c>
      <c r="AI24" s="15">
        <f>SUM(E24,H24,K24,N24,Q24,T24,W24,Z24,AC24)+(Mar[[#This Row],[Baseline Assessment Score]]*60/3)</f>
        <v>0</v>
      </c>
      <c r="AJ24" s="19">
        <f>SUM(Mar[[#This Row],[Late (14.00 - 20.00) ]]/60)</f>
        <v>0</v>
      </c>
      <c r="AK24" s="15">
        <f>SUM(F24,I24,L24,O24,R24,U24,X24,AA24,AD24)+(Mar[[#This Row],[Baseline Assessment Score]]*60/3)</f>
        <v>0</v>
      </c>
      <c r="AL24" s="88">
        <f>SUM(Mar[[#This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SUM(Mar[[#This Row],[Early]:[Night        ]])+(Mar[[#This Row],[Baseline Assessment Score]]*60)</f>
        <v>0</v>
      </c>
      <c r="AF25" s="19">
        <f>Mar[[#This Row],[Total Mins over 24 hr]]/60</f>
        <v>0</v>
      </c>
      <c r="AG25" s="15">
        <f>SUM(D25,G25,J25,M25,P25,S25,V25,Y25,AB25)+(Mar[[#This Row],[Baseline Assessment Score]]*60/3)</f>
        <v>0</v>
      </c>
      <c r="AH25" s="19">
        <f>SUM(Mar[[#This Row],[Early (08.00 - 14.00) ]]/60)</f>
        <v>0</v>
      </c>
      <c r="AI25" s="15">
        <f>SUM(E25,H25,K25,N25,Q25,T25,W25,Z25,AC25)+(Mar[[#This Row],[Baseline Assessment Score]]*60/3)</f>
        <v>0</v>
      </c>
      <c r="AJ25" s="19">
        <f>SUM(Mar[[#This Row],[Late (14.00 - 20.00) ]]/60)</f>
        <v>0</v>
      </c>
      <c r="AK25" s="15">
        <f>SUM(F25,I25,L25,O25,R25,U25,X25,AA25,AD25)+(Mar[[#This Row],[Baseline Assessment Score]]*60/3)</f>
        <v>0</v>
      </c>
      <c r="AL25" s="88">
        <f>SUM(Mar[[#This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SUM(Mar[[#This Row],[Early]:[Night        ]])+(Mar[[#This Row],[Baseline Assessment Score]]*60)</f>
        <v>0</v>
      </c>
      <c r="AF26" s="19">
        <f>Mar[[#This Row],[Total Mins over 24 hr]]/60</f>
        <v>0</v>
      </c>
      <c r="AG26" s="15">
        <f>SUM(D26,G26,J26,M26,P26,S26,V26,Y26,AB26)+(Mar[[#This Row],[Baseline Assessment Score]]*60/3)</f>
        <v>0</v>
      </c>
      <c r="AH26" s="19">
        <f>SUM(Mar[[#This Row],[Early (08.00 - 14.00) ]]/60)</f>
        <v>0</v>
      </c>
      <c r="AI26" s="15">
        <f>SUM(E26,H26,K26,N26,Q26,T26,W26,Z26,AC26)+(Mar[[#This Row],[Baseline Assessment Score]]*60/3)</f>
        <v>0</v>
      </c>
      <c r="AJ26" s="19">
        <f>SUM(Mar[[#This Row],[Late (14.00 - 20.00) ]]/60)</f>
        <v>0</v>
      </c>
      <c r="AK26" s="15">
        <f>SUM(F26,I26,L26,O26,R26,U26,X26,AA26,AD26)+(Mar[[#This Row],[Baseline Assessment Score]]*60/3)</f>
        <v>0</v>
      </c>
      <c r="AL26" s="88">
        <f>SUM(Mar[[#This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SUM(Mar[[#This Row],[Early]:[Night        ]])+(Mar[[#This Row],[Baseline Assessment Score]]*60)</f>
        <v>0</v>
      </c>
      <c r="AF27" s="19">
        <f>Mar[[#This Row],[Total Mins over 24 hr]]/60</f>
        <v>0</v>
      </c>
      <c r="AG27" s="15">
        <f>SUM(D27,G27,J27,M27,P27,S27,V27,Y27,AB27)+(Mar[[#This Row],[Baseline Assessment Score]]*60/3)</f>
        <v>0</v>
      </c>
      <c r="AH27" s="19">
        <f>SUM(Mar[[#This Row],[Early (08.00 - 14.00) ]]/60)</f>
        <v>0</v>
      </c>
      <c r="AI27" s="15">
        <f>SUM(E27,H27,K27,N27,Q27,T27,W27,Z27,AC27)+(Mar[[#This Row],[Baseline Assessment Score]]*60/3)</f>
        <v>0</v>
      </c>
      <c r="AJ27" s="19">
        <f>SUM(Mar[[#This Row],[Late (14.00 - 20.00) ]]/60)</f>
        <v>0</v>
      </c>
      <c r="AK27" s="15">
        <f>SUM(F27,I27,L27,O27,R27,U27,X27,AA27,AD27)+(Mar[[#This Row],[Baseline Assessment Score]]*60/3)</f>
        <v>0</v>
      </c>
      <c r="AL27" s="88">
        <f>SUM(Mar[[#This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SUM(Mar[[#This Row],[Early]:[Night        ]])+(Mar[[#This Row],[Baseline Assessment Score]]*60)</f>
        <v>0</v>
      </c>
      <c r="AF28" s="19">
        <f>Mar[[#This Row],[Total Mins over 24 hr]]/60</f>
        <v>0</v>
      </c>
      <c r="AG28" s="15">
        <f>SUM(D28,G28,J28,M28,P28,S28,V28,Y28,AB28)+(Mar[[#This Row],[Baseline Assessment Score]]*60/3)</f>
        <v>0</v>
      </c>
      <c r="AH28" s="19">
        <f>SUM(Mar[[#This Row],[Early (08.00 - 14.00) ]]/60)</f>
        <v>0</v>
      </c>
      <c r="AI28" s="15">
        <f>SUM(E28,H28,K28,N28,Q28,T28,W28,Z28,AC28)+(Mar[[#This Row],[Baseline Assessment Score]]*60/3)</f>
        <v>0</v>
      </c>
      <c r="AJ28" s="19">
        <f>SUM(Mar[[#This Row],[Late (14.00 - 20.00) ]]/60)</f>
        <v>0</v>
      </c>
      <c r="AK28" s="15">
        <f>SUM(F28,I28,L28,O28,R28,U28,X28,AA28,AD28)+(Mar[[#This Row],[Baseline Assessment Score]]*60/3)</f>
        <v>0</v>
      </c>
      <c r="AL28" s="88">
        <f>SUM(Mar[[#This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SUM(Mar[[#This Row],[Early]:[Night        ]])+(Mar[[#This Row],[Baseline Assessment Score]]*60)</f>
        <v>0</v>
      </c>
      <c r="AF29" s="19">
        <f>Mar[[#This Row],[Total Mins over 24 hr]]/60</f>
        <v>0</v>
      </c>
      <c r="AG29" s="15">
        <f>SUM(D29,G29,J29,M29,P29,S29,V29,Y29,AB29)+(Mar[[#This Row],[Baseline Assessment Score]]*60/3)</f>
        <v>0</v>
      </c>
      <c r="AH29" s="19">
        <f>SUM(Mar[[#This Row],[Early (08.00 - 14.00) ]]/60)</f>
        <v>0</v>
      </c>
      <c r="AI29" s="15">
        <f>SUM(E29,H29,K29,N29,Q29,T29,W29,Z29,AC29)+(Mar[[#This Row],[Baseline Assessment Score]]*60/3)</f>
        <v>0</v>
      </c>
      <c r="AJ29" s="19">
        <f>SUM(Mar[[#This Row],[Late (14.00 - 20.00) ]]/60)</f>
        <v>0</v>
      </c>
      <c r="AK29" s="15">
        <f>SUM(F29,I29,L29,O29,R29,U29,X29,AA29,AD29)+(Mar[[#This Row],[Baseline Assessment Score]]*60/3)</f>
        <v>0</v>
      </c>
      <c r="AL29" s="88">
        <f>SUM(Mar[[#This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SUM(Mar[[#This Row],[Early]:[Night        ]])+(Mar[[#This Row],[Baseline Assessment Score]]*60)</f>
        <v>0</v>
      </c>
      <c r="AF30" s="19">
        <f>Mar[[#This Row],[Total Mins over 24 hr]]/60</f>
        <v>0</v>
      </c>
      <c r="AG30" s="15">
        <f>SUM(D30,G30,J30,M30,P30,S30,V30,Y30,AB30)+(Mar[[#This Row],[Baseline Assessment Score]]*60/3)</f>
        <v>0</v>
      </c>
      <c r="AH30" s="19">
        <f>SUM(Mar[[#This Row],[Early (08.00 - 14.00) ]]/60)</f>
        <v>0</v>
      </c>
      <c r="AI30" s="15">
        <f>SUM(E30,H30,K30,N30,Q30,T30,W30,Z30,AC30)+(Mar[[#This Row],[Baseline Assessment Score]]*60/3)</f>
        <v>0</v>
      </c>
      <c r="AJ30" s="19">
        <f>SUM(Mar[[#This Row],[Late (14.00 - 20.00) ]]/60)</f>
        <v>0</v>
      </c>
      <c r="AK30" s="15">
        <f>SUM(F30,I30,L30,O30,R30,U30,X30,AA30,AD30)+(Mar[[#This Row],[Baseline Assessment Score]]*60/3)</f>
        <v>0</v>
      </c>
      <c r="AL30" s="88">
        <f>SUM(Mar[[#This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SUM(Mar[[#This Row],[Early]:[Night        ]])+(Mar[[#This Row],[Baseline Assessment Score]]*60)</f>
        <v>0</v>
      </c>
      <c r="AF31" s="19">
        <f>Mar[[#This Row],[Total Mins over 24 hr]]/60</f>
        <v>0</v>
      </c>
      <c r="AG31" s="15">
        <f>SUM(D31,G31,J31,M31,P31,S31,V31,Y31,AB31)+(Mar[[#This Row],[Baseline Assessment Score]]*60/3)</f>
        <v>0</v>
      </c>
      <c r="AH31" s="19">
        <f>SUM(Mar[[#This Row],[Early (08.00 - 14.00) ]]/60)</f>
        <v>0</v>
      </c>
      <c r="AI31" s="15">
        <f>SUM(E31,H31,K31,N31,Q31,T31,W31,Z31,AC31)+(Mar[[#This Row],[Baseline Assessment Score]]*60/3)</f>
        <v>0</v>
      </c>
      <c r="AJ31" s="19">
        <f>SUM(Mar[[#This Row],[Late (14.00 - 20.00) ]]/60)</f>
        <v>0</v>
      </c>
      <c r="AK31" s="15">
        <f>SUM(F31,I31,L31,O31,R31,U31,X31,AA31,AD31)+(Mar[[#This Row],[Baseline Assessment Score]]*60/3)</f>
        <v>0</v>
      </c>
      <c r="AL31" s="88">
        <f>SUM(Mar[[#This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SUM(Mar[[#This Row],[Early]:[Night        ]])+(Mar[[#This Row],[Baseline Assessment Score]]*60)</f>
        <v>0</v>
      </c>
      <c r="AF32" s="19">
        <f>Mar[[#This Row],[Total Mins over 24 hr]]/60</f>
        <v>0</v>
      </c>
      <c r="AG32" s="15">
        <f>SUM(D32,G32,J32,M32,P32,S32,V32,Y32,AB32)+(Mar[[#This Row],[Baseline Assessment Score]]*60/3)</f>
        <v>0</v>
      </c>
      <c r="AH32" s="19">
        <f>SUM(Mar[[#This Row],[Early (08.00 - 14.00) ]]/60)</f>
        <v>0</v>
      </c>
      <c r="AI32" s="15">
        <f>SUM(E32,H32,K32,N32,Q32,T32,W32,Z32,AC32)+(Mar[[#This Row],[Baseline Assessment Score]]*60/3)</f>
        <v>0</v>
      </c>
      <c r="AJ32" s="19">
        <f>SUM(Mar[[#This Row],[Late (14.00 - 20.00) ]]/60)</f>
        <v>0</v>
      </c>
      <c r="AK32" s="15">
        <f>SUM(F32,I32,L32,O32,R32,U32,X32,AA32,AD32)+(Mar[[#This Row],[Baseline Assessment Score]]*60/3)</f>
        <v>0</v>
      </c>
      <c r="AL32" s="88">
        <f>SUM(Mar[[#This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SUM(Mar[[#This Row],[Early]:[Night        ]])+(Mar[[#This Row],[Baseline Assessment Score]]*60)</f>
        <v>0</v>
      </c>
      <c r="AF33" s="19">
        <f>Mar[[#This Row],[Total Mins over 24 hr]]/60</f>
        <v>0</v>
      </c>
      <c r="AG33" s="15">
        <f>SUM(D33,G33,J33,M33,P33,S33,V33,Y33,AB33)+(Mar[[#This Row],[Baseline Assessment Score]]*60/3)</f>
        <v>0</v>
      </c>
      <c r="AH33" s="19">
        <f>SUM(Mar[[#This Row],[Early (08.00 - 14.00) ]]/60)</f>
        <v>0</v>
      </c>
      <c r="AI33" s="15">
        <f>SUM(E33,H33,K33,N33,Q33,T33,W33,Z33,AC33)+(Mar[[#This Row],[Baseline Assessment Score]]*60/3)</f>
        <v>0</v>
      </c>
      <c r="AJ33" s="19">
        <f>SUM(Mar[[#This Row],[Late (14.00 - 20.00) ]]/60)</f>
        <v>0</v>
      </c>
      <c r="AK33" s="15">
        <f>SUM(F33,I33,L33,O33,R33,U33,X33,AA33,AD33)+(Mar[[#This Row],[Baseline Assessment Score]]*60/3)</f>
        <v>0</v>
      </c>
      <c r="AL33" s="88">
        <f>SUM(Mar[[#This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SUM(Mar[[#This Row],[Early]:[Night        ]])+(Mar[[#This Row],[Baseline Assessment Score]]*60)</f>
        <v>0</v>
      </c>
      <c r="AF34" s="19">
        <f>Mar[[#This Row],[Total Mins over 24 hr]]/60</f>
        <v>0</v>
      </c>
      <c r="AG34" s="15">
        <f>SUM(D34,G34,J34,M34,P34,S34,V34,Y34,AB34)+(Mar[[#This Row],[Baseline Assessment Score]]*60/3)</f>
        <v>0</v>
      </c>
      <c r="AH34" s="19">
        <f>SUM(Mar[[#This Row],[Early (08.00 - 14.00) ]]/60)</f>
        <v>0</v>
      </c>
      <c r="AI34" s="15">
        <f>SUM(E34,H34,K34,N34,Q34,T34,W34,Z34,AC34)+(Mar[[#This Row],[Baseline Assessment Score]]*60/3)</f>
        <v>0</v>
      </c>
      <c r="AJ34" s="19">
        <f>SUM(Mar[[#This Row],[Late (14.00 - 20.00) ]]/60)</f>
        <v>0</v>
      </c>
      <c r="AK34" s="15">
        <f>SUM(F34,I34,L34,O34,R34,U34,X34,AA34,AD34)+(Mar[[#This Row],[Baseline Assessment Score]]*60/3)</f>
        <v>0</v>
      </c>
      <c r="AL34" s="88">
        <f>SUM(Mar[[#This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SUM(Mar[[#This Row],[Early]:[Night        ]])+(Mar[[#This Row],[Baseline Assessment Score]]*60)</f>
        <v>0</v>
      </c>
      <c r="AF35" s="19">
        <f>Mar[[#This Row],[Total Mins over 24 hr]]/60</f>
        <v>0</v>
      </c>
      <c r="AG35" s="15">
        <f>SUM(D35,G35,J35,M35,P35,S35,V35,Y35,AB35)+(Mar[[#This Row],[Baseline Assessment Score]]*60/3)</f>
        <v>0</v>
      </c>
      <c r="AH35" s="19">
        <f>SUM(Mar[[#This Row],[Early (08.00 - 14.00) ]]/60)</f>
        <v>0</v>
      </c>
      <c r="AI35" s="15">
        <f>SUM(E35,H35,K35,N35,Q35,T35,W35,Z35,AC35)+(Mar[[#This Row],[Baseline Assessment Score]]*60/3)</f>
        <v>0</v>
      </c>
      <c r="AJ35" s="19">
        <f>SUM(Mar[[#This Row],[Late (14.00 - 20.00) ]]/60)</f>
        <v>0</v>
      </c>
      <c r="AK35" s="15">
        <f>SUM(F35,I35,L35,O35,R35,U35,X35,AA35,AD35)+(Mar[[#This Row],[Baseline Assessment Score]]*60/3)</f>
        <v>0</v>
      </c>
      <c r="AL35" s="88">
        <f>SUM(Mar[[#This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SUM(Mar[[#This Row],[Early]:[Night        ]])+(Mar[[#This Row],[Baseline Assessment Score]]*60)</f>
        <v>0</v>
      </c>
      <c r="AF36" s="20">
        <f>Mar[[#This Row],[Total Mins over 24 hr]]/60</f>
        <v>0</v>
      </c>
      <c r="AG36" s="18">
        <f>SUM(D36,G36,J36,M36,P36,S36,V36,Y36,AB36)+(Mar[[#This Row],[Baseline Assessment Score]]*60/3)</f>
        <v>0</v>
      </c>
      <c r="AH36" s="20">
        <f>SUM(Mar[[#This Row],[Early (08.00 - 14.00) ]]/60)</f>
        <v>0</v>
      </c>
      <c r="AI36" s="18">
        <f>SUM(E36,H36,K36,N36,Q36,T36,W36,Z36,AC36)+(Mar[[#This Row],[Baseline Assessment Score]]*60/3)</f>
        <v>0</v>
      </c>
      <c r="AJ36" s="20">
        <f>SUM(Mar[[#This Row],[Late (14.00 - 20.00) ]]/60)</f>
        <v>0</v>
      </c>
      <c r="AK36" s="18">
        <f>SUM(F36,I36,L36,O36,R36,U36,X36,AA36,AD36)+(Mar[[#This Row],[Baseline Assessment Score]]*60/3)</f>
        <v>0</v>
      </c>
      <c r="AL36" s="91">
        <f>SUM(Mar[[#This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294" t="s">
        <v>51</v>
      </c>
      <c r="W37" s="295"/>
      <c r="X37" s="295"/>
      <c r="Y37" s="295"/>
      <c r="Z37" s="295"/>
      <c r="AA37" s="295"/>
      <c r="AB37" s="295"/>
      <c r="AC37" s="295"/>
      <c r="AD37" s="295"/>
      <c r="AE37" s="299">
        <f>SUM(Mar[Actual contact time (hours)])</f>
        <v>0</v>
      </c>
      <c r="AF37" s="299"/>
      <c r="AG37" s="299">
        <f>SUM(Mar[Contact time per shift])</f>
        <v>0</v>
      </c>
      <c r="AH37" s="300"/>
      <c r="AI37" s="299">
        <f>SUM(Mar[[Contact time per shift ]])</f>
        <v>0</v>
      </c>
      <c r="AJ37" s="300"/>
      <c r="AK37" s="299">
        <f>SUM(Mar[[Contact time per shift  ]])</f>
        <v>0</v>
      </c>
      <c r="AL37" s="301"/>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COUNTIF(Mar[Adults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75" priority="2" operator="greaterThan">
      <formula>$AL$7</formula>
    </cfRule>
    <cfRule type="cellIs" dxfId="74" priority="3" operator="between">
      <formula>$AJ$7</formula>
      <formula>$AL$7</formula>
    </cfRule>
    <cfRule type="cellIs" dxfId="73" priority="4" operator="between">
      <formula>$AJ$6</formula>
      <formula>$AL$6</formula>
    </cfRule>
    <cfRule type="cellIs" dxfId="72" priority="5" operator="between">
      <formula>$AJ$5</formula>
      <formula>$AL$5</formula>
    </cfRule>
  </conditionalFormatting>
  <dataValidations count="1">
    <dataValidation type="list" allowBlank="1" showInputMessage="1" showErrorMessage="1" sqref="C13:C36" xr:uid="{76619A18-F38B-48B1-8DB3-2E56CB2654D4}">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91DAE349-067B-4D1C-8E27-26839E6A5FBA}">
            <xm:f>NOT(ISERROR(SEARCH($R$8,C13)))</xm:f>
            <xm:f>$R$8</xm:f>
            <x14:dxf>
              <fill>
                <patternFill>
                  <bgColor rgb="FFFF9999"/>
                </patternFill>
              </fill>
            </x14:dxf>
          </x14:cfRule>
          <x14:cfRule type="containsText" priority="7" operator="containsText" id="{403712F1-54AD-4D42-BA15-E485E2A76439}">
            <xm:f>NOT(ISERROR(SEARCH($R$7,C13)))</xm:f>
            <xm:f>$R$7</xm:f>
            <x14:dxf>
              <fill>
                <patternFill>
                  <bgColor theme="5" tint="0.59996337778862885"/>
                </patternFill>
              </fill>
            </x14:dxf>
          </x14:cfRule>
          <x14:cfRule type="containsText" priority="8" operator="containsText" id="{4E273F1E-BB21-4DFA-A782-572507FED366}">
            <xm:f>NOT(ISERROR(SEARCH($R$6,C13)))</xm:f>
            <xm:f>$R$6</xm:f>
            <x14:dxf>
              <fill>
                <patternFill>
                  <bgColor theme="9" tint="0.59996337778862885"/>
                </patternFill>
              </fill>
            </x14:dxf>
          </x14:cfRule>
          <x14:cfRule type="containsText" priority="9" operator="containsText" id="{4D5A395A-00D0-46E3-A7F4-C873C9A6CCDB}">
            <xm:f>NOT(ISERROR(SEARCH($R$5,C13)))</xm:f>
            <xm:f>$R$5</xm:f>
            <x14:dxf>
              <fill>
                <patternFill>
                  <bgColor theme="8" tint="0.79998168889431442"/>
                </patternFill>
              </fill>
            </x14:dxf>
          </x14:cfRule>
          <xm:sqref>C13:C36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D385F-5461-4F83-ABB5-8F2658A6D318}">
  <sheetPr>
    <tabColor theme="8" tint="0.59999389629810485"/>
  </sheetPr>
  <dimension ref="B2:AL58"/>
  <sheetViews>
    <sheetView zoomScale="80" zoomScaleNormal="80" workbookViewId="0">
      <selection activeCell="F24" sqref="F24"/>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107" t="s">
        <v>1</v>
      </c>
      <c r="C5" s="255"/>
      <c r="D5" s="256"/>
      <c r="E5" s="256"/>
      <c r="F5" s="256"/>
      <c r="G5" s="256"/>
      <c r="H5" s="256"/>
      <c r="I5" s="257"/>
      <c r="R5" s="46">
        <v>1</v>
      </c>
      <c r="S5" s="271" t="s">
        <v>116</v>
      </c>
      <c r="T5" s="272"/>
      <c r="U5" s="273"/>
      <c r="V5" s="46">
        <f>COUNTIF(Apr[Baseline Assessment Score],1)</f>
        <v>0</v>
      </c>
      <c r="AE5" s="250" t="s">
        <v>119</v>
      </c>
      <c r="AF5" s="251"/>
      <c r="AG5" s="252"/>
      <c r="AH5" s="253" t="s">
        <v>66</v>
      </c>
      <c r="AI5" s="254"/>
      <c r="AJ5" s="51">
        <v>0</v>
      </c>
      <c r="AK5" s="11" t="s">
        <v>120</v>
      </c>
      <c r="AL5" s="52">
        <v>5</v>
      </c>
    </row>
    <row r="6" spans="2:38" ht="15.75" thickBot="1" x14ac:dyDescent="0.25">
      <c r="B6" s="108" t="s">
        <v>2</v>
      </c>
      <c r="C6" s="258" t="s">
        <v>126</v>
      </c>
      <c r="D6" s="259"/>
      <c r="E6" s="260"/>
      <c r="F6" s="109" t="s">
        <v>0</v>
      </c>
      <c r="G6" s="246"/>
      <c r="H6" s="247"/>
      <c r="I6" s="248"/>
      <c r="R6" s="47">
        <v>2</v>
      </c>
      <c r="S6" s="268" t="s">
        <v>66</v>
      </c>
      <c r="T6" s="269"/>
      <c r="U6" s="270"/>
      <c r="V6" s="47">
        <f>COUNTIF(Apr[Baseline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COUNTIF(Apr[Baseline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COUNTIF(Apr[Baseline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307" t="s">
        <v>40</v>
      </c>
      <c r="E11" s="308"/>
      <c r="F11" s="309"/>
      <c r="G11" s="227" t="s">
        <v>41</v>
      </c>
      <c r="H11" s="228"/>
      <c r="I11" s="229"/>
      <c r="J11" s="302" t="s">
        <v>42</v>
      </c>
      <c r="K11" s="303"/>
      <c r="L11" s="304"/>
      <c r="M11" s="227" t="s">
        <v>47</v>
      </c>
      <c r="N11" s="228"/>
      <c r="O11" s="229"/>
      <c r="P11" s="302" t="s">
        <v>43</v>
      </c>
      <c r="Q11" s="303"/>
      <c r="R11" s="304"/>
      <c r="S11" s="227" t="s">
        <v>44</v>
      </c>
      <c r="T11" s="228"/>
      <c r="U11" s="229"/>
      <c r="V11" s="302" t="s">
        <v>95</v>
      </c>
      <c r="W11" s="303"/>
      <c r="X11" s="304"/>
      <c r="Y11" s="227" t="s">
        <v>45</v>
      </c>
      <c r="Z11" s="228"/>
      <c r="AA11" s="229"/>
      <c r="AB11" s="302" t="s">
        <v>46</v>
      </c>
      <c r="AC11" s="303"/>
      <c r="AD11" s="304"/>
    </row>
    <row r="12" spans="2:38" ht="55.5" thickBot="1" x14ac:dyDescent="0.25">
      <c r="B12" s="68" t="s">
        <v>3</v>
      </c>
      <c r="C12" s="77" t="s">
        <v>39</v>
      </c>
      <c r="D12" s="110" t="s">
        <v>4</v>
      </c>
      <c r="E12" s="111" t="s">
        <v>5</v>
      </c>
      <c r="F12" s="112" t="s">
        <v>6</v>
      </c>
      <c r="G12" s="81" t="s">
        <v>13</v>
      </c>
      <c r="H12" s="81" t="s">
        <v>14</v>
      </c>
      <c r="I12" s="32" t="s">
        <v>15</v>
      </c>
      <c r="J12" s="111" t="s">
        <v>16</v>
      </c>
      <c r="K12" s="111" t="s">
        <v>17</v>
      </c>
      <c r="L12" s="112" t="s">
        <v>18</v>
      </c>
      <c r="M12" s="81" t="s">
        <v>19</v>
      </c>
      <c r="N12" s="81" t="s">
        <v>20</v>
      </c>
      <c r="O12" s="32" t="s">
        <v>21</v>
      </c>
      <c r="P12" s="111" t="s">
        <v>22</v>
      </c>
      <c r="Q12" s="111" t="s">
        <v>23</v>
      </c>
      <c r="R12" s="112" t="s">
        <v>24</v>
      </c>
      <c r="S12" s="81" t="s">
        <v>25</v>
      </c>
      <c r="T12" s="81" t="s">
        <v>26</v>
      </c>
      <c r="U12" s="32" t="s">
        <v>27</v>
      </c>
      <c r="V12" s="111" t="s">
        <v>28</v>
      </c>
      <c r="W12" s="111" t="s">
        <v>29</v>
      </c>
      <c r="X12" s="112" t="s">
        <v>30</v>
      </c>
      <c r="Y12" s="81" t="s">
        <v>32</v>
      </c>
      <c r="Z12" s="81" t="s">
        <v>33</v>
      </c>
      <c r="AA12" s="32" t="s">
        <v>34</v>
      </c>
      <c r="AB12" s="111" t="s">
        <v>31</v>
      </c>
      <c r="AC12" s="111" t="s">
        <v>35</v>
      </c>
      <c r="AD12" s="112" t="s">
        <v>36</v>
      </c>
      <c r="AE12" s="82" t="s">
        <v>7</v>
      </c>
      <c r="AF12" s="80" t="s">
        <v>8</v>
      </c>
      <c r="AG12" s="113" t="s">
        <v>9</v>
      </c>
      <c r="AH12" s="112" t="s">
        <v>12</v>
      </c>
      <c r="AI12" s="82" t="s">
        <v>11</v>
      </c>
      <c r="AJ12" s="80" t="s">
        <v>10</v>
      </c>
      <c r="AK12" s="113" t="s">
        <v>37</v>
      </c>
      <c r="AL12" s="11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SUM(Apr[[#This Row],[Early]:[Night        ]])+(Apr[[#This Row],[Baseline Assessment Score]]*60)</f>
        <v>0</v>
      </c>
      <c r="AF13" s="16">
        <f>Apr[[#This Row],[Total Mins over 24 hr]]/60</f>
        <v>0</v>
      </c>
      <c r="AG13" s="13">
        <f>SUM(D13,G13,J13,M13,P13,S13,V13,Y13,AB13)+(Apr[[#This Row],[Baseline Assessment Score]]*60/3)</f>
        <v>0</v>
      </c>
      <c r="AH13" s="16">
        <f>SUM(Apr[[#This Row],[Early (08.00 - 14.00) ]]/60)</f>
        <v>0</v>
      </c>
      <c r="AI13" s="13">
        <f>SUM(E13,H13,K13,N13,Q13,T13,W13,Z13,AC13)+(Apr[[#This Row],[Baseline Assessment Score]]*60/3)</f>
        <v>0</v>
      </c>
      <c r="AJ13" s="16">
        <f>SUM(Apr[[#This Row],[Late (14.00 - 20.00) ]]/60)</f>
        <v>0</v>
      </c>
      <c r="AK13" s="13">
        <f>SUM(F13,I13,L13,O13,R13,U13,X13,AA13,AD13)+(Apr[[#This Row],[Baseline Assessment Score]]*60/3)</f>
        <v>0</v>
      </c>
      <c r="AL13" s="86">
        <f>SUM(Apr[[#This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SUM(Apr[[#This Row],[Early]:[Night        ]])+(Apr[[#This Row],[Baseline Assessment Score]]*60)</f>
        <v>0</v>
      </c>
      <c r="AF14" s="19">
        <f>Apr[[#This Row],[Total Mins over 24 hr]]/60</f>
        <v>0</v>
      </c>
      <c r="AG14" s="15">
        <f>SUM(D14,G14,J14,M14,P14,S14,V14,Y14,AB14)+(Apr[[#This Row],[Baseline Assessment Score]]*60/3)</f>
        <v>0</v>
      </c>
      <c r="AH14" s="19">
        <f>SUM(Apr[[#This Row],[Early (08.00 - 14.00) ]]/60)</f>
        <v>0</v>
      </c>
      <c r="AI14" s="15">
        <f>SUM(E14,H14,K14,N14,Q14,T14,W14,Z14,AC14)+(Apr[[#This Row],[Baseline Assessment Score]]*60/3)</f>
        <v>0</v>
      </c>
      <c r="AJ14" s="19">
        <f>SUM(Apr[[#This Row],[Late (14.00 - 20.00) ]]/60)</f>
        <v>0</v>
      </c>
      <c r="AK14" s="15">
        <f>SUM(F14,I14,L14,O14,R14,U14,X14,AA14,AD14)+(Apr[[#This Row],[Baseline Assessment Score]]*60/3)</f>
        <v>0</v>
      </c>
      <c r="AL14" s="88">
        <f>SUM(Apr[[#This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SUM(Apr[[#This Row],[Early]:[Night        ]])+(Apr[[#This Row],[Baseline Assessment Score]]*60)</f>
        <v>0</v>
      </c>
      <c r="AF15" s="19">
        <f>Apr[[#This Row],[Total Mins over 24 hr]]/60</f>
        <v>0</v>
      </c>
      <c r="AG15" s="15">
        <f>SUM(D15,G15,J15,M15,P15,S15,V15,Y15,AB15)+(Apr[[#This Row],[Baseline Assessment Score]]*60/3)</f>
        <v>0</v>
      </c>
      <c r="AH15" s="19">
        <f>SUM(Apr[[#This Row],[Early (08.00 - 14.00) ]]/60)</f>
        <v>0</v>
      </c>
      <c r="AI15" s="15">
        <f>SUM(E15,H15,K15,N15,Q15,T15,W15,Z15,AC15)+(Apr[[#This Row],[Baseline Assessment Score]]*60/3)</f>
        <v>0</v>
      </c>
      <c r="AJ15" s="19">
        <f>SUM(Apr[[#This Row],[Late (14.00 - 20.00) ]]/60)</f>
        <v>0</v>
      </c>
      <c r="AK15" s="15">
        <f>SUM(F15,I15,L15,O15,R15,U15,X15,AA15,AD15)+(Apr[[#This Row],[Baseline Assessment Score]]*60/3)</f>
        <v>0</v>
      </c>
      <c r="AL15" s="88">
        <f>SUM(Apr[[#This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SUM(Apr[[#This Row],[Early]:[Night        ]])+(Apr[[#This Row],[Baseline Assessment Score]]*60)</f>
        <v>0</v>
      </c>
      <c r="AF16" s="19">
        <f>Apr[[#This Row],[Total Mins over 24 hr]]/60</f>
        <v>0</v>
      </c>
      <c r="AG16" s="15">
        <f>SUM(D16,G16,J16,M16,P16,S16,V16,Y16,AB16)+(Apr[[#This Row],[Baseline Assessment Score]]*60/3)</f>
        <v>0</v>
      </c>
      <c r="AH16" s="19">
        <f>SUM(Apr[[#This Row],[Early (08.00 - 14.00) ]]/60)</f>
        <v>0</v>
      </c>
      <c r="AI16" s="15">
        <f>SUM(E16,H16,K16,N16,Q16,T16,W16,Z16,AC16)+(Apr[[#This Row],[Baseline Assessment Score]]*60/3)</f>
        <v>0</v>
      </c>
      <c r="AJ16" s="19">
        <f>SUM(Apr[[#This Row],[Late (14.00 - 20.00) ]]/60)</f>
        <v>0</v>
      </c>
      <c r="AK16" s="15">
        <f>SUM(F16,I16,L16,O16,R16,U16,X16,AA16,AD16)+(Apr[[#This Row],[Baseline Assessment Score]]*60/3)</f>
        <v>0</v>
      </c>
      <c r="AL16" s="88">
        <f>SUM(Apr[[#This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SUM(Apr[[#This Row],[Early]:[Night        ]])+(Apr[[#This Row],[Baseline Assessment Score]]*60)</f>
        <v>0</v>
      </c>
      <c r="AF17" s="19">
        <f>Apr[[#This Row],[Total Mins over 24 hr]]/60</f>
        <v>0</v>
      </c>
      <c r="AG17" s="15">
        <f>SUM(D17,G17,J17,M17,P17,S17,V17,Y17,AB17)+(Apr[[#This Row],[Baseline Assessment Score]]*60/3)</f>
        <v>0</v>
      </c>
      <c r="AH17" s="19">
        <f>SUM(Apr[[#This Row],[Early (08.00 - 14.00) ]]/60)</f>
        <v>0</v>
      </c>
      <c r="AI17" s="15">
        <f>SUM(E17,H17,K17,N17,Q17,T17,W17,Z17,AC17)+(Apr[[#This Row],[Baseline Assessment Score]]*60/3)</f>
        <v>0</v>
      </c>
      <c r="AJ17" s="19">
        <f>SUM(Apr[[#This Row],[Late (14.00 - 20.00) ]]/60)</f>
        <v>0</v>
      </c>
      <c r="AK17" s="15">
        <f>SUM(F17,I17,L17,O17,R17,U17,X17,AA17,AD17)+(Apr[[#This Row],[Baseline Assessment Score]]*60/3)</f>
        <v>0</v>
      </c>
      <c r="AL17" s="88">
        <f>SUM(Apr[[#This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SUM(Apr[[#This Row],[Early]:[Night        ]])+(Apr[[#This Row],[Baseline Assessment Score]]*60)</f>
        <v>0</v>
      </c>
      <c r="AF18" s="19">
        <f>Apr[[#This Row],[Total Mins over 24 hr]]/60</f>
        <v>0</v>
      </c>
      <c r="AG18" s="15">
        <f>SUM(D18,G18,J18,M18,P18,S18,V18,Y18,AB18)+(Apr[[#This Row],[Baseline Assessment Score]]*60/3)</f>
        <v>0</v>
      </c>
      <c r="AH18" s="19">
        <f>SUM(Apr[[#This Row],[Early (08.00 - 14.00) ]]/60)</f>
        <v>0</v>
      </c>
      <c r="AI18" s="15">
        <f>SUM(E18,H18,K18,N18,Q18,T18,W18,Z18,AC18)+(Apr[[#This Row],[Baseline Assessment Score]]*60/3)</f>
        <v>0</v>
      </c>
      <c r="AJ18" s="19">
        <f>SUM(Apr[[#This Row],[Late (14.00 - 20.00) ]]/60)</f>
        <v>0</v>
      </c>
      <c r="AK18" s="15">
        <f>SUM(F18,I18,L18,O18,R18,U18,X18,AA18,AD18)+(Apr[[#This Row],[Baseline Assessment Score]]*60/3)</f>
        <v>0</v>
      </c>
      <c r="AL18" s="88">
        <f>SUM(Apr[[#This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SUM(Apr[[#This Row],[Early]:[Night        ]])+(Apr[[#This Row],[Baseline Assessment Score]]*60)</f>
        <v>0</v>
      </c>
      <c r="AF19" s="19">
        <f>Apr[[#This Row],[Total Mins over 24 hr]]/60</f>
        <v>0</v>
      </c>
      <c r="AG19" s="15">
        <f>SUM(D19,G19,J19,M19,P19,S19,V19,Y19,AB19)+(Apr[[#This Row],[Baseline Assessment Score]]*60/3)</f>
        <v>0</v>
      </c>
      <c r="AH19" s="19">
        <f>SUM(Apr[[#This Row],[Early (08.00 - 14.00) ]]/60)</f>
        <v>0</v>
      </c>
      <c r="AI19" s="15">
        <f>SUM(E19,H19,K19,N19,Q19,T19,W19,Z19,AC19)+(Apr[[#This Row],[Baseline Assessment Score]]*60/3)</f>
        <v>0</v>
      </c>
      <c r="AJ19" s="19">
        <f>SUM(Apr[[#This Row],[Late (14.00 - 20.00) ]]/60)</f>
        <v>0</v>
      </c>
      <c r="AK19" s="15">
        <f>SUM(F19,I19,L19,O19,R19,U19,X19,AA19,AD19)+(Apr[[#This Row],[Baseline Assessment Score]]*60/3)</f>
        <v>0</v>
      </c>
      <c r="AL19" s="88">
        <f>SUM(Apr[[#This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SUM(Apr[[#This Row],[Early]:[Night        ]])+(Apr[[#This Row],[Baseline Assessment Score]]*60)</f>
        <v>0</v>
      </c>
      <c r="AF20" s="19">
        <f>Apr[[#This Row],[Total Mins over 24 hr]]/60</f>
        <v>0</v>
      </c>
      <c r="AG20" s="15">
        <f>SUM(D20,G20,J20,M20,P20,S20,V20,Y20,AB20)+(Apr[[#This Row],[Baseline Assessment Score]]*60/3)</f>
        <v>0</v>
      </c>
      <c r="AH20" s="19">
        <f>SUM(Apr[[#This Row],[Early (08.00 - 14.00) ]]/60)</f>
        <v>0</v>
      </c>
      <c r="AI20" s="15">
        <f>SUM(E20,H20,K20,N20,Q20,T20,W20,Z20,AC20)+(Apr[[#This Row],[Baseline Assessment Score]]*60/3)</f>
        <v>0</v>
      </c>
      <c r="AJ20" s="19">
        <f>SUM(Apr[[#This Row],[Late (14.00 - 20.00) ]]/60)</f>
        <v>0</v>
      </c>
      <c r="AK20" s="15">
        <f>SUM(F20,I20,L20,O20,R20,U20,X20,AA20,AD20)+(Apr[[#This Row],[Baseline Assessment Score]]*60/3)</f>
        <v>0</v>
      </c>
      <c r="AL20" s="88">
        <f>SUM(Apr[[#This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SUM(Apr[[#This Row],[Early]:[Night        ]])+(Apr[[#This Row],[Baseline Assessment Score]]*60)</f>
        <v>0</v>
      </c>
      <c r="AF21" s="19">
        <f>Apr[[#This Row],[Total Mins over 24 hr]]/60</f>
        <v>0</v>
      </c>
      <c r="AG21" s="15">
        <f>SUM(D21,G21,J21,M21,P21,S21,V21,Y21,AB21)+(Apr[[#This Row],[Baseline Assessment Score]]*60/3)</f>
        <v>0</v>
      </c>
      <c r="AH21" s="19">
        <f>SUM(Apr[[#This Row],[Early (08.00 - 14.00) ]]/60)</f>
        <v>0</v>
      </c>
      <c r="AI21" s="15">
        <f>SUM(E21,H21,K21,N21,Q21,T21,W21,Z21,AC21)+(Apr[[#This Row],[Baseline Assessment Score]]*60/3)</f>
        <v>0</v>
      </c>
      <c r="AJ21" s="19">
        <f>SUM(Apr[[#This Row],[Late (14.00 - 20.00) ]]/60)</f>
        <v>0</v>
      </c>
      <c r="AK21" s="15">
        <f>SUM(F21,I21,L21,O21,R21,U21,X21,AA21,AD21)+(Apr[[#This Row],[Baseline Assessment Score]]*60/3)</f>
        <v>0</v>
      </c>
      <c r="AL21" s="88">
        <f>SUM(Apr[[#This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SUM(Apr[[#This Row],[Early]:[Night        ]])+(Apr[[#This Row],[Baseline Assessment Score]]*60)</f>
        <v>0</v>
      </c>
      <c r="AF22" s="19">
        <f>Apr[[#This Row],[Total Mins over 24 hr]]/60</f>
        <v>0</v>
      </c>
      <c r="AG22" s="15">
        <f>SUM(D22,G22,J22,M22,P22,S22,V22,Y22,AB22)+(Apr[[#This Row],[Baseline Assessment Score]]*60/3)</f>
        <v>0</v>
      </c>
      <c r="AH22" s="19">
        <f>SUM(Apr[[#This Row],[Early (08.00 - 14.00) ]]/60)</f>
        <v>0</v>
      </c>
      <c r="AI22" s="15">
        <f>SUM(E22,H22,K22,N22,Q22,T22,W22,Z22,AC22)+(Apr[[#This Row],[Baseline Assessment Score]]*60/3)</f>
        <v>0</v>
      </c>
      <c r="AJ22" s="19">
        <f>SUM(Apr[[#This Row],[Late (14.00 - 20.00) ]]/60)</f>
        <v>0</v>
      </c>
      <c r="AK22" s="15">
        <f>SUM(F22,I22,L22,O22,R22,U22,X22,AA22,AD22)+(Apr[[#This Row],[Baseline Assessment Score]]*60/3)</f>
        <v>0</v>
      </c>
      <c r="AL22" s="88">
        <f>SUM(Apr[[#This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SUM(Apr[[#This Row],[Early]:[Night        ]])+(Apr[[#This Row],[Baseline Assessment Score]]*60)</f>
        <v>0</v>
      </c>
      <c r="AF23" s="19">
        <f>Apr[[#This Row],[Total Mins over 24 hr]]/60</f>
        <v>0</v>
      </c>
      <c r="AG23" s="15">
        <f>SUM(D23,G23,J23,M23,P23,S23,V23,Y23,AB23)+(Apr[[#This Row],[Baseline Assessment Score]]*60/3)</f>
        <v>0</v>
      </c>
      <c r="AH23" s="19">
        <f>SUM(Apr[[#This Row],[Early (08.00 - 14.00) ]]/60)</f>
        <v>0</v>
      </c>
      <c r="AI23" s="15">
        <f>SUM(E23,H23,K23,N23,Q23,T23,W23,Z23,AC23)+(Apr[[#This Row],[Baseline Assessment Score]]*60/3)</f>
        <v>0</v>
      </c>
      <c r="AJ23" s="19">
        <f>SUM(Apr[[#This Row],[Late (14.00 - 20.00) ]]/60)</f>
        <v>0</v>
      </c>
      <c r="AK23" s="15">
        <f>SUM(F23,I23,L23,O23,R23,U23,X23,AA23,AD23)+(Apr[[#This Row],[Baseline Assessment Score]]*60/3)</f>
        <v>0</v>
      </c>
      <c r="AL23" s="88">
        <f>SUM(Apr[[#This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SUM(Apr[[#This Row],[Early]:[Night        ]])+(Apr[[#This Row],[Baseline Assessment Score]]*60)</f>
        <v>0</v>
      </c>
      <c r="AF24" s="19">
        <f>Apr[[#This Row],[Total Mins over 24 hr]]/60</f>
        <v>0</v>
      </c>
      <c r="AG24" s="15">
        <f>SUM(D24,G24,J24,M24,P24,S24,V24,Y24,AB24)+(Apr[[#This Row],[Baseline Assessment Score]]*60/3)</f>
        <v>0</v>
      </c>
      <c r="AH24" s="19">
        <f>SUM(Apr[[#This Row],[Early (08.00 - 14.00) ]]/60)</f>
        <v>0</v>
      </c>
      <c r="AI24" s="15">
        <f>SUM(E24,H24,K24,N24,Q24,T24,W24,Z24,AC24)+(Apr[[#This Row],[Baseline Assessment Score]]*60/3)</f>
        <v>0</v>
      </c>
      <c r="AJ24" s="19">
        <f>SUM(Apr[[#This Row],[Late (14.00 - 20.00) ]]/60)</f>
        <v>0</v>
      </c>
      <c r="AK24" s="15">
        <f>SUM(F24,I24,L24,O24,R24,U24,X24,AA24,AD24)+(Apr[[#This Row],[Baseline Assessment Score]]*60/3)</f>
        <v>0</v>
      </c>
      <c r="AL24" s="88">
        <f>SUM(Apr[[#This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SUM(Apr[[#This Row],[Early]:[Night        ]])+(Apr[[#This Row],[Baseline Assessment Score]]*60)</f>
        <v>0</v>
      </c>
      <c r="AF25" s="19">
        <f>Apr[[#This Row],[Total Mins over 24 hr]]/60</f>
        <v>0</v>
      </c>
      <c r="AG25" s="15">
        <f>SUM(D25,G25,J25,M25,P25,S25,V25,Y25,AB25)+(Apr[[#This Row],[Baseline Assessment Score]]*60/3)</f>
        <v>0</v>
      </c>
      <c r="AH25" s="19">
        <f>SUM(Apr[[#This Row],[Early (08.00 - 14.00) ]]/60)</f>
        <v>0</v>
      </c>
      <c r="AI25" s="15">
        <f>SUM(E25,H25,K25,N25,Q25,T25,W25,Z25,AC25)+(Apr[[#This Row],[Baseline Assessment Score]]*60/3)</f>
        <v>0</v>
      </c>
      <c r="AJ25" s="19">
        <f>SUM(Apr[[#This Row],[Late (14.00 - 20.00) ]]/60)</f>
        <v>0</v>
      </c>
      <c r="AK25" s="15">
        <f>SUM(F25,I25,L25,O25,R25,U25,X25,AA25,AD25)+(Apr[[#This Row],[Baseline Assessment Score]]*60/3)</f>
        <v>0</v>
      </c>
      <c r="AL25" s="88">
        <f>SUM(Apr[[#This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SUM(Apr[[#This Row],[Early]:[Night        ]])+(Apr[[#This Row],[Baseline Assessment Score]]*60)</f>
        <v>0</v>
      </c>
      <c r="AF26" s="19">
        <f>Apr[[#This Row],[Total Mins over 24 hr]]/60</f>
        <v>0</v>
      </c>
      <c r="AG26" s="15">
        <f>SUM(D26,G26,J26,M26,P26,S26,V26,Y26,AB26)+(Apr[[#This Row],[Baseline Assessment Score]]*60/3)</f>
        <v>0</v>
      </c>
      <c r="AH26" s="19">
        <f>SUM(Apr[[#This Row],[Early (08.00 - 14.00) ]]/60)</f>
        <v>0</v>
      </c>
      <c r="AI26" s="15">
        <f>SUM(E26,H26,K26,N26,Q26,T26,W26,Z26,AC26)+(Apr[[#This Row],[Baseline Assessment Score]]*60/3)</f>
        <v>0</v>
      </c>
      <c r="AJ26" s="19">
        <f>SUM(Apr[[#This Row],[Late (14.00 - 20.00) ]]/60)</f>
        <v>0</v>
      </c>
      <c r="AK26" s="15">
        <f>SUM(F26,I26,L26,O26,R26,U26,X26,AA26,AD26)+(Apr[[#This Row],[Baseline Assessment Score]]*60/3)</f>
        <v>0</v>
      </c>
      <c r="AL26" s="88">
        <f>SUM(Apr[[#This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SUM(Apr[[#This Row],[Early]:[Night        ]])+(Apr[[#This Row],[Baseline Assessment Score]]*60)</f>
        <v>0</v>
      </c>
      <c r="AF27" s="19">
        <f>Apr[[#This Row],[Total Mins over 24 hr]]/60</f>
        <v>0</v>
      </c>
      <c r="AG27" s="15">
        <f>SUM(D27,G27,J27,M27,P27,S27,V27,Y27,AB27)+(Apr[[#This Row],[Baseline Assessment Score]]*60/3)</f>
        <v>0</v>
      </c>
      <c r="AH27" s="19">
        <f>SUM(Apr[[#This Row],[Early (08.00 - 14.00) ]]/60)</f>
        <v>0</v>
      </c>
      <c r="AI27" s="15">
        <f>SUM(E27,H27,K27,N27,Q27,T27,W27,Z27,AC27)+(Apr[[#This Row],[Baseline Assessment Score]]*60/3)</f>
        <v>0</v>
      </c>
      <c r="AJ27" s="19">
        <f>SUM(Apr[[#This Row],[Late (14.00 - 20.00) ]]/60)</f>
        <v>0</v>
      </c>
      <c r="AK27" s="15">
        <f>SUM(F27,I27,L27,O27,R27,U27,X27,AA27,AD27)+(Apr[[#This Row],[Baseline Assessment Score]]*60/3)</f>
        <v>0</v>
      </c>
      <c r="AL27" s="88">
        <f>SUM(Apr[[#This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SUM(Apr[[#This Row],[Early]:[Night        ]])+(Apr[[#This Row],[Baseline Assessment Score]]*60)</f>
        <v>0</v>
      </c>
      <c r="AF28" s="19">
        <f>Apr[[#This Row],[Total Mins over 24 hr]]/60</f>
        <v>0</v>
      </c>
      <c r="AG28" s="15">
        <f>SUM(D28,G28,J28,M28,P28,S28,V28,Y28,AB28)+(Apr[[#This Row],[Baseline Assessment Score]]*60/3)</f>
        <v>0</v>
      </c>
      <c r="AH28" s="19">
        <f>SUM(Apr[[#This Row],[Early (08.00 - 14.00) ]]/60)</f>
        <v>0</v>
      </c>
      <c r="AI28" s="15">
        <f>SUM(E28,H28,K28,N28,Q28,T28,W28,Z28,AC28)+(Apr[[#This Row],[Baseline Assessment Score]]*60/3)</f>
        <v>0</v>
      </c>
      <c r="AJ28" s="19">
        <f>SUM(Apr[[#This Row],[Late (14.00 - 20.00) ]]/60)</f>
        <v>0</v>
      </c>
      <c r="AK28" s="15">
        <f>SUM(F28,I28,L28,O28,R28,U28,X28,AA28,AD28)+(Apr[[#This Row],[Baseline Assessment Score]]*60/3)</f>
        <v>0</v>
      </c>
      <c r="AL28" s="88">
        <f>SUM(Apr[[#This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SUM(Apr[[#This Row],[Early]:[Night        ]])+(Apr[[#This Row],[Baseline Assessment Score]]*60)</f>
        <v>0</v>
      </c>
      <c r="AF29" s="19">
        <f>Apr[[#This Row],[Total Mins over 24 hr]]/60</f>
        <v>0</v>
      </c>
      <c r="AG29" s="15">
        <f>SUM(D29,G29,J29,M29,P29,S29,V29,Y29,AB29)+(Apr[[#This Row],[Baseline Assessment Score]]*60/3)</f>
        <v>0</v>
      </c>
      <c r="AH29" s="19">
        <f>SUM(Apr[[#This Row],[Early (08.00 - 14.00) ]]/60)</f>
        <v>0</v>
      </c>
      <c r="AI29" s="15">
        <f>SUM(E29,H29,K29,N29,Q29,T29,W29,Z29,AC29)+(Apr[[#This Row],[Baseline Assessment Score]]*60/3)</f>
        <v>0</v>
      </c>
      <c r="AJ29" s="19">
        <f>SUM(Apr[[#This Row],[Late (14.00 - 20.00) ]]/60)</f>
        <v>0</v>
      </c>
      <c r="AK29" s="15">
        <f>SUM(F29,I29,L29,O29,R29,U29,X29,AA29,AD29)+(Apr[[#This Row],[Baseline Assessment Score]]*60/3)</f>
        <v>0</v>
      </c>
      <c r="AL29" s="88">
        <f>SUM(Apr[[#This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SUM(Apr[[#This Row],[Early]:[Night        ]])+(Apr[[#This Row],[Baseline Assessment Score]]*60)</f>
        <v>0</v>
      </c>
      <c r="AF30" s="19">
        <f>Apr[[#This Row],[Total Mins over 24 hr]]/60</f>
        <v>0</v>
      </c>
      <c r="AG30" s="15">
        <f>SUM(D30,G30,J30,M30,P30,S30,V30,Y30,AB30)+(Apr[[#This Row],[Baseline Assessment Score]]*60/3)</f>
        <v>0</v>
      </c>
      <c r="AH30" s="19">
        <f>SUM(Apr[[#This Row],[Early (08.00 - 14.00) ]]/60)</f>
        <v>0</v>
      </c>
      <c r="AI30" s="15">
        <f>SUM(E30,H30,K30,N30,Q30,T30,W30,Z30,AC30)+(Apr[[#This Row],[Baseline Assessment Score]]*60/3)</f>
        <v>0</v>
      </c>
      <c r="AJ30" s="19">
        <f>SUM(Apr[[#This Row],[Late (14.00 - 20.00) ]]/60)</f>
        <v>0</v>
      </c>
      <c r="AK30" s="15">
        <f>SUM(F30,I30,L30,O30,R30,U30,X30,AA30,AD30)+(Apr[[#This Row],[Baseline Assessment Score]]*60/3)</f>
        <v>0</v>
      </c>
      <c r="AL30" s="88">
        <f>SUM(Apr[[#This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SUM(Apr[[#This Row],[Early]:[Night        ]])+(Apr[[#This Row],[Baseline Assessment Score]]*60)</f>
        <v>0</v>
      </c>
      <c r="AF31" s="19">
        <f>Apr[[#This Row],[Total Mins over 24 hr]]/60</f>
        <v>0</v>
      </c>
      <c r="AG31" s="15">
        <f>SUM(D31,G31,J31,M31,P31,S31,V31,Y31,AB31)+(Apr[[#This Row],[Baseline Assessment Score]]*60/3)</f>
        <v>0</v>
      </c>
      <c r="AH31" s="19">
        <f>SUM(Apr[[#This Row],[Early (08.00 - 14.00) ]]/60)</f>
        <v>0</v>
      </c>
      <c r="AI31" s="15">
        <f>SUM(E31,H31,K31,N31,Q31,T31,W31,Z31,AC31)+(Apr[[#This Row],[Baseline Assessment Score]]*60/3)</f>
        <v>0</v>
      </c>
      <c r="AJ31" s="19">
        <f>SUM(Apr[[#This Row],[Late (14.00 - 20.00) ]]/60)</f>
        <v>0</v>
      </c>
      <c r="AK31" s="15">
        <f>SUM(F31,I31,L31,O31,R31,U31,X31,AA31,AD31)+(Apr[[#This Row],[Baseline Assessment Score]]*60/3)</f>
        <v>0</v>
      </c>
      <c r="AL31" s="88">
        <f>SUM(Apr[[#This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SUM(Apr[[#This Row],[Early]:[Night        ]])+(Apr[[#This Row],[Baseline Assessment Score]]*60)</f>
        <v>0</v>
      </c>
      <c r="AF32" s="19">
        <f>Apr[[#This Row],[Total Mins over 24 hr]]/60</f>
        <v>0</v>
      </c>
      <c r="AG32" s="15">
        <f>SUM(D32,G32,J32,M32,P32,S32,V32,Y32,AB32)+(Apr[[#This Row],[Baseline Assessment Score]]*60/3)</f>
        <v>0</v>
      </c>
      <c r="AH32" s="19">
        <f>SUM(Apr[[#This Row],[Early (08.00 - 14.00) ]]/60)</f>
        <v>0</v>
      </c>
      <c r="AI32" s="15">
        <f>SUM(E32,H32,K32,N32,Q32,T32,W32,Z32,AC32)+(Apr[[#This Row],[Baseline Assessment Score]]*60/3)</f>
        <v>0</v>
      </c>
      <c r="AJ32" s="19">
        <f>SUM(Apr[[#This Row],[Late (14.00 - 20.00) ]]/60)</f>
        <v>0</v>
      </c>
      <c r="AK32" s="15">
        <f>SUM(F32,I32,L32,O32,R32,U32,X32,AA32,AD32)+(Apr[[#This Row],[Baseline Assessment Score]]*60/3)</f>
        <v>0</v>
      </c>
      <c r="AL32" s="88">
        <f>SUM(Apr[[#This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SUM(Apr[[#This Row],[Early]:[Night        ]])+(Apr[[#This Row],[Baseline Assessment Score]]*60)</f>
        <v>0</v>
      </c>
      <c r="AF33" s="19">
        <f>Apr[[#This Row],[Total Mins over 24 hr]]/60</f>
        <v>0</v>
      </c>
      <c r="AG33" s="15">
        <f>SUM(D33,G33,J33,M33,P33,S33,V33,Y33,AB33)+(Apr[[#This Row],[Baseline Assessment Score]]*60/3)</f>
        <v>0</v>
      </c>
      <c r="AH33" s="19">
        <f>SUM(Apr[[#This Row],[Early (08.00 - 14.00) ]]/60)</f>
        <v>0</v>
      </c>
      <c r="AI33" s="15">
        <f>SUM(E33,H33,K33,N33,Q33,T33,W33,Z33,AC33)+(Apr[[#This Row],[Baseline Assessment Score]]*60/3)</f>
        <v>0</v>
      </c>
      <c r="AJ33" s="19">
        <f>SUM(Apr[[#This Row],[Late (14.00 - 20.00) ]]/60)</f>
        <v>0</v>
      </c>
      <c r="AK33" s="15">
        <f>SUM(F33,I33,L33,O33,R33,U33,X33,AA33,AD33)+(Apr[[#This Row],[Baseline Assessment Score]]*60/3)</f>
        <v>0</v>
      </c>
      <c r="AL33" s="88">
        <f>SUM(Apr[[#This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SUM(Apr[[#This Row],[Early]:[Night        ]])+(Apr[[#This Row],[Baseline Assessment Score]]*60)</f>
        <v>0</v>
      </c>
      <c r="AF34" s="19">
        <f>Apr[[#This Row],[Total Mins over 24 hr]]/60</f>
        <v>0</v>
      </c>
      <c r="AG34" s="15">
        <f>SUM(D34,G34,J34,M34,P34,S34,V34,Y34,AB34)+(Apr[[#This Row],[Baseline Assessment Score]]*60/3)</f>
        <v>0</v>
      </c>
      <c r="AH34" s="19">
        <f>SUM(Apr[[#This Row],[Early (08.00 - 14.00) ]]/60)</f>
        <v>0</v>
      </c>
      <c r="AI34" s="15">
        <f>SUM(E34,H34,K34,N34,Q34,T34,W34,Z34,AC34)+(Apr[[#This Row],[Baseline Assessment Score]]*60/3)</f>
        <v>0</v>
      </c>
      <c r="AJ34" s="19">
        <f>SUM(Apr[[#This Row],[Late (14.00 - 20.00) ]]/60)</f>
        <v>0</v>
      </c>
      <c r="AK34" s="15">
        <f>SUM(F34,I34,L34,O34,R34,U34,X34,AA34,AD34)+(Apr[[#This Row],[Baseline Assessment Score]]*60/3)</f>
        <v>0</v>
      </c>
      <c r="AL34" s="88">
        <f>SUM(Apr[[#This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SUM(Apr[[#This Row],[Early]:[Night        ]])+(Apr[[#This Row],[Baseline Assessment Score]]*60)</f>
        <v>0</v>
      </c>
      <c r="AF35" s="19">
        <f>Apr[[#This Row],[Total Mins over 24 hr]]/60</f>
        <v>0</v>
      </c>
      <c r="AG35" s="15">
        <f>SUM(D35,G35,J35,M35,P35,S35,V35,Y35,AB35)+(Apr[[#This Row],[Baseline Assessment Score]]*60/3)</f>
        <v>0</v>
      </c>
      <c r="AH35" s="19">
        <f>SUM(Apr[[#This Row],[Early (08.00 - 14.00) ]]/60)</f>
        <v>0</v>
      </c>
      <c r="AI35" s="15">
        <f>SUM(E35,H35,K35,N35,Q35,T35,W35,Z35,AC35)+(Apr[[#This Row],[Baseline Assessment Score]]*60/3)</f>
        <v>0</v>
      </c>
      <c r="AJ35" s="19">
        <f>SUM(Apr[[#This Row],[Late (14.00 - 20.00) ]]/60)</f>
        <v>0</v>
      </c>
      <c r="AK35" s="15">
        <f>SUM(F35,I35,L35,O35,R35,U35,X35,AA35,AD35)+(Apr[[#This Row],[Baseline Assessment Score]]*60/3)</f>
        <v>0</v>
      </c>
      <c r="AL35" s="88">
        <f>SUM(Apr[[#This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SUM(Apr[[#This Row],[Early]:[Night        ]])+(Apr[[#This Row],[Baseline Assessment Score]]*60)</f>
        <v>0</v>
      </c>
      <c r="AF36" s="20">
        <f>Apr[[#This Row],[Total Mins over 24 hr]]/60</f>
        <v>0</v>
      </c>
      <c r="AG36" s="18">
        <f>SUM(D36,G36,J36,M36,P36,S36,V36,Y36,AB36)+(Apr[[#This Row],[Baseline Assessment Score]]*60/3)</f>
        <v>0</v>
      </c>
      <c r="AH36" s="20">
        <f>SUM(Apr[[#This Row],[Early (08.00 - 14.00) ]]/60)</f>
        <v>0</v>
      </c>
      <c r="AI36" s="18">
        <f>SUM(E36,H36,K36,N36,Q36,T36,W36,Z36,AC36)+(Apr[[#This Row],[Baseline Assessment Score]]*60/3)</f>
        <v>0</v>
      </c>
      <c r="AJ36" s="20">
        <f>SUM(Apr[[#This Row],[Late (14.00 - 20.00) ]]/60)</f>
        <v>0</v>
      </c>
      <c r="AK36" s="18">
        <f>SUM(F36,I36,L36,O36,R36,U36,X36,AA36,AD36)+(Apr[[#This Row],[Baseline Assessment Score]]*60/3)</f>
        <v>0</v>
      </c>
      <c r="AL36" s="91">
        <f>SUM(Apr[[#This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305" t="s">
        <v>51</v>
      </c>
      <c r="W37" s="306"/>
      <c r="X37" s="306"/>
      <c r="Y37" s="306"/>
      <c r="Z37" s="306"/>
      <c r="AA37" s="306"/>
      <c r="AB37" s="306"/>
      <c r="AC37" s="306"/>
      <c r="AD37" s="306"/>
      <c r="AE37" s="310">
        <f>SUM(Apr[Actual contact time (hours)])</f>
        <v>0</v>
      </c>
      <c r="AF37" s="310"/>
      <c r="AG37" s="310">
        <f>SUM(Apr[Contact time per shift])</f>
        <v>0</v>
      </c>
      <c r="AH37" s="311"/>
      <c r="AI37" s="310">
        <f>SUM(Apr[[Contact time per shift ]])</f>
        <v>0</v>
      </c>
      <c r="AJ37" s="311"/>
      <c r="AK37" s="310">
        <f>SUM(Apr[[Contact time per shift  ]])</f>
        <v>0</v>
      </c>
      <c r="AL37" s="312"/>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COUNTIF(Apr[Adults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67" priority="2" operator="greaterThan">
      <formula>$AL$7</formula>
    </cfRule>
    <cfRule type="cellIs" dxfId="66" priority="3" operator="between">
      <formula>$AJ$7</formula>
      <formula>$AL$7</formula>
    </cfRule>
    <cfRule type="cellIs" dxfId="65" priority="4" operator="between">
      <formula>$AJ$6</formula>
      <formula>$AL$6</formula>
    </cfRule>
    <cfRule type="cellIs" dxfId="64" priority="5" operator="between">
      <formula>$AJ$5</formula>
      <formula>$AL$5</formula>
    </cfRule>
  </conditionalFormatting>
  <dataValidations count="1">
    <dataValidation type="list" allowBlank="1" showInputMessage="1" showErrorMessage="1" sqref="C13:C36" xr:uid="{0F2C7A42-7426-4545-BEEF-20D59D14B1C8}">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D83AF87B-C484-4E34-9B93-99A5E429F87D}">
            <xm:f>NOT(ISERROR(SEARCH($R$8,C13)))</xm:f>
            <xm:f>$R$8</xm:f>
            <x14:dxf>
              <fill>
                <patternFill>
                  <bgColor rgb="FFFF9999"/>
                </patternFill>
              </fill>
            </x14:dxf>
          </x14:cfRule>
          <x14:cfRule type="containsText" priority="7" operator="containsText" id="{81C8962E-9A1C-418D-8847-B67D8CF96029}">
            <xm:f>NOT(ISERROR(SEARCH($R$7,C13)))</xm:f>
            <xm:f>$R$7</xm:f>
            <x14:dxf>
              <fill>
                <patternFill>
                  <bgColor theme="5" tint="0.59996337778862885"/>
                </patternFill>
              </fill>
            </x14:dxf>
          </x14:cfRule>
          <x14:cfRule type="containsText" priority="8" operator="containsText" id="{EB7A8262-33CF-4734-B2E0-63000EAE0414}">
            <xm:f>NOT(ISERROR(SEARCH($R$6,C13)))</xm:f>
            <xm:f>$R$6</xm:f>
            <x14:dxf>
              <fill>
                <patternFill>
                  <bgColor theme="9" tint="0.59996337778862885"/>
                </patternFill>
              </fill>
            </x14:dxf>
          </x14:cfRule>
          <x14:cfRule type="containsText" priority="9" operator="containsText" id="{CC899E57-028A-455A-B6DF-688817C1D94E}">
            <xm:f>NOT(ISERROR(SEARCH($R$5,C13)))</xm:f>
            <xm:f>$R$5</xm:f>
            <x14:dxf>
              <fill>
                <patternFill>
                  <bgColor theme="8" tint="0.79998168889431442"/>
                </patternFill>
              </fill>
            </x14:dxf>
          </x14:cfRule>
          <xm:sqref>C13:C36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4FAAC-286A-4C26-A384-BC9729DBE837}">
  <sheetPr>
    <tabColor rgb="FFCFAFE7"/>
  </sheetPr>
  <dimension ref="B2:AL58"/>
  <sheetViews>
    <sheetView topLeftCell="F1" zoomScale="80" zoomScaleNormal="80" workbookViewId="0">
      <selection activeCell="P25" sqref="P25"/>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115" t="s">
        <v>1</v>
      </c>
      <c r="C5" s="255"/>
      <c r="D5" s="256"/>
      <c r="E5" s="256"/>
      <c r="F5" s="256"/>
      <c r="G5" s="256"/>
      <c r="H5" s="256"/>
      <c r="I5" s="257"/>
      <c r="R5" s="46">
        <v>1</v>
      </c>
      <c r="S5" s="271" t="s">
        <v>116</v>
      </c>
      <c r="T5" s="272"/>
      <c r="U5" s="273"/>
      <c r="V5" s="46">
        <f>COUNTIF(May[Baseline Assessment Score],1)</f>
        <v>0</v>
      </c>
      <c r="AE5" s="250" t="s">
        <v>119</v>
      </c>
      <c r="AF5" s="251"/>
      <c r="AG5" s="252"/>
      <c r="AH5" s="253" t="s">
        <v>66</v>
      </c>
      <c r="AI5" s="254"/>
      <c r="AJ5" s="51">
        <v>0</v>
      </c>
      <c r="AK5" s="11" t="s">
        <v>120</v>
      </c>
      <c r="AL5" s="52">
        <v>5</v>
      </c>
    </row>
    <row r="6" spans="2:38" ht="15.75" thickBot="1" x14ac:dyDescent="0.25">
      <c r="B6" s="116" t="s">
        <v>2</v>
      </c>
      <c r="C6" s="258" t="s">
        <v>127</v>
      </c>
      <c r="D6" s="259"/>
      <c r="E6" s="260"/>
      <c r="F6" s="117" t="s">
        <v>0</v>
      </c>
      <c r="G6" s="246"/>
      <c r="H6" s="247"/>
      <c r="I6" s="248"/>
      <c r="R6" s="47">
        <v>2</v>
      </c>
      <c r="S6" s="268" t="s">
        <v>66</v>
      </c>
      <c r="T6" s="269"/>
      <c r="U6" s="270"/>
      <c r="V6" s="47">
        <f>COUNTIF(May[Baseline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COUNTIF(May[Baseline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COUNTIF(May[Baseline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321" t="s">
        <v>40</v>
      </c>
      <c r="E11" s="322"/>
      <c r="F11" s="323"/>
      <c r="G11" s="313" t="s">
        <v>41</v>
      </c>
      <c r="H11" s="314"/>
      <c r="I11" s="315"/>
      <c r="J11" s="316" t="s">
        <v>42</v>
      </c>
      <c r="K11" s="317"/>
      <c r="L11" s="318"/>
      <c r="M11" s="313" t="s">
        <v>47</v>
      </c>
      <c r="N11" s="314"/>
      <c r="O11" s="315"/>
      <c r="P11" s="316" t="s">
        <v>43</v>
      </c>
      <c r="Q11" s="317"/>
      <c r="R11" s="318"/>
      <c r="S11" s="313" t="s">
        <v>44</v>
      </c>
      <c r="T11" s="314"/>
      <c r="U11" s="315"/>
      <c r="V11" s="316" t="s">
        <v>95</v>
      </c>
      <c r="W11" s="317"/>
      <c r="X11" s="318"/>
      <c r="Y11" s="313" t="s">
        <v>45</v>
      </c>
      <c r="Z11" s="314"/>
      <c r="AA11" s="315"/>
      <c r="AB11" s="316" t="s">
        <v>46</v>
      </c>
      <c r="AC11" s="317"/>
      <c r="AD11" s="318"/>
    </row>
    <row r="12" spans="2:38" ht="55.5" thickBot="1" x14ac:dyDescent="0.25">
      <c r="B12" s="122" t="s">
        <v>3</v>
      </c>
      <c r="C12" s="123" t="s">
        <v>39</v>
      </c>
      <c r="D12" s="118" t="s">
        <v>4</v>
      </c>
      <c r="E12" s="119" t="s">
        <v>5</v>
      </c>
      <c r="F12" s="120" t="s">
        <v>6</v>
      </c>
      <c r="G12" s="124" t="s">
        <v>13</v>
      </c>
      <c r="H12" s="124" t="s">
        <v>14</v>
      </c>
      <c r="I12" s="125" t="s">
        <v>15</v>
      </c>
      <c r="J12" s="119" t="s">
        <v>16</v>
      </c>
      <c r="K12" s="119" t="s">
        <v>17</v>
      </c>
      <c r="L12" s="120" t="s">
        <v>18</v>
      </c>
      <c r="M12" s="124" t="s">
        <v>19</v>
      </c>
      <c r="N12" s="124" t="s">
        <v>20</v>
      </c>
      <c r="O12" s="125" t="s">
        <v>21</v>
      </c>
      <c r="P12" s="119" t="s">
        <v>22</v>
      </c>
      <c r="Q12" s="119" t="s">
        <v>23</v>
      </c>
      <c r="R12" s="120" t="s">
        <v>24</v>
      </c>
      <c r="S12" s="124" t="s">
        <v>25</v>
      </c>
      <c r="T12" s="124" t="s">
        <v>26</v>
      </c>
      <c r="U12" s="125" t="s">
        <v>27</v>
      </c>
      <c r="V12" s="119" t="s">
        <v>28</v>
      </c>
      <c r="W12" s="119" t="s">
        <v>29</v>
      </c>
      <c r="X12" s="120" t="s">
        <v>30</v>
      </c>
      <c r="Y12" s="124" t="s">
        <v>32</v>
      </c>
      <c r="Z12" s="124" t="s">
        <v>33</v>
      </c>
      <c r="AA12" s="125" t="s">
        <v>34</v>
      </c>
      <c r="AB12" s="119" t="s">
        <v>31</v>
      </c>
      <c r="AC12" s="119" t="s">
        <v>35</v>
      </c>
      <c r="AD12" s="120" t="s">
        <v>36</v>
      </c>
      <c r="AE12" s="121" t="s">
        <v>7</v>
      </c>
      <c r="AF12" s="120" t="s">
        <v>8</v>
      </c>
      <c r="AG12" s="126" t="s">
        <v>9</v>
      </c>
      <c r="AH12" s="125" t="s">
        <v>12</v>
      </c>
      <c r="AI12" s="121" t="s">
        <v>11</v>
      </c>
      <c r="AJ12" s="120" t="s">
        <v>10</v>
      </c>
      <c r="AK12" s="126" t="s">
        <v>37</v>
      </c>
      <c r="AL12" s="127"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SUM(May[[#This Row],[Early]:[Night        ]])+(May[[#This Row],[Baseline Assessment Score]]*60)</f>
        <v>0</v>
      </c>
      <c r="AF13" s="16">
        <f>May[[#This Row],[Total Mins over 24 hr]]/60</f>
        <v>0</v>
      </c>
      <c r="AG13" s="13">
        <f>SUM(D13,G13,J13,M13,P13,S13,V13,Y13,AB13)+(May[[#This Row],[Baseline Assessment Score]]*60/3)</f>
        <v>0</v>
      </c>
      <c r="AH13" s="16">
        <f>SUM(May[[#This Row],[Early (08.00 - 14.00) ]]/60)</f>
        <v>0</v>
      </c>
      <c r="AI13" s="13">
        <f>SUM(E13,H13,K13,N13,Q13,T13,W13,Z13,AC13)+(May[[#This Row],[Baseline Assessment Score]]*60/3)</f>
        <v>0</v>
      </c>
      <c r="AJ13" s="16">
        <f>SUM(May[[#This Row],[Late (14.00 - 20.00) ]]/60)</f>
        <v>0</v>
      </c>
      <c r="AK13" s="13">
        <f>SUM(F13,I13,L13,O13,R13,U13,X13,AA13,AD13)+(May[[#This Row],[Baseline Assessment Score]]*60/3)</f>
        <v>0</v>
      </c>
      <c r="AL13" s="86">
        <f>SUM(May[[#This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SUM(May[[#This Row],[Early]:[Night        ]])+(May[[#This Row],[Baseline Assessment Score]]*60)</f>
        <v>0</v>
      </c>
      <c r="AF14" s="19">
        <f>May[[#This Row],[Total Mins over 24 hr]]/60</f>
        <v>0</v>
      </c>
      <c r="AG14" s="15">
        <f>SUM(D14,G14,J14,M14,P14,S14,V14,Y14,AB14)+(May[[#This Row],[Baseline Assessment Score]]*60/3)</f>
        <v>0</v>
      </c>
      <c r="AH14" s="19">
        <f>SUM(May[[#This Row],[Early (08.00 - 14.00) ]]/60)</f>
        <v>0</v>
      </c>
      <c r="AI14" s="15">
        <f>SUM(E14,H14,K14,N14,Q14,T14,W14,Z14,AC14)+(May[[#This Row],[Baseline Assessment Score]]*60/3)</f>
        <v>0</v>
      </c>
      <c r="AJ14" s="19">
        <f>SUM(May[[#This Row],[Late (14.00 - 20.00) ]]/60)</f>
        <v>0</v>
      </c>
      <c r="AK14" s="15">
        <f>SUM(F14,I14,L14,O14,R14,U14,X14,AA14,AD14)+(May[[#This Row],[Baseline Assessment Score]]*60/3)</f>
        <v>0</v>
      </c>
      <c r="AL14" s="88">
        <f>SUM(May[[#This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SUM(May[[#This Row],[Early]:[Night        ]])+(May[[#This Row],[Baseline Assessment Score]]*60)</f>
        <v>0</v>
      </c>
      <c r="AF15" s="19">
        <f>May[[#This Row],[Total Mins over 24 hr]]/60</f>
        <v>0</v>
      </c>
      <c r="AG15" s="15">
        <f>SUM(D15,G15,J15,M15,P15,S15,V15,Y15,AB15)+(May[[#This Row],[Baseline Assessment Score]]*60/3)</f>
        <v>0</v>
      </c>
      <c r="AH15" s="19">
        <f>SUM(May[[#This Row],[Early (08.00 - 14.00) ]]/60)</f>
        <v>0</v>
      </c>
      <c r="AI15" s="15">
        <f>SUM(E15,H15,K15,N15,Q15,T15,W15,Z15,AC15)+(May[[#This Row],[Baseline Assessment Score]]*60/3)</f>
        <v>0</v>
      </c>
      <c r="AJ15" s="19">
        <f>SUM(May[[#This Row],[Late (14.00 - 20.00) ]]/60)</f>
        <v>0</v>
      </c>
      <c r="AK15" s="15">
        <f>SUM(F15,I15,L15,O15,R15,U15,X15,AA15,AD15)+(May[[#This Row],[Baseline Assessment Score]]*60/3)</f>
        <v>0</v>
      </c>
      <c r="AL15" s="88">
        <f>SUM(May[[#This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SUM(May[[#This Row],[Early]:[Night        ]])+(May[[#This Row],[Baseline Assessment Score]]*60)</f>
        <v>0</v>
      </c>
      <c r="AF16" s="19">
        <f>May[[#This Row],[Total Mins over 24 hr]]/60</f>
        <v>0</v>
      </c>
      <c r="AG16" s="15">
        <f>SUM(D16,G16,J16,M16,P16,S16,V16,Y16,AB16)+(May[[#This Row],[Baseline Assessment Score]]*60/3)</f>
        <v>0</v>
      </c>
      <c r="AH16" s="19">
        <f>SUM(May[[#This Row],[Early (08.00 - 14.00) ]]/60)</f>
        <v>0</v>
      </c>
      <c r="AI16" s="15">
        <f>SUM(E16,H16,K16,N16,Q16,T16,W16,Z16,AC16)+(May[[#This Row],[Baseline Assessment Score]]*60/3)</f>
        <v>0</v>
      </c>
      <c r="AJ16" s="19">
        <f>SUM(May[[#This Row],[Late (14.00 - 20.00) ]]/60)</f>
        <v>0</v>
      </c>
      <c r="AK16" s="15">
        <f>SUM(F16,I16,L16,O16,R16,U16,X16,AA16,AD16)+(May[[#This Row],[Baseline Assessment Score]]*60/3)</f>
        <v>0</v>
      </c>
      <c r="AL16" s="88">
        <f>SUM(May[[#This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SUM(May[[#This Row],[Early]:[Night        ]])+(May[[#This Row],[Baseline Assessment Score]]*60)</f>
        <v>0</v>
      </c>
      <c r="AF17" s="19">
        <f>May[[#This Row],[Total Mins over 24 hr]]/60</f>
        <v>0</v>
      </c>
      <c r="AG17" s="15">
        <f>SUM(D17,G17,J17,M17,P17,S17,V17,Y17,AB17)+(May[[#This Row],[Baseline Assessment Score]]*60/3)</f>
        <v>0</v>
      </c>
      <c r="AH17" s="19">
        <f>SUM(May[[#This Row],[Early (08.00 - 14.00) ]]/60)</f>
        <v>0</v>
      </c>
      <c r="AI17" s="15">
        <f>SUM(E17,H17,K17,N17,Q17,T17,W17,Z17,AC17)+(May[[#This Row],[Baseline Assessment Score]]*60/3)</f>
        <v>0</v>
      </c>
      <c r="AJ17" s="19">
        <f>SUM(May[[#This Row],[Late (14.00 - 20.00) ]]/60)</f>
        <v>0</v>
      </c>
      <c r="AK17" s="15">
        <f>SUM(F17,I17,L17,O17,R17,U17,X17,AA17,AD17)+(May[[#This Row],[Baseline Assessment Score]]*60/3)</f>
        <v>0</v>
      </c>
      <c r="AL17" s="88">
        <f>SUM(May[[#This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SUM(May[[#This Row],[Early]:[Night        ]])+(May[[#This Row],[Baseline Assessment Score]]*60)</f>
        <v>0</v>
      </c>
      <c r="AF18" s="19">
        <f>May[[#This Row],[Total Mins over 24 hr]]/60</f>
        <v>0</v>
      </c>
      <c r="AG18" s="15">
        <f>SUM(D18,G18,J18,M18,P18,S18,V18,Y18,AB18)+(May[[#This Row],[Baseline Assessment Score]]*60/3)</f>
        <v>0</v>
      </c>
      <c r="AH18" s="19">
        <f>SUM(May[[#This Row],[Early (08.00 - 14.00) ]]/60)</f>
        <v>0</v>
      </c>
      <c r="AI18" s="15">
        <f>SUM(E18,H18,K18,N18,Q18,T18,W18,Z18,AC18)+(May[[#This Row],[Baseline Assessment Score]]*60/3)</f>
        <v>0</v>
      </c>
      <c r="AJ18" s="19">
        <f>SUM(May[[#This Row],[Late (14.00 - 20.00) ]]/60)</f>
        <v>0</v>
      </c>
      <c r="AK18" s="15">
        <f>SUM(F18,I18,L18,O18,R18,U18,X18,AA18,AD18)+(May[[#This Row],[Baseline Assessment Score]]*60/3)</f>
        <v>0</v>
      </c>
      <c r="AL18" s="88">
        <f>SUM(May[[#This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SUM(May[[#This Row],[Early]:[Night        ]])+(May[[#This Row],[Baseline Assessment Score]]*60)</f>
        <v>0</v>
      </c>
      <c r="AF19" s="19">
        <f>May[[#This Row],[Total Mins over 24 hr]]/60</f>
        <v>0</v>
      </c>
      <c r="AG19" s="15">
        <f>SUM(D19,G19,J19,M19,P19,S19,V19,Y19,AB19)+(May[[#This Row],[Baseline Assessment Score]]*60/3)</f>
        <v>0</v>
      </c>
      <c r="AH19" s="19">
        <f>SUM(May[[#This Row],[Early (08.00 - 14.00) ]]/60)</f>
        <v>0</v>
      </c>
      <c r="AI19" s="15">
        <f>SUM(E19,H19,K19,N19,Q19,T19,W19,Z19,AC19)+(May[[#This Row],[Baseline Assessment Score]]*60/3)</f>
        <v>0</v>
      </c>
      <c r="AJ19" s="19">
        <f>SUM(May[[#This Row],[Late (14.00 - 20.00) ]]/60)</f>
        <v>0</v>
      </c>
      <c r="AK19" s="15">
        <f>SUM(F19,I19,L19,O19,R19,U19,X19,AA19,AD19)+(May[[#This Row],[Baseline Assessment Score]]*60/3)</f>
        <v>0</v>
      </c>
      <c r="AL19" s="88">
        <f>SUM(May[[#This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SUM(May[[#This Row],[Early]:[Night        ]])+(May[[#This Row],[Baseline Assessment Score]]*60)</f>
        <v>0</v>
      </c>
      <c r="AF20" s="19">
        <f>May[[#This Row],[Total Mins over 24 hr]]/60</f>
        <v>0</v>
      </c>
      <c r="AG20" s="15">
        <f>SUM(D20,G20,J20,M20,P20,S20,V20,Y20,AB20)+(May[[#This Row],[Baseline Assessment Score]]*60/3)</f>
        <v>0</v>
      </c>
      <c r="AH20" s="19">
        <f>SUM(May[[#This Row],[Early (08.00 - 14.00) ]]/60)</f>
        <v>0</v>
      </c>
      <c r="AI20" s="15">
        <f>SUM(E20,H20,K20,N20,Q20,T20,W20,Z20,AC20)+(May[[#This Row],[Baseline Assessment Score]]*60/3)</f>
        <v>0</v>
      </c>
      <c r="AJ20" s="19">
        <f>SUM(May[[#This Row],[Late (14.00 - 20.00) ]]/60)</f>
        <v>0</v>
      </c>
      <c r="AK20" s="15">
        <f>SUM(F20,I20,L20,O20,R20,U20,X20,AA20,AD20)+(May[[#This Row],[Baseline Assessment Score]]*60/3)</f>
        <v>0</v>
      </c>
      <c r="AL20" s="88">
        <f>SUM(May[[#This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SUM(May[[#This Row],[Early]:[Night        ]])+(May[[#This Row],[Baseline Assessment Score]]*60)</f>
        <v>0</v>
      </c>
      <c r="AF21" s="19">
        <f>May[[#This Row],[Total Mins over 24 hr]]/60</f>
        <v>0</v>
      </c>
      <c r="AG21" s="15">
        <f>SUM(D21,G21,J21,M21,P21,S21,V21,Y21,AB21)+(May[[#This Row],[Baseline Assessment Score]]*60/3)</f>
        <v>0</v>
      </c>
      <c r="AH21" s="19">
        <f>SUM(May[[#This Row],[Early (08.00 - 14.00) ]]/60)</f>
        <v>0</v>
      </c>
      <c r="AI21" s="15">
        <f>SUM(E21,H21,K21,N21,Q21,T21,W21,Z21,AC21)+(May[[#This Row],[Baseline Assessment Score]]*60/3)</f>
        <v>0</v>
      </c>
      <c r="AJ21" s="19">
        <f>SUM(May[[#This Row],[Late (14.00 - 20.00) ]]/60)</f>
        <v>0</v>
      </c>
      <c r="AK21" s="15">
        <f>SUM(F21,I21,L21,O21,R21,U21,X21,AA21,AD21)+(May[[#This Row],[Baseline Assessment Score]]*60/3)</f>
        <v>0</v>
      </c>
      <c r="AL21" s="88">
        <f>SUM(May[[#This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SUM(May[[#This Row],[Early]:[Night        ]])+(May[[#This Row],[Baseline Assessment Score]]*60)</f>
        <v>0</v>
      </c>
      <c r="AF22" s="19">
        <f>May[[#This Row],[Total Mins over 24 hr]]/60</f>
        <v>0</v>
      </c>
      <c r="AG22" s="15">
        <f>SUM(D22,G22,J22,M22,P22,S22,V22,Y22,AB22)+(May[[#This Row],[Baseline Assessment Score]]*60/3)</f>
        <v>0</v>
      </c>
      <c r="AH22" s="19">
        <f>SUM(May[[#This Row],[Early (08.00 - 14.00) ]]/60)</f>
        <v>0</v>
      </c>
      <c r="AI22" s="15">
        <f>SUM(E22,H22,K22,N22,Q22,T22,W22,Z22,AC22)+(May[[#This Row],[Baseline Assessment Score]]*60/3)</f>
        <v>0</v>
      </c>
      <c r="AJ22" s="19">
        <f>SUM(May[[#This Row],[Late (14.00 - 20.00) ]]/60)</f>
        <v>0</v>
      </c>
      <c r="AK22" s="15">
        <f>SUM(F22,I22,L22,O22,R22,U22,X22,AA22,AD22)+(May[[#This Row],[Baseline Assessment Score]]*60/3)</f>
        <v>0</v>
      </c>
      <c r="AL22" s="88">
        <f>SUM(May[[#This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SUM(May[[#This Row],[Early]:[Night        ]])+(May[[#This Row],[Baseline Assessment Score]]*60)</f>
        <v>0</v>
      </c>
      <c r="AF23" s="19">
        <f>May[[#This Row],[Total Mins over 24 hr]]/60</f>
        <v>0</v>
      </c>
      <c r="AG23" s="15">
        <f>SUM(D23,G23,J23,M23,P23,S23,V23,Y23,AB23)+(May[[#This Row],[Baseline Assessment Score]]*60/3)</f>
        <v>0</v>
      </c>
      <c r="AH23" s="19">
        <f>SUM(May[[#This Row],[Early (08.00 - 14.00) ]]/60)</f>
        <v>0</v>
      </c>
      <c r="AI23" s="15">
        <f>SUM(E23,H23,K23,N23,Q23,T23,W23,Z23,AC23)+(May[[#This Row],[Baseline Assessment Score]]*60/3)</f>
        <v>0</v>
      </c>
      <c r="AJ23" s="19">
        <f>SUM(May[[#This Row],[Late (14.00 - 20.00) ]]/60)</f>
        <v>0</v>
      </c>
      <c r="AK23" s="15">
        <f>SUM(F23,I23,L23,O23,R23,U23,X23,AA23,AD23)+(May[[#This Row],[Baseline Assessment Score]]*60/3)</f>
        <v>0</v>
      </c>
      <c r="AL23" s="88">
        <f>SUM(May[[#This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SUM(May[[#This Row],[Early]:[Night        ]])+(May[[#This Row],[Baseline Assessment Score]]*60)</f>
        <v>0</v>
      </c>
      <c r="AF24" s="19">
        <f>May[[#This Row],[Total Mins over 24 hr]]/60</f>
        <v>0</v>
      </c>
      <c r="AG24" s="15">
        <f>SUM(D24,G24,J24,M24,P24,S24,V24,Y24,AB24)+(May[[#This Row],[Baseline Assessment Score]]*60/3)</f>
        <v>0</v>
      </c>
      <c r="AH24" s="19">
        <f>SUM(May[[#This Row],[Early (08.00 - 14.00) ]]/60)</f>
        <v>0</v>
      </c>
      <c r="AI24" s="15">
        <f>SUM(E24,H24,K24,N24,Q24,T24,W24,Z24,AC24)+(May[[#This Row],[Baseline Assessment Score]]*60/3)</f>
        <v>0</v>
      </c>
      <c r="AJ24" s="19">
        <f>SUM(May[[#This Row],[Late (14.00 - 20.00) ]]/60)</f>
        <v>0</v>
      </c>
      <c r="AK24" s="15">
        <f>SUM(F24,I24,L24,O24,R24,U24,X24,AA24,AD24)+(May[[#This Row],[Baseline Assessment Score]]*60/3)</f>
        <v>0</v>
      </c>
      <c r="AL24" s="88">
        <f>SUM(May[[#This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SUM(May[[#This Row],[Early]:[Night        ]])+(May[[#This Row],[Baseline Assessment Score]]*60)</f>
        <v>0</v>
      </c>
      <c r="AF25" s="19">
        <f>May[[#This Row],[Total Mins over 24 hr]]/60</f>
        <v>0</v>
      </c>
      <c r="AG25" s="15">
        <f>SUM(D25,G25,J25,M25,P25,S25,V25,Y25,AB25)+(May[[#This Row],[Baseline Assessment Score]]*60/3)</f>
        <v>0</v>
      </c>
      <c r="AH25" s="19">
        <f>SUM(May[[#This Row],[Early (08.00 - 14.00) ]]/60)</f>
        <v>0</v>
      </c>
      <c r="AI25" s="15">
        <f>SUM(E25,H25,K25,N25,Q25,T25,W25,Z25,AC25)+(May[[#This Row],[Baseline Assessment Score]]*60/3)</f>
        <v>0</v>
      </c>
      <c r="AJ25" s="19">
        <f>SUM(May[[#This Row],[Late (14.00 - 20.00) ]]/60)</f>
        <v>0</v>
      </c>
      <c r="AK25" s="15">
        <f>SUM(F25,I25,L25,O25,R25,U25,X25,AA25,AD25)+(May[[#This Row],[Baseline Assessment Score]]*60/3)</f>
        <v>0</v>
      </c>
      <c r="AL25" s="88">
        <f>SUM(May[[#This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SUM(May[[#This Row],[Early]:[Night        ]])+(May[[#This Row],[Baseline Assessment Score]]*60)</f>
        <v>0</v>
      </c>
      <c r="AF26" s="19">
        <f>May[[#This Row],[Total Mins over 24 hr]]/60</f>
        <v>0</v>
      </c>
      <c r="AG26" s="15">
        <f>SUM(D26,G26,J26,M26,P26,S26,V26,Y26,AB26)+(May[[#This Row],[Baseline Assessment Score]]*60/3)</f>
        <v>0</v>
      </c>
      <c r="AH26" s="19">
        <f>SUM(May[[#This Row],[Early (08.00 - 14.00) ]]/60)</f>
        <v>0</v>
      </c>
      <c r="AI26" s="15">
        <f>SUM(E26,H26,K26,N26,Q26,T26,W26,Z26,AC26)+(May[[#This Row],[Baseline Assessment Score]]*60/3)</f>
        <v>0</v>
      </c>
      <c r="AJ26" s="19">
        <f>SUM(May[[#This Row],[Late (14.00 - 20.00) ]]/60)</f>
        <v>0</v>
      </c>
      <c r="AK26" s="15">
        <f>SUM(F26,I26,L26,O26,R26,U26,X26,AA26,AD26)+(May[[#This Row],[Baseline Assessment Score]]*60/3)</f>
        <v>0</v>
      </c>
      <c r="AL26" s="88">
        <f>SUM(May[[#This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SUM(May[[#This Row],[Early]:[Night        ]])+(May[[#This Row],[Baseline Assessment Score]]*60)</f>
        <v>0</v>
      </c>
      <c r="AF27" s="19">
        <f>May[[#This Row],[Total Mins over 24 hr]]/60</f>
        <v>0</v>
      </c>
      <c r="AG27" s="15">
        <f>SUM(D27,G27,J27,M27,P27,S27,V27,Y27,AB27)+(May[[#This Row],[Baseline Assessment Score]]*60/3)</f>
        <v>0</v>
      </c>
      <c r="AH27" s="19">
        <f>SUM(May[[#This Row],[Early (08.00 - 14.00) ]]/60)</f>
        <v>0</v>
      </c>
      <c r="AI27" s="15">
        <f>SUM(E27,H27,K27,N27,Q27,T27,W27,Z27,AC27)+(May[[#This Row],[Baseline Assessment Score]]*60/3)</f>
        <v>0</v>
      </c>
      <c r="AJ27" s="19">
        <f>SUM(May[[#This Row],[Late (14.00 - 20.00) ]]/60)</f>
        <v>0</v>
      </c>
      <c r="AK27" s="15">
        <f>SUM(F27,I27,L27,O27,R27,U27,X27,AA27,AD27)+(May[[#This Row],[Baseline Assessment Score]]*60/3)</f>
        <v>0</v>
      </c>
      <c r="AL27" s="88">
        <f>SUM(May[[#This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SUM(May[[#This Row],[Early]:[Night        ]])+(May[[#This Row],[Baseline Assessment Score]]*60)</f>
        <v>0</v>
      </c>
      <c r="AF28" s="19">
        <f>May[[#This Row],[Total Mins over 24 hr]]/60</f>
        <v>0</v>
      </c>
      <c r="AG28" s="15">
        <f>SUM(D28,G28,J28,M28,P28,S28,V28,Y28,AB28)+(May[[#This Row],[Baseline Assessment Score]]*60/3)</f>
        <v>0</v>
      </c>
      <c r="AH28" s="19">
        <f>SUM(May[[#This Row],[Early (08.00 - 14.00) ]]/60)</f>
        <v>0</v>
      </c>
      <c r="AI28" s="15">
        <f>SUM(E28,H28,K28,N28,Q28,T28,W28,Z28,AC28)+(May[[#This Row],[Baseline Assessment Score]]*60/3)</f>
        <v>0</v>
      </c>
      <c r="AJ28" s="19">
        <f>SUM(May[[#This Row],[Late (14.00 - 20.00) ]]/60)</f>
        <v>0</v>
      </c>
      <c r="AK28" s="15">
        <f>SUM(F28,I28,L28,O28,R28,U28,X28,AA28,AD28)+(May[[#This Row],[Baseline Assessment Score]]*60/3)</f>
        <v>0</v>
      </c>
      <c r="AL28" s="88">
        <f>SUM(May[[#This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SUM(May[[#This Row],[Early]:[Night        ]])+(May[[#This Row],[Baseline Assessment Score]]*60)</f>
        <v>0</v>
      </c>
      <c r="AF29" s="19">
        <f>May[[#This Row],[Total Mins over 24 hr]]/60</f>
        <v>0</v>
      </c>
      <c r="AG29" s="15">
        <f>SUM(D29,G29,J29,M29,P29,S29,V29,Y29,AB29)+(May[[#This Row],[Baseline Assessment Score]]*60/3)</f>
        <v>0</v>
      </c>
      <c r="AH29" s="19">
        <f>SUM(May[[#This Row],[Early (08.00 - 14.00) ]]/60)</f>
        <v>0</v>
      </c>
      <c r="AI29" s="15">
        <f>SUM(E29,H29,K29,N29,Q29,T29,W29,Z29,AC29)+(May[[#This Row],[Baseline Assessment Score]]*60/3)</f>
        <v>0</v>
      </c>
      <c r="AJ29" s="19">
        <f>SUM(May[[#This Row],[Late (14.00 - 20.00) ]]/60)</f>
        <v>0</v>
      </c>
      <c r="AK29" s="15">
        <f>SUM(F29,I29,L29,O29,R29,U29,X29,AA29,AD29)+(May[[#This Row],[Baseline Assessment Score]]*60/3)</f>
        <v>0</v>
      </c>
      <c r="AL29" s="88">
        <f>SUM(May[[#This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SUM(May[[#This Row],[Early]:[Night        ]])+(May[[#This Row],[Baseline Assessment Score]]*60)</f>
        <v>0</v>
      </c>
      <c r="AF30" s="19">
        <f>May[[#This Row],[Total Mins over 24 hr]]/60</f>
        <v>0</v>
      </c>
      <c r="AG30" s="15">
        <f>SUM(D30,G30,J30,M30,P30,S30,V30,Y30,AB30)+(May[[#This Row],[Baseline Assessment Score]]*60/3)</f>
        <v>0</v>
      </c>
      <c r="AH30" s="19">
        <f>SUM(May[[#This Row],[Early (08.00 - 14.00) ]]/60)</f>
        <v>0</v>
      </c>
      <c r="AI30" s="15">
        <f>SUM(E30,H30,K30,N30,Q30,T30,W30,Z30,AC30)+(May[[#This Row],[Baseline Assessment Score]]*60/3)</f>
        <v>0</v>
      </c>
      <c r="AJ30" s="19">
        <f>SUM(May[[#This Row],[Late (14.00 - 20.00) ]]/60)</f>
        <v>0</v>
      </c>
      <c r="AK30" s="15">
        <f>SUM(F30,I30,L30,O30,R30,U30,X30,AA30,AD30)+(May[[#This Row],[Baseline Assessment Score]]*60/3)</f>
        <v>0</v>
      </c>
      <c r="AL30" s="88">
        <f>SUM(May[[#This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SUM(May[[#This Row],[Early]:[Night        ]])+(May[[#This Row],[Baseline Assessment Score]]*60)</f>
        <v>0</v>
      </c>
      <c r="AF31" s="19">
        <f>May[[#This Row],[Total Mins over 24 hr]]/60</f>
        <v>0</v>
      </c>
      <c r="AG31" s="15">
        <f>SUM(D31,G31,J31,M31,P31,S31,V31,Y31,AB31)+(May[[#This Row],[Baseline Assessment Score]]*60/3)</f>
        <v>0</v>
      </c>
      <c r="AH31" s="19">
        <f>SUM(May[[#This Row],[Early (08.00 - 14.00) ]]/60)</f>
        <v>0</v>
      </c>
      <c r="AI31" s="15">
        <f>SUM(E31,H31,K31,N31,Q31,T31,W31,Z31,AC31)+(May[[#This Row],[Baseline Assessment Score]]*60/3)</f>
        <v>0</v>
      </c>
      <c r="AJ31" s="19">
        <f>SUM(May[[#This Row],[Late (14.00 - 20.00) ]]/60)</f>
        <v>0</v>
      </c>
      <c r="AK31" s="15">
        <f>SUM(F31,I31,L31,O31,R31,U31,X31,AA31,AD31)+(May[[#This Row],[Baseline Assessment Score]]*60/3)</f>
        <v>0</v>
      </c>
      <c r="AL31" s="88">
        <f>SUM(May[[#This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SUM(May[[#This Row],[Early]:[Night        ]])+(May[[#This Row],[Baseline Assessment Score]]*60)</f>
        <v>0</v>
      </c>
      <c r="AF32" s="19">
        <f>May[[#This Row],[Total Mins over 24 hr]]/60</f>
        <v>0</v>
      </c>
      <c r="AG32" s="15">
        <f>SUM(D32,G32,J32,M32,P32,S32,V32,Y32,AB32)+(May[[#This Row],[Baseline Assessment Score]]*60/3)</f>
        <v>0</v>
      </c>
      <c r="AH32" s="19">
        <f>SUM(May[[#This Row],[Early (08.00 - 14.00) ]]/60)</f>
        <v>0</v>
      </c>
      <c r="AI32" s="15">
        <f>SUM(E32,H32,K32,N32,Q32,T32,W32,Z32,AC32)+(May[[#This Row],[Baseline Assessment Score]]*60/3)</f>
        <v>0</v>
      </c>
      <c r="AJ32" s="19">
        <f>SUM(May[[#This Row],[Late (14.00 - 20.00) ]]/60)</f>
        <v>0</v>
      </c>
      <c r="AK32" s="15">
        <f>SUM(F32,I32,L32,O32,R32,U32,X32,AA32,AD32)+(May[[#This Row],[Baseline Assessment Score]]*60/3)</f>
        <v>0</v>
      </c>
      <c r="AL32" s="88">
        <f>SUM(May[[#This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SUM(May[[#This Row],[Early]:[Night        ]])+(May[[#This Row],[Baseline Assessment Score]]*60)</f>
        <v>0</v>
      </c>
      <c r="AF33" s="19">
        <f>May[[#This Row],[Total Mins over 24 hr]]/60</f>
        <v>0</v>
      </c>
      <c r="AG33" s="15">
        <f>SUM(D33,G33,J33,M33,P33,S33,V33,Y33,AB33)+(May[[#This Row],[Baseline Assessment Score]]*60/3)</f>
        <v>0</v>
      </c>
      <c r="AH33" s="19">
        <f>SUM(May[[#This Row],[Early (08.00 - 14.00) ]]/60)</f>
        <v>0</v>
      </c>
      <c r="AI33" s="15">
        <f>SUM(E33,H33,K33,N33,Q33,T33,W33,Z33,AC33)+(May[[#This Row],[Baseline Assessment Score]]*60/3)</f>
        <v>0</v>
      </c>
      <c r="AJ33" s="19">
        <f>SUM(May[[#This Row],[Late (14.00 - 20.00) ]]/60)</f>
        <v>0</v>
      </c>
      <c r="AK33" s="15">
        <f>SUM(F33,I33,L33,O33,R33,U33,X33,AA33,AD33)+(May[[#This Row],[Baseline Assessment Score]]*60/3)</f>
        <v>0</v>
      </c>
      <c r="AL33" s="88">
        <f>SUM(May[[#This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SUM(May[[#This Row],[Early]:[Night        ]])+(May[[#This Row],[Baseline Assessment Score]]*60)</f>
        <v>0</v>
      </c>
      <c r="AF34" s="19">
        <f>May[[#This Row],[Total Mins over 24 hr]]/60</f>
        <v>0</v>
      </c>
      <c r="AG34" s="15">
        <f>SUM(D34,G34,J34,M34,P34,S34,V34,Y34,AB34)+(May[[#This Row],[Baseline Assessment Score]]*60/3)</f>
        <v>0</v>
      </c>
      <c r="AH34" s="19">
        <f>SUM(May[[#This Row],[Early (08.00 - 14.00) ]]/60)</f>
        <v>0</v>
      </c>
      <c r="AI34" s="15">
        <f>SUM(E34,H34,K34,N34,Q34,T34,W34,Z34,AC34)+(May[[#This Row],[Baseline Assessment Score]]*60/3)</f>
        <v>0</v>
      </c>
      <c r="AJ34" s="19">
        <f>SUM(May[[#This Row],[Late (14.00 - 20.00) ]]/60)</f>
        <v>0</v>
      </c>
      <c r="AK34" s="15">
        <f>SUM(F34,I34,L34,O34,R34,U34,X34,AA34,AD34)+(May[[#This Row],[Baseline Assessment Score]]*60/3)</f>
        <v>0</v>
      </c>
      <c r="AL34" s="88">
        <f>SUM(May[[#This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SUM(May[[#This Row],[Early]:[Night        ]])+(May[[#This Row],[Baseline Assessment Score]]*60)</f>
        <v>0</v>
      </c>
      <c r="AF35" s="19">
        <f>May[[#This Row],[Total Mins over 24 hr]]/60</f>
        <v>0</v>
      </c>
      <c r="AG35" s="15">
        <f>SUM(D35,G35,J35,M35,P35,S35,V35,Y35,AB35)+(May[[#This Row],[Baseline Assessment Score]]*60/3)</f>
        <v>0</v>
      </c>
      <c r="AH35" s="19">
        <f>SUM(May[[#This Row],[Early (08.00 - 14.00) ]]/60)</f>
        <v>0</v>
      </c>
      <c r="AI35" s="15">
        <f>SUM(E35,H35,K35,N35,Q35,T35,W35,Z35,AC35)+(May[[#This Row],[Baseline Assessment Score]]*60/3)</f>
        <v>0</v>
      </c>
      <c r="AJ35" s="19">
        <f>SUM(May[[#This Row],[Late (14.00 - 20.00) ]]/60)</f>
        <v>0</v>
      </c>
      <c r="AK35" s="15">
        <f>SUM(F35,I35,L35,O35,R35,U35,X35,AA35,AD35)+(May[[#This Row],[Baseline Assessment Score]]*60/3)</f>
        <v>0</v>
      </c>
      <c r="AL35" s="88">
        <f>SUM(May[[#This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SUM(May[[#This Row],[Early]:[Night        ]])+(May[[#This Row],[Baseline Assessment Score]]*60)</f>
        <v>0</v>
      </c>
      <c r="AF36" s="20">
        <f>May[[#This Row],[Total Mins over 24 hr]]/60</f>
        <v>0</v>
      </c>
      <c r="AG36" s="18">
        <f>SUM(D36,G36,J36,M36,P36,S36,V36,Y36,AB36)+(May[[#This Row],[Baseline Assessment Score]]*60/3)</f>
        <v>0</v>
      </c>
      <c r="AH36" s="20">
        <f>SUM(May[[#This Row],[Early (08.00 - 14.00) ]]/60)</f>
        <v>0</v>
      </c>
      <c r="AI36" s="18">
        <f>SUM(E36,H36,K36,N36,Q36,T36,W36,Z36,AC36)+(May[[#This Row],[Baseline Assessment Score]]*60/3)</f>
        <v>0</v>
      </c>
      <c r="AJ36" s="20">
        <f>SUM(May[[#This Row],[Late (14.00 - 20.00) ]]/60)</f>
        <v>0</v>
      </c>
      <c r="AK36" s="18">
        <f>SUM(F36,I36,L36,O36,R36,U36,X36,AA36,AD36)+(May[[#This Row],[Baseline Assessment Score]]*60/3)</f>
        <v>0</v>
      </c>
      <c r="AL36" s="91">
        <f>SUM(May[[#This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319" t="s">
        <v>51</v>
      </c>
      <c r="W37" s="320"/>
      <c r="X37" s="320"/>
      <c r="Y37" s="320"/>
      <c r="Z37" s="320"/>
      <c r="AA37" s="320"/>
      <c r="AB37" s="320"/>
      <c r="AC37" s="320"/>
      <c r="AD37" s="320"/>
      <c r="AE37" s="324">
        <f>SUM(May[Actual contact time (hours)])</f>
        <v>0</v>
      </c>
      <c r="AF37" s="324"/>
      <c r="AG37" s="324">
        <f>SUM(May[Contact time per shift])</f>
        <v>0</v>
      </c>
      <c r="AH37" s="325"/>
      <c r="AI37" s="324">
        <f>SUM(May[[Contact time per shift ]])</f>
        <v>0</v>
      </c>
      <c r="AJ37" s="325"/>
      <c r="AK37" s="324">
        <f>SUM(May[[Contact time per shift  ]])</f>
        <v>0</v>
      </c>
      <c r="AL37" s="326"/>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COUNTIF(May[Adults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59" priority="2" operator="greaterThan">
      <formula>$AL$7</formula>
    </cfRule>
    <cfRule type="cellIs" dxfId="58" priority="3" operator="between">
      <formula>$AJ$7</formula>
      <formula>$AL$7</formula>
    </cfRule>
    <cfRule type="cellIs" dxfId="57" priority="4" operator="between">
      <formula>$AJ$6</formula>
      <formula>$AL$6</formula>
    </cfRule>
    <cfRule type="cellIs" dxfId="56" priority="5" operator="between">
      <formula>$AJ$5</formula>
      <formula>$AL$5</formula>
    </cfRule>
  </conditionalFormatting>
  <dataValidations count="1">
    <dataValidation type="list" allowBlank="1" showInputMessage="1" showErrorMessage="1" sqref="C13:C36" xr:uid="{E1EE263C-C0C3-47EF-A345-358C7071B85A}">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8F05B19B-FABF-49D2-9B66-BA763267E0F8}">
            <xm:f>NOT(ISERROR(SEARCH($R$8,C13)))</xm:f>
            <xm:f>$R$8</xm:f>
            <x14:dxf>
              <fill>
                <patternFill>
                  <bgColor rgb="FFFF9999"/>
                </patternFill>
              </fill>
            </x14:dxf>
          </x14:cfRule>
          <x14:cfRule type="containsText" priority="7" operator="containsText" id="{4C1CA1D2-99F0-4E9F-AE64-63E085EB634D}">
            <xm:f>NOT(ISERROR(SEARCH($R$7,C13)))</xm:f>
            <xm:f>$R$7</xm:f>
            <x14:dxf>
              <fill>
                <patternFill>
                  <bgColor theme="5" tint="0.59996337778862885"/>
                </patternFill>
              </fill>
            </x14:dxf>
          </x14:cfRule>
          <x14:cfRule type="containsText" priority="8" operator="containsText" id="{3C446C05-7371-4299-B817-8CC2ACCDF9FC}">
            <xm:f>NOT(ISERROR(SEARCH($R$6,C13)))</xm:f>
            <xm:f>$R$6</xm:f>
            <x14:dxf>
              <fill>
                <patternFill>
                  <bgColor theme="9" tint="0.59996337778862885"/>
                </patternFill>
              </fill>
            </x14:dxf>
          </x14:cfRule>
          <x14:cfRule type="containsText" priority="9" operator="containsText" id="{1B380A92-2F4A-4958-B87F-238BF4491A5D}">
            <xm:f>NOT(ISERROR(SEARCH($R$5,C13)))</xm:f>
            <xm:f>$R$5</xm:f>
            <x14:dxf>
              <fill>
                <patternFill>
                  <bgColor theme="8" tint="0.79998168889431442"/>
                </patternFill>
              </fill>
            </x14:dxf>
          </x14:cfRule>
          <xm:sqref>C13:C36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8DC5-8FED-4FEC-8C03-3E18512676BF}">
  <sheetPr>
    <tabColor rgb="FFFFB7B7"/>
  </sheetPr>
  <dimension ref="B2:AL58"/>
  <sheetViews>
    <sheetView zoomScale="80" zoomScaleNormal="80" workbookViewId="0">
      <selection activeCell="AE15" sqref="AE15"/>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128" t="s">
        <v>1</v>
      </c>
      <c r="C5" s="255"/>
      <c r="D5" s="256"/>
      <c r="E5" s="256"/>
      <c r="F5" s="256"/>
      <c r="G5" s="256"/>
      <c r="H5" s="256"/>
      <c r="I5" s="257"/>
      <c r="R5" s="46">
        <v>1</v>
      </c>
      <c r="S5" s="271" t="s">
        <v>116</v>
      </c>
      <c r="T5" s="272"/>
      <c r="U5" s="273"/>
      <c r="V5" s="46">
        <f>COUNTIF(Jun[Baseline Assessment Score],1)</f>
        <v>0</v>
      </c>
      <c r="AE5" s="250" t="s">
        <v>119</v>
      </c>
      <c r="AF5" s="251"/>
      <c r="AG5" s="252"/>
      <c r="AH5" s="253" t="s">
        <v>66</v>
      </c>
      <c r="AI5" s="254"/>
      <c r="AJ5" s="51">
        <v>0</v>
      </c>
      <c r="AK5" s="11" t="s">
        <v>120</v>
      </c>
      <c r="AL5" s="52">
        <v>5</v>
      </c>
    </row>
    <row r="6" spans="2:38" ht="15.75" thickBot="1" x14ac:dyDescent="0.25">
      <c r="B6" s="129" t="s">
        <v>2</v>
      </c>
      <c r="C6" s="258" t="s">
        <v>128</v>
      </c>
      <c r="D6" s="259"/>
      <c r="E6" s="260"/>
      <c r="F6" s="130" t="s">
        <v>0</v>
      </c>
      <c r="G6" s="246"/>
      <c r="H6" s="247"/>
      <c r="I6" s="248"/>
      <c r="R6" s="47">
        <v>2</v>
      </c>
      <c r="S6" s="268" t="s">
        <v>66</v>
      </c>
      <c r="T6" s="269"/>
      <c r="U6" s="270"/>
      <c r="V6" s="47">
        <f>COUNTIF(Jun[Baseline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COUNTIF(Jun[Baseline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COUNTIF(Jun[Baseline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335" t="s">
        <v>40</v>
      </c>
      <c r="E11" s="336"/>
      <c r="F11" s="337"/>
      <c r="G11" s="327" t="s">
        <v>41</v>
      </c>
      <c r="H11" s="328"/>
      <c r="I11" s="329"/>
      <c r="J11" s="330" t="s">
        <v>42</v>
      </c>
      <c r="K11" s="331"/>
      <c r="L11" s="332"/>
      <c r="M11" s="327" t="s">
        <v>47</v>
      </c>
      <c r="N11" s="328"/>
      <c r="O11" s="329"/>
      <c r="P11" s="330" t="s">
        <v>43</v>
      </c>
      <c r="Q11" s="331"/>
      <c r="R11" s="332"/>
      <c r="S11" s="327" t="s">
        <v>44</v>
      </c>
      <c r="T11" s="328"/>
      <c r="U11" s="329"/>
      <c r="V11" s="330" t="s">
        <v>95</v>
      </c>
      <c r="W11" s="331"/>
      <c r="X11" s="332"/>
      <c r="Y11" s="327" t="s">
        <v>45</v>
      </c>
      <c r="Z11" s="328"/>
      <c r="AA11" s="329"/>
      <c r="AB11" s="330" t="s">
        <v>46</v>
      </c>
      <c r="AC11" s="331"/>
      <c r="AD11" s="332"/>
    </row>
    <row r="12" spans="2:38" ht="55.5" thickBot="1" x14ac:dyDescent="0.25">
      <c r="B12" s="135" t="s">
        <v>3</v>
      </c>
      <c r="C12" s="136" t="s">
        <v>39</v>
      </c>
      <c r="D12" s="131" t="s">
        <v>4</v>
      </c>
      <c r="E12" s="132" t="s">
        <v>5</v>
      </c>
      <c r="F12" s="133" t="s">
        <v>6</v>
      </c>
      <c r="G12" s="137" t="s">
        <v>13</v>
      </c>
      <c r="H12" s="137" t="s">
        <v>14</v>
      </c>
      <c r="I12" s="138" t="s">
        <v>15</v>
      </c>
      <c r="J12" s="132" t="s">
        <v>16</v>
      </c>
      <c r="K12" s="132" t="s">
        <v>17</v>
      </c>
      <c r="L12" s="133" t="s">
        <v>18</v>
      </c>
      <c r="M12" s="137" t="s">
        <v>19</v>
      </c>
      <c r="N12" s="137" t="s">
        <v>20</v>
      </c>
      <c r="O12" s="138" t="s">
        <v>21</v>
      </c>
      <c r="P12" s="132" t="s">
        <v>22</v>
      </c>
      <c r="Q12" s="132" t="s">
        <v>23</v>
      </c>
      <c r="R12" s="133" t="s">
        <v>24</v>
      </c>
      <c r="S12" s="137" t="s">
        <v>25</v>
      </c>
      <c r="T12" s="137" t="s">
        <v>26</v>
      </c>
      <c r="U12" s="138" t="s">
        <v>27</v>
      </c>
      <c r="V12" s="132" t="s">
        <v>28</v>
      </c>
      <c r="W12" s="132" t="s">
        <v>29</v>
      </c>
      <c r="X12" s="133" t="s">
        <v>30</v>
      </c>
      <c r="Y12" s="137" t="s">
        <v>32</v>
      </c>
      <c r="Z12" s="137" t="s">
        <v>33</v>
      </c>
      <c r="AA12" s="138" t="s">
        <v>34</v>
      </c>
      <c r="AB12" s="132" t="s">
        <v>31</v>
      </c>
      <c r="AC12" s="132" t="s">
        <v>35</v>
      </c>
      <c r="AD12" s="133" t="s">
        <v>36</v>
      </c>
      <c r="AE12" s="134" t="s">
        <v>7</v>
      </c>
      <c r="AF12" s="133" t="s">
        <v>8</v>
      </c>
      <c r="AG12" s="139" t="s">
        <v>9</v>
      </c>
      <c r="AH12" s="138" t="s">
        <v>12</v>
      </c>
      <c r="AI12" s="134" t="s">
        <v>11</v>
      </c>
      <c r="AJ12" s="133" t="s">
        <v>10</v>
      </c>
      <c r="AK12" s="139" t="s">
        <v>37</v>
      </c>
      <c r="AL12" s="140"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SUM(Jun[[#This Row],[Early]:[Night        ]])+(Jun[[#This Row],[Baseline Assessment Score]]*60)</f>
        <v>0</v>
      </c>
      <c r="AF13" s="16">
        <f>Jun[[#This Row],[Total Mins over 24 hr]]/60</f>
        <v>0</v>
      </c>
      <c r="AG13" s="13">
        <f>SUM(D13,G13,J13,M13,P13,S13,V13,Y13,AB13)+(Jun[[#This Row],[Baseline Assessment Score]]*60/3)</f>
        <v>0</v>
      </c>
      <c r="AH13" s="16">
        <f>SUM(Jun[[#This Row],[Early (08.00 - 14.00) ]]/60)</f>
        <v>0</v>
      </c>
      <c r="AI13" s="13">
        <f>SUM(E13,H13,K13,N13,Q13,T13,W13,Z13,AC13)+(Jun[[#This Row],[Baseline Assessment Score]]*60/3)</f>
        <v>0</v>
      </c>
      <c r="AJ13" s="16">
        <f>SUM(Jun[[#This Row],[Late (14.00 - 20.00) ]]/60)</f>
        <v>0</v>
      </c>
      <c r="AK13" s="13">
        <f>SUM(F13,I13,L13,O13,R13,U13,X13,AA13,AD13)+(Jun[[#This Row],[Baseline Assessment Score]]*60/3)</f>
        <v>0</v>
      </c>
      <c r="AL13" s="86">
        <f>SUM(Jun[[#This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SUM(Jun[[#This Row],[Early]:[Night        ]])+(Jun[[#This Row],[Baseline Assessment Score]]*60)</f>
        <v>0</v>
      </c>
      <c r="AF14" s="19">
        <f>Jun[[#This Row],[Total Mins over 24 hr]]/60</f>
        <v>0</v>
      </c>
      <c r="AG14" s="15">
        <f>SUM(D14,G14,J14,M14,P14,S14,V14,Y14,AB14)+(Jun[[#This Row],[Baseline Assessment Score]]*60/3)</f>
        <v>0</v>
      </c>
      <c r="AH14" s="19">
        <f>SUM(Jun[[#This Row],[Early (08.00 - 14.00) ]]/60)</f>
        <v>0</v>
      </c>
      <c r="AI14" s="15">
        <f>SUM(E14,H14,K14,N14,Q14,T14,W14,Z14,AC14)+(Jun[[#This Row],[Baseline Assessment Score]]*60/3)</f>
        <v>0</v>
      </c>
      <c r="AJ14" s="19">
        <f>SUM(Jun[[#This Row],[Late (14.00 - 20.00) ]]/60)</f>
        <v>0</v>
      </c>
      <c r="AK14" s="15">
        <f>SUM(F14,I14,L14,O14,R14,U14,X14,AA14,AD14)+(Jun[[#This Row],[Baseline Assessment Score]]*60/3)</f>
        <v>0</v>
      </c>
      <c r="AL14" s="88">
        <f>SUM(Jun[[#This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SUM(Jun[[#This Row],[Early]:[Night        ]])+(Jun[[#This Row],[Baseline Assessment Score]]*60)</f>
        <v>0</v>
      </c>
      <c r="AF15" s="19">
        <f>Jun[[#This Row],[Total Mins over 24 hr]]/60</f>
        <v>0</v>
      </c>
      <c r="AG15" s="15">
        <f>SUM(D15,G15,J15,M15,P15,S15,V15,Y15,AB15)+(Jun[[#This Row],[Baseline Assessment Score]]*60/3)</f>
        <v>0</v>
      </c>
      <c r="AH15" s="19">
        <f>SUM(Jun[[#This Row],[Early (08.00 - 14.00) ]]/60)</f>
        <v>0</v>
      </c>
      <c r="AI15" s="15">
        <f>SUM(E15,H15,K15,N15,Q15,T15,W15,Z15,AC15)+(Jun[[#This Row],[Baseline Assessment Score]]*60/3)</f>
        <v>0</v>
      </c>
      <c r="AJ15" s="19">
        <f>SUM(Jun[[#This Row],[Late (14.00 - 20.00) ]]/60)</f>
        <v>0</v>
      </c>
      <c r="AK15" s="15">
        <f>SUM(F15,I15,L15,O15,R15,U15,X15,AA15,AD15)+(Jun[[#This Row],[Baseline Assessment Score]]*60/3)</f>
        <v>0</v>
      </c>
      <c r="AL15" s="88">
        <f>SUM(Jun[[#This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SUM(Jun[[#This Row],[Early]:[Night        ]])+(Jun[[#This Row],[Baseline Assessment Score]]*60)</f>
        <v>0</v>
      </c>
      <c r="AF16" s="19">
        <f>Jun[[#This Row],[Total Mins over 24 hr]]/60</f>
        <v>0</v>
      </c>
      <c r="AG16" s="15">
        <f>SUM(D16,G16,J16,M16,P16,S16,V16,Y16,AB16)+(Jun[[#This Row],[Baseline Assessment Score]]*60/3)</f>
        <v>0</v>
      </c>
      <c r="AH16" s="19">
        <f>SUM(Jun[[#This Row],[Early (08.00 - 14.00) ]]/60)</f>
        <v>0</v>
      </c>
      <c r="AI16" s="15">
        <f>SUM(E16,H16,K16,N16,Q16,T16,W16,Z16,AC16)+(Jun[[#This Row],[Baseline Assessment Score]]*60/3)</f>
        <v>0</v>
      </c>
      <c r="AJ16" s="19">
        <f>SUM(Jun[[#This Row],[Late (14.00 - 20.00) ]]/60)</f>
        <v>0</v>
      </c>
      <c r="AK16" s="15">
        <f>SUM(F16,I16,L16,O16,R16,U16,X16,AA16,AD16)+(Jun[[#This Row],[Baseline Assessment Score]]*60/3)</f>
        <v>0</v>
      </c>
      <c r="AL16" s="88">
        <f>SUM(Jun[[#This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SUM(Jun[[#This Row],[Early]:[Night        ]])+(Jun[[#This Row],[Baseline Assessment Score]]*60)</f>
        <v>0</v>
      </c>
      <c r="AF17" s="19">
        <f>Jun[[#This Row],[Total Mins over 24 hr]]/60</f>
        <v>0</v>
      </c>
      <c r="AG17" s="15">
        <f>SUM(D17,G17,J17,M17,P17,S17,V17,Y17,AB17)+(Jun[[#This Row],[Baseline Assessment Score]]*60/3)</f>
        <v>0</v>
      </c>
      <c r="AH17" s="19">
        <f>SUM(Jun[[#This Row],[Early (08.00 - 14.00) ]]/60)</f>
        <v>0</v>
      </c>
      <c r="AI17" s="15">
        <f>SUM(E17,H17,K17,N17,Q17,T17,W17,Z17,AC17)+(Jun[[#This Row],[Baseline Assessment Score]]*60/3)</f>
        <v>0</v>
      </c>
      <c r="AJ17" s="19">
        <f>SUM(Jun[[#This Row],[Late (14.00 - 20.00) ]]/60)</f>
        <v>0</v>
      </c>
      <c r="AK17" s="15">
        <f>SUM(F17,I17,L17,O17,R17,U17,X17,AA17,AD17)+(Jun[[#This Row],[Baseline Assessment Score]]*60/3)</f>
        <v>0</v>
      </c>
      <c r="AL17" s="88">
        <f>SUM(Jun[[#This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SUM(Jun[[#This Row],[Early]:[Night        ]])+(Jun[[#This Row],[Baseline Assessment Score]]*60)</f>
        <v>0</v>
      </c>
      <c r="AF18" s="19">
        <f>Jun[[#This Row],[Total Mins over 24 hr]]/60</f>
        <v>0</v>
      </c>
      <c r="AG18" s="15">
        <f>SUM(D18,G18,J18,M18,P18,S18,V18,Y18,AB18)+(Jun[[#This Row],[Baseline Assessment Score]]*60/3)</f>
        <v>0</v>
      </c>
      <c r="AH18" s="19">
        <f>SUM(Jun[[#This Row],[Early (08.00 - 14.00) ]]/60)</f>
        <v>0</v>
      </c>
      <c r="AI18" s="15">
        <f>SUM(E18,H18,K18,N18,Q18,T18,W18,Z18,AC18)+(Jun[[#This Row],[Baseline Assessment Score]]*60/3)</f>
        <v>0</v>
      </c>
      <c r="AJ18" s="19">
        <f>SUM(Jun[[#This Row],[Late (14.00 - 20.00) ]]/60)</f>
        <v>0</v>
      </c>
      <c r="AK18" s="15">
        <f>SUM(F18,I18,L18,O18,R18,U18,X18,AA18,AD18)+(Jun[[#This Row],[Baseline Assessment Score]]*60/3)</f>
        <v>0</v>
      </c>
      <c r="AL18" s="88">
        <f>SUM(Jun[[#This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SUM(Jun[[#This Row],[Early]:[Night        ]])+(Jun[[#This Row],[Baseline Assessment Score]]*60)</f>
        <v>0</v>
      </c>
      <c r="AF19" s="19">
        <f>Jun[[#This Row],[Total Mins over 24 hr]]/60</f>
        <v>0</v>
      </c>
      <c r="AG19" s="15">
        <f>SUM(D19,G19,J19,M19,P19,S19,V19,Y19,AB19)+(Jun[[#This Row],[Baseline Assessment Score]]*60/3)</f>
        <v>0</v>
      </c>
      <c r="AH19" s="19">
        <f>SUM(Jun[[#This Row],[Early (08.00 - 14.00) ]]/60)</f>
        <v>0</v>
      </c>
      <c r="AI19" s="15">
        <f>SUM(E19,H19,K19,N19,Q19,T19,W19,Z19,AC19)+(Jun[[#This Row],[Baseline Assessment Score]]*60/3)</f>
        <v>0</v>
      </c>
      <c r="AJ19" s="19">
        <f>SUM(Jun[[#This Row],[Late (14.00 - 20.00) ]]/60)</f>
        <v>0</v>
      </c>
      <c r="AK19" s="15">
        <f>SUM(F19,I19,L19,O19,R19,U19,X19,AA19,AD19)+(Jun[[#This Row],[Baseline Assessment Score]]*60/3)</f>
        <v>0</v>
      </c>
      <c r="AL19" s="88">
        <f>SUM(Jun[[#This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SUM(Jun[[#This Row],[Early]:[Night        ]])+(Jun[[#This Row],[Baseline Assessment Score]]*60)</f>
        <v>0</v>
      </c>
      <c r="AF20" s="19">
        <f>Jun[[#This Row],[Total Mins over 24 hr]]/60</f>
        <v>0</v>
      </c>
      <c r="AG20" s="15">
        <f>SUM(D20,G20,J20,M20,P20,S20,V20,Y20,AB20)+(Jun[[#This Row],[Baseline Assessment Score]]*60/3)</f>
        <v>0</v>
      </c>
      <c r="AH20" s="19">
        <f>SUM(Jun[[#This Row],[Early (08.00 - 14.00) ]]/60)</f>
        <v>0</v>
      </c>
      <c r="AI20" s="15">
        <f>SUM(E20,H20,K20,N20,Q20,T20,W20,Z20,AC20)+(Jun[[#This Row],[Baseline Assessment Score]]*60/3)</f>
        <v>0</v>
      </c>
      <c r="AJ20" s="19">
        <f>SUM(Jun[[#This Row],[Late (14.00 - 20.00) ]]/60)</f>
        <v>0</v>
      </c>
      <c r="AK20" s="15">
        <f>SUM(F20,I20,L20,O20,R20,U20,X20,AA20,AD20)+(Jun[[#This Row],[Baseline Assessment Score]]*60/3)</f>
        <v>0</v>
      </c>
      <c r="AL20" s="88">
        <f>SUM(Jun[[#This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SUM(Jun[[#This Row],[Early]:[Night        ]])+(Jun[[#This Row],[Baseline Assessment Score]]*60)</f>
        <v>0</v>
      </c>
      <c r="AF21" s="19">
        <f>Jun[[#This Row],[Total Mins over 24 hr]]/60</f>
        <v>0</v>
      </c>
      <c r="AG21" s="15">
        <f>SUM(D21,G21,J21,M21,P21,S21,V21,Y21,AB21)+(Jun[[#This Row],[Baseline Assessment Score]]*60/3)</f>
        <v>0</v>
      </c>
      <c r="AH21" s="19">
        <f>SUM(Jun[[#This Row],[Early (08.00 - 14.00) ]]/60)</f>
        <v>0</v>
      </c>
      <c r="AI21" s="15">
        <f>SUM(E21,H21,K21,N21,Q21,T21,W21,Z21,AC21)+(Jun[[#This Row],[Baseline Assessment Score]]*60/3)</f>
        <v>0</v>
      </c>
      <c r="AJ21" s="19">
        <f>SUM(Jun[[#This Row],[Late (14.00 - 20.00) ]]/60)</f>
        <v>0</v>
      </c>
      <c r="AK21" s="15">
        <f>SUM(F21,I21,L21,O21,R21,U21,X21,AA21,AD21)+(Jun[[#This Row],[Baseline Assessment Score]]*60/3)</f>
        <v>0</v>
      </c>
      <c r="AL21" s="88">
        <f>SUM(Jun[[#This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SUM(Jun[[#This Row],[Early]:[Night        ]])+(Jun[[#This Row],[Baseline Assessment Score]]*60)</f>
        <v>0</v>
      </c>
      <c r="AF22" s="19">
        <f>Jun[[#This Row],[Total Mins over 24 hr]]/60</f>
        <v>0</v>
      </c>
      <c r="AG22" s="15">
        <f>SUM(D22,G22,J22,M22,P22,S22,V22,Y22,AB22)+(Jun[[#This Row],[Baseline Assessment Score]]*60/3)</f>
        <v>0</v>
      </c>
      <c r="AH22" s="19">
        <f>SUM(Jun[[#This Row],[Early (08.00 - 14.00) ]]/60)</f>
        <v>0</v>
      </c>
      <c r="AI22" s="15">
        <f>SUM(E22,H22,K22,N22,Q22,T22,W22,Z22,AC22)+(Jun[[#This Row],[Baseline Assessment Score]]*60/3)</f>
        <v>0</v>
      </c>
      <c r="AJ22" s="19">
        <f>SUM(Jun[[#This Row],[Late (14.00 - 20.00) ]]/60)</f>
        <v>0</v>
      </c>
      <c r="AK22" s="15">
        <f>SUM(F22,I22,L22,O22,R22,U22,X22,AA22,AD22)+(Jun[[#This Row],[Baseline Assessment Score]]*60/3)</f>
        <v>0</v>
      </c>
      <c r="AL22" s="88">
        <f>SUM(Jun[[#This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SUM(Jun[[#This Row],[Early]:[Night        ]])+(Jun[[#This Row],[Baseline Assessment Score]]*60)</f>
        <v>0</v>
      </c>
      <c r="AF23" s="19">
        <f>Jun[[#This Row],[Total Mins over 24 hr]]/60</f>
        <v>0</v>
      </c>
      <c r="AG23" s="15">
        <f>SUM(D23,G23,J23,M23,P23,S23,V23,Y23,AB23)+(Jun[[#This Row],[Baseline Assessment Score]]*60/3)</f>
        <v>0</v>
      </c>
      <c r="AH23" s="19">
        <f>SUM(Jun[[#This Row],[Early (08.00 - 14.00) ]]/60)</f>
        <v>0</v>
      </c>
      <c r="AI23" s="15">
        <f>SUM(E23,H23,K23,N23,Q23,T23,W23,Z23,AC23)+(Jun[[#This Row],[Baseline Assessment Score]]*60/3)</f>
        <v>0</v>
      </c>
      <c r="AJ23" s="19">
        <f>SUM(Jun[[#This Row],[Late (14.00 - 20.00) ]]/60)</f>
        <v>0</v>
      </c>
      <c r="AK23" s="15">
        <f>SUM(F23,I23,L23,O23,R23,U23,X23,AA23,AD23)+(Jun[[#This Row],[Baseline Assessment Score]]*60/3)</f>
        <v>0</v>
      </c>
      <c r="AL23" s="88">
        <f>SUM(Jun[[#This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SUM(Jun[[#This Row],[Early]:[Night        ]])+(Jun[[#This Row],[Baseline Assessment Score]]*60)</f>
        <v>0</v>
      </c>
      <c r="AF24" s="19">
        <f>Jun[[#This Row],[Total Mins over 24 hr]]/60</f>
        <v>0</v>
      </c>
      <c r="AG24" s="15">
        <f>SUM(D24,G24,J24,M24,P24,S24,V24,Y24,AB24)+(Jun[[#This Row],[Baseline Assessment Score]]*60/3)</f>
        <v>0</v>
      </c>
      <c r="AH24" s="19">
        <f>SUM(Jun[[#This Row],[Early (08.00 - 14.00) ]]/60)</f>
        <v>0</v>
      </c>
      <c r="AI24" s="15">
        <f>SUM(E24,H24,K24,N24,Q24,T24,W24,Z24,AC24)+(Jun[[#This Row],[Baseline Assessment Score]]*60/3)</f>
        <v>0</v>
      </c>
      <c r="AJ24" s="19">
        <f>SUM(Jun[[#This Row],[Late (14.00 - 20.00) ]]/60)</f>
        <v>0</v>
      </c>
      <c r="AK24" s="15">
        <f>SUM(F24,I24,L24,O24,R24,U24,X24,AA24,AD24)+(Jun[[#This Row],[Baseline Assessment Score]]*60/3)</f>
        <v>0</v>
      </c>
      <c r="AL24" s="88">
        <f>SUM(Jun[[#This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SUM(Jun[[#This Row],[Early]:[Night        ]])+(Jun[[#This Row],[Baseline Assessment Score]]*60)</f>
        <v>0</v>
      </c>
      <c r="AF25" s="19">
        <f>Jun[[#This Row],[Total Mins over 24 hr]]/60</f>
        <v>0</v>
      </c>
      <c r="AG25" s="15">
        <f>SUM(D25,G25,J25,M25,P25,S25,V25,Y25,AB25)+(Jun[[#This Row],[Baseline Assessment Score]]*60/3)</f>
        <v>0</v>
      </c>
      <c r="AH25" s="19">
        <f>SUM(Jun[[#This Row],[Early (08.00 - 14.00) ]]/60)</f>
        <v>0</v>
      </c>
      <c r="AI25" s="15">
        <f>SUM(E25,H25,K25,N25,Q25,T25,W25,Z25,AC25)+(Jun[[#This Row],[Baseline Assessment Score]]*60/3)</f>
        <v>0</v>
      </c>
      <c r="AJ25" s="19">
        <f>SUM(Jun[[#This Row],[Late (14.00 - 20.00) ]]/60)</f>
        <v>0</v>
      </c>
      <c r="AK25" s="15">
        <f>SUM(F25,I25,L25,O25,R25,U25,X25,AA25,AD25)+(Jun[[#This Row],[Baseline Assessment Score]]*60/3)</f>
        <v>0</v>
      </c>
      <c r="AL25" s="88">
        <f>SUM(Jun[[#This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SUM(Jun[[#This Row],[Early]:[Night        ]])+(Jun[[#This Row],[Baseline Assessment Score]]*60)</f>
        <v>0</v>
      </c>
      <c r="AF26" s="19">
        <f>Jun[[#This Row],[Total Mins over 24 hr]]/60</f>
        <v>0</v>
      </c>
      <c r="AG26" s="15">
        <f>SUM(D26,G26,J26,M26,P26,S26,V26,Y26,AB26)+(Jun[[#This Row],[Baseline Assessment Score]]*60/3)</f>
        <v>0</v>
      </c>
      <c r="AH26" s="19">
        <f>SUM(Jun[[#This Row],[Early (08.00 - 14.00) ]]/60)</f>
        <v>0</v>
      </c>
      <c r="AI26" s="15">
        <f>SUM(E26,H26,K26,N26,Q26,T26,W26,Z26,AC26)+(Jun[[#This Row],[Baseline Assessment Score]]*60/3)</f>
        <v>0</v>
      </c>
      <c r="AJ26" s="19">
        <f>SUM(Jun[[#This Row],[Late (14.00 - 20.00) ]]/60)</f>
        <v>0</v>
      </c>
      <c r="AK26" s="15">
        <f>SUM(F26,I26,L26,O26,R26,U26,X26,AA26,AD26)+(Jun[[#This Row],[Baseline Assessment Score]]*60/3)</f>
        <v>0</v>
      </c>
      <c r="AL26" s="88">
        <f>SUM(Jun[[#This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SUM(Jun[[#This Row],[Early]:[Night        ]])+(Jun[[#This Row],[Baseline Assessment Score]]*60)</f>
        <v>0</v>
      </c>
      <c r="AF27" s="19">
        <f>Jun[[#This Row],[Total Mins over 24 hr]]/60</f>
        <v>0</v>
      </c>
      <c r="AG27" s="15">
        <f>SUM(D27,G27,J27,M27,P27,S27,V27,Y27,AB27)+(Jun[[#This Row],[Baseline Assessment Score]]*60/3)</f>
        <v>0</v>
      </c>
      <c r="AH27" s="19">
        <f>SUM(Jun[[#This Row],[Early (08.00 - 14.00) ]]/60)</f>
        <v>0</v>
      </c>
      <c r="AI27" s="15">
        <f>SUM(E27,H27,K27,N27,Q27,T27,W27,Z27,AC27)+(Jun[[#This Row],[Baseline Assessment Score]]*60/3)</f>
        <v>0</v>
      </c>
      <c r="AJ27" s="19">
        <f>SUM(Jun[[#This Row],[Late (14.00 - 20.00) ]]/60)</f>
        <v>0</v>
      </c>
      <c r="AK27" s="15">
        <f>SUM(F27,I27,L27,O27,R27,U27,X27,AA27,AD27)+(Jun[[#This Row],[Baseline Assessment Score]]*60/3)</f>
        <v>0</v>
      </c>
      <c r="AL27" s="88">
        <f>SUM(Jun[[#This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SUM(Jun[[#This Row],[Early]:[Night        ]])+(Jun[[#This Row],[Baseline Assessment Score]]*60)</f>
        <v>0</v>
      </c>
      <c r="AF28" s="19">
        <f>Jun[[#This Row],[Total Mins over 24 hr]]/60</f>
        <v>0</v>
      </c>
      <c r="AG28" s="15">
        <f>SUM(D28,G28,J28,M28,P28,S28,V28,Y28,AB28)+(Jun[[#This Row],[Baseline Assessment Score]]*60/3)</f>
        <v>0</v>
      </c>
      <c r="AH28" s="19">
        <f>SUM(Jun[[#This Row],[Early (08.00 - 14.00) ]]/60)</f>
        <v>0</v>
      </c>
      <c r="AI28" s="15">
        <f>SUM(E28,H28,K28,N28,Q28,T28,W28,Z28,AC28)+(Jun[[#This Row],[Baseline Assessment Score]]*60/3)</f>
        <v>0</v>
      </c>
      <c r="AJ28" s="19">
        <f>SUM(Jun[[#This Row],[Late (14.00 - 20.00) ]]/60)</f>
        <v>0</v>
      </c>
      <c r="AK28" s="15">
        <f>SUM(F28,I28,L28,O28,R28,U28,X28,AA28,AD28)+(Jun[[#This Row],[Baseline Assessment Score]]*60/3)</f>
        <v>0</v>
      </c>
      <c r="AL28" s="88">
        <f>SUM(Jun[[#This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SUM(Jun[[#This Row],[Early]:[Night        ]])+(Jun[[#This Row],[Baseline Assessment Score]]*60)</f>
        <v>0</v>
      </c>
      <c r="AF29" s="19">
        <f>Jun[[#This Row],[Total Mins over 24 hr]]/60</f>
        <v>0</v>
      </c>
      <c r="AG29" s="15">
        <f>SUM(D29,G29,J29,M29,P29,S29,V29,Y29,AB29)+(Jun[[#This Row],[Baseline Assessment Score]]*60/3)</f>
        <v>0</v>
      </c>
      <c r="AH29" s="19">
        <f>SUM(Jun[[#This Row],[Early (08.00 - 14.00) ]]/60)</f>
        <v>0</v>
      </c>
      <c r="AI29" s="15">
        <f>SUM(E29,H29,K29,N29,Q29,T29,W29,Z29,AC29)+(Jun[[#This Row],[Baseline Assessment Score]]*60/3)</f>
        <v>0</v>
      </c>
      <c r="AJ29" s="19">
        <f>SUM(Jun[[#This Row],[Late (14.00 - 20.00) ]]/60)</f>
        <v>0</v>
      </c>
      <c r="AK29" s="15">
        <f>SUM(F29,I29,L29,O29,R29,U29,X29,AA29,AD29)+(Jun[[#This Row],[Baseline Assessment Score]]*60/3)</f>
        <v>0</v>
      </c>
      <c r="AL29" s="88">
        <f>SUM(Jun[[#This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SUM(Jun[[#This Row],[Early]:[Night        ]])+(Jun[[#This Row],[Baseline Assessment Score]]*60)</f>
        <v>0</v>
      </c>
      <c r="AF30" s="19">
        <f>Jun[[#This Row],[Total Mins over 24 hr]]/60</f>
        <v>0</v>
      </c>
      <c r="AG30" s="15">
        <f>SUM(D30,G30,J30,M30,P30,S30,V30,Y30,AB30)+(Jun[[#This Row],[Baseline Assessment Score]]*60/3)</f>
        <v>0</v>
      </c>
      <c r="AH30" s="19">
        <f>SUM(Jun[[#This Row],[Early (08.00 - 14.00) ]]/60)</f>
        <v>0</v>
      </c>
      <c r="AI30" s="15">
        <f>SUM(E30,H30,K30,N30,Q30,T30,W30,Z30,AC30)+(Jun[[#This Row],[Baseline Assessment Score]]*60/3)</f>
        <v>0</v>
      </c>
      <c r="AJ30" s="19">
        <f>SUM(Jun[[#This Row],[Late (14.00 - 20.00) ]]/60)</f>
        <v>0</v>
      </c>
      <c r="AK30" s="15">
        <f>SUM(F30,I30,L30,O30,R30,U30,X30,AA30,AD30)+(Jun[[#This Row],[Baseline Assessment Score]]*60/3)</f>
        <v>0</v>
      </c>
      <c r="AL30" s="88">
        <f>SUM(Jun[[#This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SUM(Jun[[#This Row],[Early]:[Night        ]])+(Jun[[#This Row],[Baseline Assessment Score]]*60)</f>
        <v>0</v>
      </c>
      <c r="AF31" s="19">
        <f>Jun[[#This Row],[Total Mins over 24 hr]]/60</f>
        <v>0</v>
      </c>
      <c r="AG31" s="15">
        <f>SUM(D31,G31,J31,M31,P31,S31,V31,Y31,AB31)+(Jun[[#This Row],[Baseline Assessment Score]]*60/3)</f>
        <v>0</v>
      </c>
      <c r="AH31" s="19">
        <f>SUM(Jun[[#This Row],[Early (08.00 - 14.00) ]]/60)</f>
        <v>0</v>
      </c>
      <c r="AI31" s="15">
        <f>SUM(E31,H31,K31,N31,Q31,T31,W31,Z31,AC31)+(Jun[[#This Row],[Baseline Assessment Score]]*60/3)</f>
        <v>0</v>
      </c>
      <c r="AJ31" s="19">
        <f>SUM(Jun[[#This Row],[Late (14.00 - 20.00) ]]/60)</f>
        <v>0</v>
      </c>
      <c r="AK31" s="15">
        <f>SUM(F31,I31,L31,O31,R31,U31,X31,AA31,AD31)+(Jun[[#This Row],[Baseline Assessment Score]]*60/3)</f>
        <v>0</v>
      </c>
      <c r="AL31" s="88">
        <f>SUM(Jun[[#This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SUM(Jun[[#This Row],[Early]:[Night        ]])+(Jun[[#This Row],[Baseline Assessment Score]]*60)</f>
        <v>0</v>
      </c>
      <c r="AF32" s="19">
        <f>Jun[[#This Row],[Total Mins over 24 hr]]/60</f>
        <v>0</v>
      </c>
      <c r="AG32" s="15">
        <f>SUM(D32,G32,J32,M32,P32,S32,V32,Y32,AB32)+(Jun[[#This Row],[Baseline Assessment Score]]*60/3)</f>
        <v>0</v>
      </c>
      <c r="AH32" s="19">
        <f>SUM(Jun[[#This Row],[Early (08.00 - 14.00) ]]/60)</f>
        <v>0</v>
      </c>
      <c r="AI32" s="15">
        <f>SUM(E32,H32,K32,N32,Q32,T32,W32,Z32,AC32)+(Jun[[#This Row],[Baseline Assessment Score]]*60/3)</f>
        <v>0</v>
      </c>
      <c r="AJ32" s="19">
        <f>SUM(Jun[[#This Row],[Late (14.00 - 20.00) ]]/60)</f>
        <v>0</v>
      </c>
      <c r="AK32" s="15">
        <f>SUM(F32,I32,L32,O32,R32,U32,X32,AA32,AD32)+(Jun[[#This Row],[Baseline Assessment Score]]*60/3)</f>
        <v>0</v>
      </c>
      <c r="AL32" s="88">
        <f>SUM(Jun[[#This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SUM(Jun[[#This Row],[Early]:[Night        ]])+(Jun[[#This Row],[Baseline Assessment Score]]*60)</f>
        <v>0</v>
      </c>
      <c r="AF33" s="19">
        <f>Jun[[#This Row],[Total Mins over 24 hr]]/60</f>
        <v>0</v>
      </c>
      <c r="AG33" s="15">
        <f>SUM(D33,G33,J33,M33,P33,S33,V33,Y33,AB33)+(Jun[[#This Row],[Baseline Assessment Score]]*60/3)</f>
        <v>0</v>
      </c>
      <c r="AH33" s="19">
        <f>SUM(Jun[[#This Row],[Early (08.00 - 14.00) ]]/60)</f>
        <v>0</v>
      </c>
      <c r="AI33" s="15">
        <f>SUM(E33,H33,K33,N33,Q33,T33,W33,Z33,AC33)+(Jun[[#This Row],[Baseline Assessment Score]]*60/3)</f>
        <v>0</v>
      </c>
      <c r="AJ33" s="19">
        <f>SUM(Jun[[#This Row],[Late (14.00 - 20.00) ]]/60)</f>
        <v>0</v>
      </c>
      <c r="AK33" s="15">
        <f>SUM(F33,I33,L33,O33,R33,U33,X33,AA33,AD33)+(Jun[[#This Row],[Baseline Assessment Score]]*60/3)</f>
        <v>0</v>
      </c>
      <c r="AL33" s="88">
        <f>SUM(Jun[[#This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SUM(Jun[[#This Row],[Early]:[Night        ]])+(Jun[[#This Row],[Baseline Assessment Score]]*60)</f>
        <v>0</v>
      </c>
      <c r="AF34" s="19">
        <f>Jun[[#This Row],[Total Mins over 24 hr]]/60</f>
        <v>0</v>
      </c>
      <c r="AG34" s="15">
        <f>SUM(D34,G34,J34,M34,P34,S34,V34,Y34,AB34)+(Jun[[#This Row],[Baseline Assessment Score]]*60/3)</f>
        <v>0</v>
      </c>
      <c r="AH34" s="19">
        <f>SUM(Jun[[#This Row],[Early (08.00 - 14.00) ]]/60)</f>
        <v>0</v>
      </c>
      <c r="AI34" s="15">
        <f>SUM(E34,H34,K34,N34,Q34,T34,W34,Z34,AC34)+(Jun[[#This Row],[Baseline Assessment Score]]*60/3)</f>
        <v>0</v>
      </c>
      <c r="AJ34" s="19">
        <f>SUM(Jun[[#This Row],[Late (14.00 - 20.00) ]]/60)</f>
        <v>0</v>
      </c>
      <c r="AK34" s="15">
        <f>SUM(F34,I34,L34,O34,R34,U34,X34,AA34,AD34)+(Jun[[#This Row],[Baseline Assessment Score]]*60/3)</f>
        <v>0</v>
      </c>
      <c r="AL34" s="88">
        <f>SUM(Jun[[#This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SUM(Jun[[#This Row],[Early]:[Night        ]])+(Jun[[#This Row],[Baseline Assessment Score]]*60)</f>
        <v>0</v>
      </c>
      <c r="AF35" s="19">
        <f>Jun[[#This Row],[Total Mins over 24 hr]]/60</f>
        <v>0</v>
      </c>
      <c r="AG35" s="15">
        <f>SUM(D35,G35,J35,M35,P35,S35,V35,Y35,AB35)+(Jun[[#This Row],[Baseline Assessment Score]]*60/3)</f>
        <v>0</v>
      </c>
      <c r="AH35" s="19">
        <f>SUM(Jun[[#This Row],[Early (08.00 - 14.00) ]]/60)</f>
        <v>0</v>
      </c>
      <c r="AI35" s="15">
        <f>SUM(E35,H35,K35,N35,Q35,T35,W35,Z35,AC35)+(Jun[[#This Row],[Baseline Assessment Score]]*60/3)</f>
        <v>0</v>
      </c>
      <c r="AJ35" s="19">
        <f>SUM(Jun[[#This Row],[Late (14.00 - 20.00) ]]/60)</f>
        <v>0</v>
      </c>
      <c r="AK35" s="15">
        <f>SUM(F35,I35,L35,O35,R35,U35,X35,AA35,AD35)+(Jun[[#This Row],[Baseline Assessment Score]]*60/3)</f>
        <v>0</v>
      </c>
      <c r="AL35" s="88">
        <f>SUM(Jun[[#This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SUM(Jun[[#This Row],[Early]:[Night        ]])+(Jun[[#This Row],[Baseline Assessment Score]]*60)</f>
        <v>0</v>
      </c>
      <c r="AF36" s="20">
        <f>Jun[[#This Row],[Total Mins over 24 hr]]/60</f>
        <v>0</v>
      </c>
      <c r="AG36" s="18">
        <f>SUM(D36,G36,J36,M36,P36,S36,V36,Y36,AB36)+(Jun[[#This Row],[Baseline Assessment Score]]*60/3)</f>
        <v>0</v>
      </c>
      <c r="AH36" s="20">
        <f>SUM(Jun[[#This Row],[Early (08.00 - 14.00) ]]/60)</f>
        <v>0</v>
      </c>
      <c r="AI36" s="18">
        <f>SUM(E36,H36,K36,N36,Q36,T36,W36,Z36,AC36)+(Jun[[#This Row],[Baseline Assessment Score]]*60/3)</f>
        <v>0</v>
      </c>
      <c r="AJ36" s="20">
        <f>SUM(Jun[[#This Row],[Late (14.00 - 20.00) ]]/60)</f>
        <v>0</v>
      </c>
      <c r="AK36" s="18">
        <f>SUM(F36,I36,L36,O36,R36,U36,X36,AA36,AD36)+(Jun[[#This Row],[Baseline Assessment Score]]*60/3)</f>
        <v>0</v>
      </c>
      <c r="AL36" s="91">
        <f>SUM(Jun[[#This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333" t="s">
        <v>51</v>
      </c>
      <c r="W37" s="334"/>
      <c r="X37" s="334"/>
      <c r="Y37" s="334"/>
      <c r="Z37" s="334"/>
      <c r="AA37" s="334"/>
      <c r="AB37" s="334"/>
      <c r="AC37" s="334"/>
      <c r="AD37" s="334"/>
      <c r="AE37" s="338">
        <f>SUM(Jun[Actual contact time (hours)])</f>
        <v>0</v>
      </c>
      <c r="AF37" s="338"/>
      <c r="AG37" s="338">
        <f>SUM(Jun[Contact time per shift])</f>
        <v>0</v>
      </c>
      <c r="AH37" s="339"/>
      <c r="AI37" s="338">
        <f>SUM(Jun[[Contact time per shift ]])</f>
        <v>0</v>
      </c>
      <c r="AJ37" s="339"/>
      <c r="AK37" s="338">
        <f>SUM(Jun[[Contact time per shift  ]])</f>
        <v>0</v>
      </c>
      <c r="AL37" s="340"/>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COUNTIF(Jun[Adults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51" priority="2" operator="greaterThan">
      <formula>$AL$7</formula>
    </cfRule>
    <cfRule type="cellIs" dxfId="50" priority="3" operator="between">
      <formula>$AJ$7</formula>
      <formula>$AL$7</formula>
    </cfRule>
    <cfRule type="cellIs" dxfId="49" priority="4" operator="between">
      <formula>$AJ$6</formula>
      <formula>$AL$6</formula>
    </cfRule>
    <cfRule type="cellIs" dxfId="48" priority="5" operator="between">
      <formula>$AJ$5</formula>
      <formula>$AL$5</formula>
    </cfRule>
  </conditionalFormatting>
  <dataValidations count="1">
    <dataValidation type="list" allowBlank="1" showInputMessage="1" showErrorMessage="1" sqref="C13:C36" xr:uid="{14794B0D-75BE-4A36-B715-E17F120A5F2A}">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FD7955CE-C288-469F-A0E5-8EC28CBA05A1}">
            <xm:f>NOT(ISERROR(SEARCH($R$8,C13)))</xm:f>
            <xm:f>$R$8</xm:f>
            <x14:dxf>
              <fill>
                <patternFill>
                  <bgColor rgb="FFFF9999"/>
                </patternFill>
              </fill>
            </x14:dxf>
          </x14:cfRule>
          <x14:cfRule type="containsText" priority="7" operator="containsText" id="{B2E48CCF-BFE6-4A9F-A915-7E328FBFDC06}">
            <xm:f>NOT(ISERROR(SEARCH($R$7,C13)))</xm:f>
            <xm:f>$R$7</xm:f>
            <x14:dxf>
              <fill>
                <patternFill>
                  <bgColor theme="5" tint="0.59996337778862885"/>
                </patternFill>
              </fill>
            </x14:dxf>
          </x14:cfRule>
          <x14:cfRule type="containsText" priority="8" operator="containsText" id="{A34E8EB4-DCC1-4D96-BF7A-260FA7FCF6A5}">
            <xm:f>NOT(ISERROR(SEARCH($R$6,C13)))</xm:f>
            <xm:f>$R$6</xm:f>
            <x14:dxf>
              <fill>
                <patternFill>
                  <bgColor theme="9" tint="0.59996337778862885"/>
                </patternFill>
              </fill>
            </x14:dxf>
          </x14:cfRule>
          <x14:cfRule type="containsText" priority="9" operator="containsText" id="{80735EB9-1355-4225-A50E-4B7301844C4A}">
            <xm:f>NOT(ISERROR(SEARCH($R$5,C13)))</xm:f>
            <xm:f>$R$5</xm:f>
            <x14:dxf>
              <fill>
                <patternFill>
                  <bgColor theme="8" tint="0.79998168889431442"/>
                </patternFill>
              </fill>
            </x14:dxf>
          </x14:cfRule>
          <xm:sqref>C13:C36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F557-CE1D-44CE-90AF-4A32F6705FF5}">
  <sheetPr>
    <tabColor theme="4" tint="0.39997558519241921"/>
  </sheetPr>
  <dimension ref="B2:AL58"/>
  <sheetViews>
    <sheetView zoomScale="80" zoomScaleNormal="80" workbookViewId="0">
      <selection activeCell="F18" sqref="F18"/>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8" t="s">
        <v>1</v>
      </c>
      <c r="C5" s="255"/>
      <c r="D5" s="256"/>
      <c r="E5" s="256"/>
      <c r="F5" s="256"/>
      <c r="G5" s="256"/>
      <c r="H5" s="256"/>
      <c r="I5" s="257"/>
      <c r="R5" s="46">
        <v>1</v>
      </c>
      <c r="S5" s="271" t="s">
        <v>116</v>
      </c>
      <c r="T5" s="272"/>
      <c r="U5" s="273"/>
      <c r="V5" s="46">
        <f>COUNTIF(Jul[Baseline Assessment Score],1)</f>
        <v>0</v>
      </c>
      <c r="AE5" s="250" t="s">
        <v>119</v>
      </c>
      <c r="AF5" s="251"/>
      <c r="AG5" s="252"/>
      <c r="AH5" s="253" t="s">
        <v>66</v>
      </c>
      <c r="AI5" s="254"/>
      <c r="AJ5" s="51">
        <v>0</v>
      </c>
      <c r="AK5" s="11" t="s">
        <v>120</v>
      </c>
      <c r="AL5" s="52">
        <v>5</v>
      </c>
    </row>
    <row r="6" spans="2:38" ht="15.75" thickBot="1" x14ac:dyDescent="0.25">
      <c r="B6" s="9" t="s">
        <v>2</v>
      </c>
      <c r="C6" s="258" t="s">
        <v>129</v>
      </c>
      <c r="D6" s="259"/>
      <c r="E6" s="260"/>
      <c r="F6" s="10" t="s">
        <v>0</v>
      </c>
      <c r="G6" s="246"/>
      <c r="H6" s="247"/>
      <c r="I6" s="248"/>
      <c r="R6" s="47">
        <v>2</v>
      </c>
      <c r="S6" s="268" t="s">
        <v>66</v>
      </c>
      <c r="T6" s="269"/>
      <c r="U6" s="270"/>
      <c r="V6" s="47">
        <f>COUNTIF(Jul[Baseline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COUNTIF(Jul[Baseline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COUNTIF(Jul[Baseline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230" t="s">
        <v>40</v>
      </c>
      <c r="E11" s="231"/>
      <c r="F11" s="232"/>
      <c r="G11" s="224" t="s">
        <v>41</v>
      </c>
      <c r="H11" s="225"/>
      <c r="I11" s="226"/>
      <c r="J11" s="227" t="s">
        <v>42</v>
      </c>
      <c r="K11" s="228"/>
      <c r="L11" s="229"/>
      <c r="M11" s="224" t="s">
        <v>47</v>
      </c>
      <c r="N11" s="225"/>
      <c r="O11" s="226"/>
      <c r="P11" s="227" t="s">
        <v>43</v>
      </c>
      <c r="Q11" s="228"/>
      <c r="R11" s="229"/>
      <c r="S11" s="224" t="s">
        <v>44</v>
      </c>
      <c r="T11" s="225"/>
      <c r="U11" s="226"/>
      <c r="V11" s="227" t="s">
        <v>95</v>
      </c>
      <c r="W11" s="228"/>
      <c r="X11" s="229"/>
      <c r="Y11" s="224" t="s">
        <v>45</v>
      </c>
      <c r="Z11" s="225"/>
      <c r="AA11" s="226"/>
      <c r="AB11" s="227" t="s">
        <v>46</v>
      </c>
      <c r="AC11" s="228"/>
      <c r="AD11" s="229"/>
    </row>
    <row r="12" spans="2:38" ht="55.5" thickBot="1" x14ac:dyDescent="0.25">
      <c r="B12" s="68" t="s">
        <v>3</v>
      </c>
      <c r="C12" s="77" t="s">
        <v>39</v>
      </c>
      <c r="D12" s="78" t="s">
        <v>4</v>
      </c>
      <c r="E12" s="79" t="s">
        <v>5</v>
      </c>
      <c r="F12" s="80" t="s">
        <v>6</v>
      </c>
      <c r="G12" s="81" t="s">
        <v>13</v>
      </c>
      <c r="H12" s="81" t="s">
        <v>14</v>
      </c>
      <c r="I12" s="32" t="s">
        <v>15</v>
      </c>
      <c r="J12" s="79" t="s">
        <v>16</v>
      </c>
      <c r="K12" s="79" t="s">
        <v>17</v>
      </c>
      <c r="L12" s="80" t="s">
        <v>18</v>
      </c>
      <c r="M12" s="81" t="s">
        <v>19</v>
      </c>
      <c r="N12" s="81" t="s">
        <v>20</v>
      </c>
      <c r="O12" s="32" t="s">
        <v>21</v>
      </c>
      <c r="P12" s="79" t="s">
        <v>22</v>
      </c>
      <c r="Q12" s="79" t="s">
        <v>23</v>
      </c>
      <c r="R12" s="80" t="s">
        <v>24</v>
      </c>
      <c r="S12" s="81" t="s">
        <v>25</v>
      </c>
      <c r="T12" s="81" t="s">
        <v>26</v>
      </c>
      <c r="U12" s="32" t="s">
        <v>27</v>
      </c>
      <c r="V12" s="79" t="s">
        <v>28</v>
      </c>
      <c r="W12" s="79" t="s">
        <v>29</v>
      </c>
      <c r="X12" s="80" t="s">
        <v>30</v>
      </c>
      <c r="Y12" s="81" t="s">
        <v>32</v>
      </c>
      <c r="Z12" s="81" t="s">
        <v>33</v>
      </c>
      <c r="AA12" s="32" t="s">
        <v>34</v>
      </c>
      <c r="AB12" s="79" t="s">
        <v>31</v>
      </c>
      <c r="AC12" s="79" t="s">
        <v>35</v>
      </c>
      <c r="AD12" s="80" t="s">
        <v>36</v>
      </c>
      <c r="AE12" s="82" t="s">
        <v>7</v>
      </c>
      <c r="AF12" s="80" t="s">
        <v>8</v>
      </c>
      <c r="AG12" s="83" t="s">
        <v>9</v>
      </c>
      <c r="AH12" s="32" t="s">
        <v>12</v>
      </c>
      <c r="AI12" s="82" t="s">
        <v>11</v>
      </c>
      <c r="AJ12" s="80" t="s">
        <v>10</v>
      </c>
      <c r="AK12" s="83" t="s">
        <v>37</v>
      </c>
      <c r="AL12" s="8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SUM(Jul[[#This Row],[Early]:[Night        ]])+(Jul[[#This Row],[Baseline Assessment Score]]*60)</f>
        <v>0</v>
      </c>
      <c r="AF13" s="16">
        <f>Jul[[#This Row],[Total Mins over 24 hr]]/60</f>
        <v>0</v>
      </c>
      <c r="AG13" s="13">
        <f>SUM(D13,G13,J13,M13,P13,S13,V13,Y13,AB13)+(Jul[[#This Row],[Baseline Assessment Score]]*60/3)</f>
        <v>0</v>
      </c>
      <c r="AH13" s="16">
        <f>SUM(Jul[[#This Row],[Early (08.00 - 14.00) ]]/60)</f>
        <v>0</v>
      </c>
      <c r="AI13" s="13">
        <f>SUM(E13,H13,K13,N13,Q13,T13,W13,Z13,AC13)+(Jul[[#This Row],[Baseline Assessment Score]]*60/3)</f>
        <v>0</v>
      </c>
      <c r="AJ13" s="16">
        <f>SUM(Jul[[#This Row],[Late (14.00 - 20.00) ]]/60)</f>
        <v>0</v>
      </c>
      <c r="AK13" s="13">
        <f>SUM(F13,I13,L13,O13,R13,U13,X13,AA13,AD13)+(Jul[[#This Row],[Baseline Assessment Score]]*60/3)</f>
        <v>0</v>
      </c>
      <c r="AL13" s="86">
        <f>SUM(Jul[[#This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SUM(Jul[[#This Row],[Early]:[Night        ]])+(Jul[[#This Row],[Baseline Assessment Score]]*60)</f>
        <v>0</v>
      </c>
      <c r="AF14" s="19">
        <f>Jul[[#This Row],[Total Mins over 24 hr]]/60</f>
        <v>0</v>
      </c>
      <c r="AG14" s="15">
        <f>SUM(D14,G14,J14,M14,P14,S14,V14,Y14,AB14)+(Jul[[#This Row],[Baseline Assessment Score]]*60/3)</f>
        <v>0</v>
      </c>
      <c r="AH14" s="19">
        <f>SUM(Jul[[#This Row],[Early (08.00 - 14.00) ]]/60)</f>
        <v>0</v>
      </c>
      <c r="AI14" s="15">
        <f>SUM(E14,H14,K14,N14,Q14,T14,W14,Z14,AC14)+(Jul[[#This Row],[Baseline Assessment Score]]*60/3)</f>
        <v>0</v>
      </c>
      <c r="AJ14" s="19">
        <f>SUM(Jul[[#This Row],[Late (14.00 - 20.00) ]]/60)</f>
        <v>0</v>
      </c>
      <c r="AK14" s="15">
        <f>SUM(F14,I14,L14,O14,R14,U14,X14,AA14,AD14)+(Jul[[#This Row],[Baseline Assessment Score]]*60/3)</f>
        <v>0</v>
      </c>
      <c r="AL14" s="88">
        <f>SUM(Jul[[#This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SUM(Jul[[#This Row],[Early]:[Night        ]])+(Jul[[#This Row],[Baseline Assessment Score]]*60)</f>
        <v>0</v>
      </c>
      <c r="AF15" s="19">
        <f>Jul[[#This Row],[Total Mins over 24 hr]]/60</f>
        <v>0</v>
      </c>
      <c r="AG15" s="15">
        <f>SUM(D15,G15,J15,M15,P15,S15,V15,Y15,AB15)+(Jul[[#This Row],[Baseline Assessment Score]]*60/3)</f>
        <v>0</v>
      </c>
      <c r="AH15" s="19">
        <f>SUM(Jul[[#This Row],[Early (08.00 - 14.00) ]]/60)</f>
        <v>0</v>
      </c>
      <c r="AI15" s="15">
        <f>SUM(E15,H15,K15,N15,Q15,T15,W15,Z15,AC15)+(Jul[[#This Row],[Baseline Assessment Score]]*60/3)</f>
        <v>0</v>
      </c>
      <c r="AJ15" s="19">
        <f>SUM(Jul[[#This Row],[Late (14.00 - 20.00) ]]/60)</f>
        <v>0</v>
      </c>
      <c r="AK15" s="15">
        <f>SUM(F15,I15,L15,O15,R15,U15,X15,AA15,AD15)+(Jul[[#This Row],[Baseline Assessment Score]]*60/3)</f>
        <v>0</v>
      </c>
      <c r="AL15" s="88">
        <f>SUM(Jul[[#This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SUM(Jul[[#This Row],[Early]:[Night        ]])+(Jul[[#This Row],[Baseline Assessment Score]]*60)</f>
        <v>0</v>
      </c>
      <c r="AF16" s="19">
        <f>Jul[[#This Row],[Total Mins over 24 hr]]/60</f>
        <v>0</v>
      </c>
      <c r="AG16" s="15">
        <f>SUM(D16,G16,J16,M16,P16,S16,V16,Y16,AB16)+(Jul[[#This Row],[Baseline Assessment Score]]*60/3)</f>
        <v>0</v>
      </c>
      <c r="AH16" s="19">
        <f>SUM(Jul[[#This Row],[Early (08.00 - 14.00) ]]/60)</f>
        <v>0</v>
      </c>
      <c r="AI16" s="15">
        <f>SUM(E16,H16,K16,N16,Q16,T16,W16,Z16,AC16)+(Jul[[#This Row],[Baseline Assessment Score]]*60/3)</f>
        <v>0</v>
      </c>
      <c r="AJ16" s="19">
        <f>SUM(Jul[[#This Row],[Late (14.00 - 20.00) ]]/60)</f>
        <v>0</v>
      </c>
      <c r="AK16" s="15">
        <f>SUM(F16,I16,L16,O16,R16,U16,X16,AA16,AD16)+(Jul[[#This Row],[Baseline Assessment Score]]*60/3)</f>
        <v>0</v>
      </c>
      <c r="AL16" s="88">
        <f>SUM(Jul[[#This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SUM(Jul[[#This Row],[Early]:[Night        ]])+(Jul[[#This Row],[Baseline Assessment Score]]*60)</f>
        <v>0</v>
      </c>
      <c r="AF17" s="19">
        <f>Jul[[#This Row],[Total Mins over 24 hr]]/60</f>
        <v>0</v>
      </c>
      <c r="AG17" s="15">
        <f>SUM(D17,G17,J17,M17,P17,S17,V17,Y17,AB17)+(Jul[[#This Row],[Baseline Assessment Score]]*60/3)</f>
        <v>0</v>
      </c>
      <c r="AH17" s="19">
        <f>SUM(Jul[[#This Row],[Early (08.00 - 14.00) ]]/60)</f>
        <v>0</v>
      </c>
      <c r="AI17" s="15">
        <f>SUM(E17,H17,K17,N17,Q17,T17,W17,Z17,AC17)+(Jul[[#This Row],[Baseline Assessment Score]]*60/3)</f>
        <v>0</v>
      </c>
      <c r="AJ17" s="19">
        <f>SUM(Jul[[#This Row],[Late (14.00 - 20.00) ]]/60)</f>
        <v>0</v>
      </c>
      <c r="AK17" s="15">
        <f>SUM(F17,I17,L17,O17,R17,U17,X17,AA17,AD17)+(Jul[[#This Row],[Baseline Assessment Score]]*60/3)</f>
        <v>0</v>
      </c>
      <c r="AL17" s="88">
        <f>SUM(Jul[[#This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SUM(Jul[[#This Row],[Early]:[Night        ]])+(Jul[[#This Row],[Baseline Assessment Score]]*60)</f>
        <v>0</v>
      </c>
      <c r="AF18" s="19">
        <f>Jul[[#This Row],[Total Mins over 24 hr]]/60</f>
        <v>0</v>
      </c>
      <c r="AG18" s="15">
        <f>SUM(D18,G18,J18,M18,P18,S18,V18,Y18,AB18)+(Jul[[#This Row],[Baseline Assessment Score]]*60/3)</f>
        <v>0</v>
      </c>
      <c r="AH18" s="19">
        <f>SUM(Jul[[#This Row],[Early (08.00 - 14.00) ]]/60)</f>
        <v>0</v>
      </c>
      <c r="AI18" s="15">
        <f>SUM(E18,H18,K18,N18,Q18,T18,W18,Z18,AC18)+(Jul[[#This Row],[Baseline Assessment Score]]*60/3)</f>
        <v>0</v>
      </c>
      <c r="AJ18" s="19">
        <f>SUM(Jul[[#This Row],[Late (14.00 - 20.00) ]]/60)</f>
        <v>0</v>
      </c>
      <c r="AK18" s="15">
        <f>SUM(F18,I18,L18,O18,R18,U18,X18,AA18,AD18)+(Jul[[#This Row],[Baseline Assessment Score]]*60/3)</f>
        <v>0</v>
      </c>
      <c r="AL18" s="88">
        <f>SUM(Jul[[#This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SUM(Jul[[#This Row],[Early]:[Night        ]])+(Jul[[#This Row],[Baseline Assessment Score]]*60)</f>
        <v>0</v>
      </c>
      <c r="AF19" s="19">
        <f>Jul[[#This Row],[Total Mins over 24 hr]]/60</f>
        <v>0</v>
      </c>
      <c r="AG19" s="15">
        <f>SUM(D19,G19,J19,M19,P19,S19,V19,Y19,AB19)+(Jul[[#This Row],[Baseline Assessment Score]]*60/3)</f>
        <v>0</v>
      </c>
      <c r="AH19" s="19">
        <f>SUM(Jul[[#This Row],[Early (08.00 - 14.00) ]]/60)</f>
        <v>0</v>
      </c>
      <c r="AI19" s="15">
        <f>SUM(E19,H19,K19,N19,Q19,T19,W19,Z19,AC19)+(Jul[[#This Row],[Baseline Assessment Score]]*60/3)</f>
        <v>0</v>
      </c>
      <c r="AJ19" s="19">
        <f>SUM(Jul[[#This Row],[Late (14.00 - 20.00) ]]/60)</f>
        <v>0</v>
      </c>
      <c r="AK19" s="15">
        <f>SUM(F19,I19,L19,O19,R19,U19,X19,AA19,AD19)+(Jul[[#This Row],[Baseline Assessment Score]]*60/3)</f>
        <v>0</v>
      </c>
      <c r="AL19" s="88">
        <f>SUM(Jul[[#This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SUM(Jul[[#This Row],[Early]:[Night        ]])+(Jul[[#This Row],[Baseline Assessment Score]]*60)</f>
        <v>0</v>
      </c>
      <c r="AF20" s="19">
        <f>Jul[[#This Row],[Total Mins over 24 hr]]/60</f>
        <v>0</v>
      </c>
      <c r="AG20" s="15">
        <f>SUM(D20,G20,J20,M20,P20,S20,V20,Y20,AB20)+(Jul[[#This Row],[Baseline Assessment Score]]*60/3)</f>
        <v>0</v>
      </c>
      <c r="AH20" s="19">
        <f>SUM(Jul[[#This Row],[Early (08.00 - 14.00) ]]/60)</f>
        <v>0</v>
      </c>
      <c r="AI20" s="15">
        <f>SUM(E20,H20,K20,N20,Q20,T20,W20,Z20,AC20)+(Jul[[#This Row],[Baseline Assessment Score]]*60/3)</f>
        <v>0</v>
      </c>
      <c r="AJ20" s="19">
        <f>SUM(Jul[[#This Row],[Late (14.00 - 20.00) ]]/60)</f>
        <v>0</v>
      </c>
      <c r="AK20" s="15">
        <f>SUM(F20,I20,L20,O20,R20,U20,X20,AA20,AD20)+(Jul[[#This Row],[Baseline Assessment Score]]*60/3)</f>
        <v>0</v>
      </c>
      <c r="AL20" s="88">
        <f>SUM(Jul[[#This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SUM(Jul[[#This Row],[Early]:[Night        ]])+(Jul[[#This Row],[Baseline Assessment Score]]*60)</f>
        <v>0</v>
      </c>
      <c r="AF21" s="19">
        <f>Jul[[#This Row],[Total Mins over 24 hr]]/60</f>
        <v>0</v>
      </c>
      <c r="AG21" s="15">
        <f>SUM(D21,G21,J21,M21,P21,S21,V21,Y21,AB21)+(Jul[[#This Row],[Baseline Assessment Score]]*60/3)</f>
        <v>0</v>
      </c>
      <c r="AH21" s="19">
        <f>SUM(Jul[[#This Row],[Early (08.00 - 14.00) ]]/60)</f>
        <v>0</v>
      </c>
      <c r="AI21" s="15">
        <f>SUM(E21,H21,K21,N21,Q21,T21,W21,Z21,AC21)+(Jul[[#This Row],[Baseline Assessment Score]]*60/3)</f>
        <v>0</v>
      </c>
      <c r="AJ21" s="19">
        <f>SUM(Jul[[#This Row],[Late (14.00 - 20.00) ]]/60)</f>
        <v>0</v>
      </c>
      <c r="AK21" s="15">
        <f>SUM(F21,I21,L21,O21,R21,U21,X21,AA21,AD21)+(Jul[[#This Row],[Baseline Assessment Score]]*60/3)</f>
        <v>0</v>
      </c>
      <c r="AL21" s="88">
        <f>SUM(Jul[[#This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SUM(Jul[[#This Row],[Early]:[Night        ]])+(Jul[[#This Row],[Baseline Assessment Score]]*60)</f>
        <v>0</v>
      </c>
      <c r="AF22" s="19">
        <f>Jul[[#This Row],[Total Mins over 24 hr]]/60</f>
        <v>0</v>
      </c>
      <c r="AG22" s="15">
        <f>SUM(D22,G22,J22,M22,P22,S22,V22,Y22,AB22)+(Jul[[#This Row],[Baseline Assessment Score]]*60/3)</f>
        <v>0</v>
      </c>
      <c r="AH22" s="19">
        <f>SUM(Jul[[#This Row],[Early (08.00 - 14.00) ]]/60)</f>
        <v>0</v>
      </c>
      <c r="AI22" s="15">
        <f>SUM(E22,H22,K22,N22,Q22,T22,W22,Z22,AC22)+(Jul[[#This Row],[Baseline Assessment Score]]*60/3)</f>
        <v>0</v>
      </c>
      <c r="AJ22" s="19">
        <f>SUM(Jul[[#This Row],[Late (14.00 - 20.00) ]]/60)</f>
        <v>0</v>
      </c>
      <c r="AK22" s="15">
        <f>SUM(F22,I22,L22,O22,R22,U22,X22,AA22,AD22)+(Jul[[#This Row],[Baseline Assessment Score]]*60/3)</f>
        <v>0</v>
      </c>
      <c r="AL22" s="88">
        <f>SUM(Jul[[#This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SUM(Jul[[#This Row],[Early]:[Night        ]])+(Jul[[#This Row],[Baseline Assessment Score]]*60)</f>
        <v>0</v>
      </c>
      <c r="AF23" s="19">
        <f>Jul[[#This Row],[Total Mins over 24 hr]]/60</f>
        <v>0</v>
      </c>
      <c r="AG23" s="15">
        <f>SUM(D23,G23,J23,M23,P23,S23,V23,Y23,AB23)+(Jul[[#This Row],[Baseline Assessment Score]]*60/3)</f>
        <v>0</v>
      </c>
      <c r="AH23" s="19">
        <f>SUM(Jul[[#This Row],[Early (08.00 - 14.00) ]]/60)</f>
        <v>0</v>
      </c>
      <c r="AI23" s="15">
        <f>SUM(E23,H23,K23,N23,Q23,T23,W23,Z23,AC23)+(Jul[[#This Row],[Baseline Assessment Score]]*60/3)</f>
        <v>0</v>
      </c>
      <c r="AJ23" s="19">
        <f>SUM(Jul[[#This Row],[Late (14.00 - 20.00) ]]/60)</f>
        <v>0</v>
      </c>
      <c r="AK23" s="15">
        <f>SUM(F23,I23,L23,O23,R23,U23,X23,AA23,AD23)+(Jul[[#This Row],[Baseline Assessment Score]]*60/3)</f>
        <v>0</v>
      </c>
      <c r="AL23" s="88">
        <f>SUM(Jul[[#This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SUM(Jul[[#This Row],[Early]:[Night        ]])+(Jul[[#This Row],[Baseline Assessment Score]]*60)</f>
        <v>0</v>
      </c>
      <c r="AF24" s="19">
        <f>Jul[[#This Row],[Total Mins over 24 hr]]/60</f>
        <v>0</v>
      </c>
      <c r="AG24" s="15">
        <f>SUM(D24,G24,J24,M24,P24,S24,V24,Y24,AB24)+(Jul[[#This Row],[Baseline Assessment Score]]*60/3)</f>
        <v>0</v>
      </c>
      <c r="AH24" s="19">
        <f>SUM(Jul[[#This Row],[Early (08.00 - 14.00) ]]/60)</f>
        <v>0</v>
      </c>
      <c r="AI24" s="15">
        <f>SUM(E24,H24,K24,N24,Q24,T24,W24,Z24,AC24)+(Jul[[#This Row],[Baseline Assessment Score]]*60/3)</f>
        <v>0</v>
      </c>
      <c r="AJ24" s="19">
        <f>SUM(Jul[[#This Row],[Late (14.00 - 20.00) ]]/60)</f>
        <v>0</v>
      </c>
      <c r="AK24" s="15">
        <f>SUM(F24,I24,L24,O24,R24,U24,X24,AA24,AD24)+(Jul[[#This Row],[Baseline Assessment Score]]*60/3)</f>
        <v>0</v>
      </c>
      <c r="AL24" s="88">
        <f>SUM(Jul[[#This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SUM(Jul[[#This Row],[Early]:[Night        ]])+(Jul[[#This Row],[Baseline Assessment Score]]*60)</f>
        <v>0</v>
      </c>
      <c r="AF25" s="19">
        <f>Jul[[#This Row],[Total Mins over 24 hr]]/60</f>
        <v>0</v>
      </c>
      <c r="AG25" s="15">
        <f>SUM(D25,G25,J25,M25,P25,S25,V25,Y25,AB25)+(Jul[[#This Row],[Baseline Assessment Score]]*60/3)</f>
        <v>0</v>
      </c>
      <c r="AH25" s="19">
        <f>SUM(Jul[[#This Row],[Early (08.00 - 14.00) ]]/60)</f>
        <v>0</v>
      </c>
      <c r="AI25" s="15">
        <f>SUM(E25,H25,K25,N25,Q25,T25,W25,Z25,AC25)+(Jul[[#This Row],[Baseline Assessment Score]]*60/3)</f>
        <v>0</v>
      </c>
      <c r="AJ25" s="19">
        <f>SUM(Jul[[#This Row],[Late (14.00 - 20.00) ]]/60)</f>
        <v>0</v>
      </c>
      <c r="AK25" s="15">
        <f>SUM(F25,I25,L25,O25,R25,U25,X25,AA25,AD25)+(Jul[[#This Row],[Baseline Assessment Score]]*60/3)</f>
        <v>0</v>
      </c>
      <c r="AL25" s="88">
        <f>SUM(Jul[[#This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SUM(Jul[[#This Row],[Early]:[Night        ]])+(Jul[[#This Row],[Baseline Assessment Score]]*60)</f>
        <v>0</v>
      </c>
      <c r="AF26" s="19">
        <f>Jul[[#This Row],[Total Mins over 24 hr]]/60</f>
        <v>0</v>
      </c>
      <c r="AG26" s="15">
        <f>SUM(D26,G26,J26,M26,P26,S26,V26,Y26,AB26)+(Jul[[#This Row],[Baseline Assessment Score]]*60/3)</f>
        <v>0</v>
      </c>
      <c r="AH26" s="19">
        <f>SUM(Jul[[#This Row],[Early (08.00 - 14.00) ]]/60)</f>
        <v>0</v>
      </c>
      <c r="AI26" s="15">
        <f>SUM(E26,H26,K26,N26,Q26,T26,W26,Z26,AC26)+(Jul[[#This Row],[Baseline Assessment Score]]*60/3)</f>
        <v>0</v>
      </c>
      <c r="AJ26" s="19">
        <f>SUM(Jul[[#This Row],[Late (14.00 - 20.00) ]]/60)</f>
        <v>0</v>
      </c>
      <c r="AK26" s="15">
        <f>SUM(F26,I26,L26,O26,R26,U26,X26,AA26,AD26)+(Jul[[#This Row],[Baseline Assessment Score]]*60/3)</f>
        <v>0</v>
      </c>
      <c r="AL26" s="88">
        <f>SUM(Jul[[#This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SUM(Jul[[#This Row],[Early]:[Night        ]])+(Jul[[#This Row],[Baseline Assessment Score]]*60)</f>
        <v>0</v>
      </c>
      <c r="AF27" s="19">
        <f>Jul[[#This Row],[Total Mins over 24 hr]]/60</f>
        <v>0</v>
      </c>
      <c r="AG27" s="15">
        <f>SUM(D27,G27,J27,M27,P27,S27,V27,Y27,AB27)+(Jul[[#This Row],[Baseline Assessment Score]]*60/3)</f>
        <v>0</v>
      </c>
      <c r="AH27" s="19">
        <f>SUM(Jul[[#This Row],[Early (08.00 - 14.00) ]]/60)</f>
        <v>0</v>
      </c>
      <c r="AI27" s="15">
        <f>SUM(E27,H27,K27,N27,Q27,T27,W27,Z27,AC27)+(Jul[[#This Row],[Baseline Assessment Score]]*60/3)</f>
        <v>0</v>
      </c>
      <c r="AJ27" s="19">
        <f>SUM(Jul[[#This Row],[Late (14.00 - 20.00) ]]/60)</f>
        <v>0</v>
      </c>
      <c r="AK27" s="15">
        <f>SUM(F27,I27,L27,O27,R27,U27,X27,AA27,AD27)+(Jul[[#This Row],[Baseline Assessment Score]]*60/3)</f>
        <v>0</v>
      </c>
      <c r="AL27" s="88">
        <f>SUM(Jul[[#This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SUM(Jul[[#This Row],[Early]:[Night        ]])+(Jul[[#This Row],[Baseline Assessment Score]]*60)</f>
        <v>0</v>
      </c>
      <c r="AF28" s="19">
        <f>Jul[[#This Row],[Total Mins over 24 hr]]/60</f>
        <v>0</v>
      </c>
      <c r="AG28" s="15">
        <f>SUM(D28,G28,J28,M28,P28,S28,V28,Y28,AB28)+(Jul[[#This Row],[Baseline Assessment Score]]*60/3)</f>
        <v>0</v>
      </c>
      <c r="AH28" s="19">
        <f>SUM(Jul[[#This Row],[Early (08.00 - 14.00) ]]/60)</f>
        <v>0</v>
      </c>
      <c r="AI28" s="15">
        <f>SUM(E28,H28,K28,N28,Q28,T28,W28,Z28,AC28)+(Jul[[#This Row],[Baseline Assessment Score]]*60/3)</f>
        <v>0</v>
      </c>
      <c r="AJ28" s="19">
        <f>SUM(Jul[[#This Row],[Late (14.00 - 20.00) ]]/60)</f>
        <v>0</v>
      </c>
      <c r="AK28" s="15">
        <f>SUM(F28,I28,L28,O28,R28,U28,X28,AA28,AD28)+(Jul[[#This Row],[Baseline Assessment Score]]*60/3)</f>
        <v>0</v>
      </c>
      <c r="AL28" s="88">
        <f>SUM(Jul[[#This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SUM(Jul[[#This Row],[Early]:[Night        ]])+(Jul[[#This Row],[Baseline Assessment Score]]*60)</f>
        <v>0</v>
      </c>
      <c r="AF29" s="19">
        <f>Jul[[#This Row],[Total Mins over 24 hr]]/60</f>
        <v>0</v>
      </c>
      <c r="AG29" s="15">
        <f>SUM(D29,G29,J29,M29,P29,S29,V29,Y29,AB29)+(Jul[[#This Row],[Baseline Assessment Score]]*60/3)</f>
        <v>0</v>
      </c>
      <c r="AH29" s="19">
        <f>SUM(Jul[[#This Row],[Early (08.00 - 14.00) ]]/60)</f>
        <v>0</v>
      </c>
      <c r="AI29" s="15">
        <f>SUM(E29,H29,K29,N29,Q29,T29,W29,Z29,AC29)+(Jul[[#This Row],[Baseline Assessment Score]]*60/3)</f>
        <v>0</v>
      </c>
      <c r="AJ29" s="19">
        <f>SUM(Jul[[#This Row],[Late (14.00 - 20.00) ]]/60)</f>
        <v>0</v>
      </c>
      <c r="AK29" s="15">
        <f>SUM(F29,I29,L29,O29,R29,U29,X29,AA29,AD29)+(Jul[[#This Row],[Baseline Assessment Score]]*60/3)</f>
        <v>0</v>
      </c>
      <c r="AL29" s="88">
        <f>SUM(Jul[[#This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SUM(Jul[[#This Row],[Early]:[Night        ]])+(Jul[[#This Row],[Baseline Assessment Score]]*60)</f>
        <v>0</v>
      </c>
      <c r="AF30" s="19">
        <f>Jul[[#This Row],[Total Mins over 24 hr]]/60</f>
        <v>0</v>
      </c>
      <c r="AG30" s="15">
        <f>SUM(D30,G30,J30,M30,P30,S30,V30,Y30,AB30)+(Jul[[#This Row],[Baseline Assessment Score]]*60/3)</f>
        <v>0</v>
      </c>
      <c r="AH30" s="19">
        <f>SUM(Jul[[#This Row],[Early (08.00 - 14.00) ]]/60)</f>
        <v>0</v>
      </c>
      <c r="AI30" s="15">
        <f>SUM(E30,H30,K30,N30,Q30,T30,W30,Z30,AC30)+(Jul[[#This Row],[Baseline Assessment Score]]*60/3)</f>
        <v>0</v>
      </c>
      <c r="AJ30" s="19">
        <f>SUM(Jul[[#This Row],[Late (14.00 - 20.00) ]]/60)</f>
        <v>0</v>
      </c>
      <c r="AK30" s="15">
        <f>SUM(F30,I30,L30,O30,R30,U30,X30,AA30,AD30)+(Jul[[#This Row],[Baseline Assessment Score]]*60/3)</f>
        <v>0</v>
      </c>
      <c r="AL30" s="88">
        <f>SUM(Jul[[#This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SUM(Jul[[#This Row],[Early]:[Night        ]])+(Jul[[#This Row],[Baseline Assessment Score]]*60)</f>
        <v>0</v>
      </c>
      <c r="AF31" s="19">
        <f>Jul[[#This Row],[Total Mins over 24 hr]]/60</f>
        <v>0</v>
      </c>
      <c r="AG31" s="15">
        <f>SUM(D31,G31,J31,M31,P31,S31,V31,Y31,AB31)+(Jul[[#This Row],[Baseline Assessment Score]]*60/3)</f>
        <v>0</v>
      </c>
      <c r="AH31" s="19">
        <f>SUM(Jul[[#This Row],[Early (08.00 - 14.00) ]]/60)</f>
        <v>0</v>
      </c>
      <c r="AI31" s="15">
        <f>SUM(E31,H31,K31,N31,Q31,T31,W31,Z31,AC31)+(Jul[[#This Row],[Baseline Assessment Score]]*60/3)</f>
        <v>0</v>
      </c>
      <c r="AJ31" s="19">
        <f>SUM(Jul[[#This Row],[Late (14.00 - 20.00) ]]/60)</f>
        <v>0</v>
      </c>
      <c r="AK31" s="15">
        <f>SUM(F31,I31,L31,O31,R31,U31,X31,AA31,AD31)+(Jul[[#This Row],[Baseline Assessment Score]]*60/3)</f>
        <v>0</v>
      </c>
      <c r="AL31" s="88">
        <f>SUM(Jul[[#This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SUM(Jul[[#This Row],[Early]:[Night        ]])+(Jul[[#This Row],[Baseline Assessment Score]]*60)</f>
        <v>0</v>
      </c>
      <c r="AF32" s="19">
        <f>Jul[[#This Row],[Total Mins over 24 hr]]/60</f>
        <v>0</v>
      </c>
      <c r="AG32" s="15">
        <f>SUM(D32,G32,J32,M32,P32,S32,V32,Y32,AB32)+(Jul[[#This Row],[Baseline Assessment Score]]*60/3)</f>
        <v>0</v>
      </c>
      <c r="AH32" s="19">
        <f>SUM(Jul[[#This Row],[Early (08.00 - 14.00) ]]/60)</f>
        <v>0</v>
      </c>
      <c r="AI32" s="15">
        <f>SUM(E32,H32,K32,N32,Q32,T32,W32,Z32,AC32)+(Jul[[#This Row],[Baseline Assessment Score]]*60/3)</f>
        <v>0</v>
      </c>
      <c r="AJ32" s="19">
        <f>SUM(Jul[[#This Row],[Late (14.00 - 20.00) ]]/60)</f>
        <v>0</v>
      </c>
      <c r="AK32" s="15">
        <f>SUM(F32,I32,L32,O32,R32,U32,X32,AA32,AD32)+(Jul[[#This Row],[Baseline Assessment Score]]*60/3)</f>
        <v>0</v>
      </c>
      <c r="AL32" s="88">
        <f>SUM(Jul[[#This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SUM(Jul[[#This Row],[Early]:[Night        ]])+(Jul[[#This Row],[Baseline Assessment Score]]*60)</f>
        <v>0</v>
      </c>
      <c r="AF33" s="19">
        <f>Jul[[#This Row],[Total Mins over 24 hr]]/60</f>
        <v>0</v>
      </c>
      <c r="AG33" s="15">
        <f>SUM(D33,G33,J33,M33,P33,S33,V33,Y33,AB33)+(Jul[[#This Row],[Baseline Assessment Score]]*60/3)</f>
        <v>0</v>
      </c>
      <c r="AH33" s="19">
        <f>SUM(Jul[[#This Row],[Early (08.00 - 14.00) ]]/60)</f>
        <v>0</v>
      </c>
      <c r="AI33" s="15">
        <f>SUM(E33,H33,K33,N33,Q33,T33,W33,Z33,AC33)+(Jul[[#This Row],[Baseline Assessment Score]]*60/3)</f>
        <v>0</v>
      </c>
      <c r="AJ33" s="19">
        <f>SUM(Jul[[#This Row],[Late (14.00 - 20.00) ]]/60)</f>
        <v>0</v>
      </c>
      <c r="AK33" s="15">
        <f>SUM(F33,I33,L33,O33,R33,U33,X33,AA33,AD33)+(Jul[[#This Row],[Baseline Assessment Score]]*60/3)</f>
        <v>0</v>
      </c>
      <c r="AL33" s="88">
        <f>SUM(Jul[[#This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SUM(Jul[[#This Row],[Early]:[Night        ]])+(Jul[[#This Row],[Baseline Assessment Score]]*60)</f>
        <v>0</v>
      </c>
      <c r="AF34" s="19">
        <f>Jul[[#This Row],[Total Mins over 24 hr]]/60</f>
        <v>0</v>
      </c>
      <c r="AG34" s="15">
        <f>SUM(D34,G34,J34,M34,P34,S34,V34,Y34,AB34)+(Jul[[#This Row],[Baseline Assessment Score]]*60/3)</f>
        <v>0</v>
      </c>
      <c r="AH34" s="19">
        <f>SUM(Jul[[#This Row],[Early (08.00 - 14.00) ]]/60)</f>
        <v>0</v>
      </c>
      <c r="AI34" s="15">
        <f>SUM(E34,H34,K34,N34,Q34,T34,W34,Z34,AC34)+(Jul[[#This Row],[Baseline Assessment Score]]*60/3)</f>
        <v>0</v>
      </c>
      <c r="AJ34" s="19">
        <f>SUM(Jul[[#This Row],[Late (14.00 - 20.00) ]]/60)</f>
        <v>0</v>
      </c>
      <c r="AK34" s="15">
        <f>SUM(F34,I34,L34,O34,R34,U34,X34,AA34,AD34)+(Jul[[#This Row],[Baseline Assessment Score]]*60/3)</f>
        <v>0</v>
      </c>
      <c r="AL34" s="88">
        <f>SUM(Jul[[#This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SUM(Jul[[#This Row],[Early]:[Night        ]])+(Jul[[#This Row],[Baseline Assessment Score]]*60)</f>
        <v>0</v>
      </c>
      <c r="AF35" s="19">
        <f>Jul[[#This Row],[Total Mins over 24 hr]]/60</f>
        <v>0</v>
      </c>
      <c r="AG35" s="15">
        <f>SUM(D35,G35,J35,M35,P35,S35,V35,Y35,AB35)+(Jul[[#This Row],[Baseline Assessment Score]]*60/3)</f>
        <v>0</v>
      </c>
      <c r="AH35" s="19">
        <f>SUM(Jul[[#This Row],[Early (08.00 - 14.00) ]]/60)</f>
        <v>0</v>
      </c>
      <c r="AI35" s="15">
        <f>SUM(E35,H35,K35,N35,Q35,T35,W35,Z35,AC35)+(Jul[[#This Row],[Baseline Assessment Score]]*60/3)</f>
        <v>0</v>
      </c>
      <c r="AJ35" s="19">
        <f>SUM(Jul[[#This Row],[Late (14.00 - 20.00) ]]/60)</f>
        <v>0</v>
      </c>
      <c r="AK35" s="15">
        <f>SUM(F35,I35,L35,O35,R35,U35,X35,AA35,AD35)+(Jul[[#This Row],[Baseline Assessment Score]]*60/3)</f>
        <v>0</v>
      </c>
      <c r="AL35" s="88">
        <f>SUM(Jul[[#This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SUM(Jul[[#This Row],[Early]:[Night        ]])+(Jul[[#This Row],[Baseline Assessment Score]]*60)</f>
        <v>0</v>
      </c>
      <c r="AF36" s="20">
        <f>Jul[[#This Row],[Total Mins over 24 hr]]/60</f>
        <v>0</v>
      </c>
      <c r="AG36" s="18">
        <f>SUM(D36,G36,J36,M36,P36,S36,V36,Y36,AB36)+(Jul[[#This Row],[Baseline Assessment Score]]*60/3)</f>
        <v>0</v>
      </c>
      <c r="AH36" s="20">
        <f>SUM(Jul[[#This Row],[Early (08.00 - 14.00) ]]/60)</f>
        <v>0</v>
      </c>
      <c r="AI36" s="18">
        <f>SUM(E36,H36,K36,N36,Q36,T36,W36,Z36,AC36)+(Jul[[#This Row],[Baseline Assessment Score]]*60/3)</f>
        <v>0</v>
      </c>
      <c r="AJ36" s="20">
        <f>SUM(Jul[[#This Row],[Late (14.00 - 20.00) ]]/60)</f>
        <v>0</v>
      </c>
      <c r="AK36" s="18">
        <f>SUM(F36,I36,L36,O36,R36,U36,X36,AA36,AD36)+(Jul[[#This Row],[Baseline Assessment Score]]*60/3)</f>
        <v>0</v>
      </c>
      <c r="AL36" s="91">
        <f>SUM(Jul[[#This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190" t="s">
        <v>51</v>
      </c>
      <c r="W37" s="191"/>
      <c r="X37" s="191"/>
      <c r="Y37" s="191"/>
      <c r="Z37" s="191"/>
      <c r="AA37" s="191"/>
      <c r="AB37" s="191"/>
      <c r="AC37" s="191"/>
      <c r="AD37" s="191"/>
      <c r="AE37" s="221">
        <f>SUM(Jul[Actual contact time (hours)])</f>
        <v>0</v>
      </c>
      <c r="AF37" s="221"/>
      <c r="AG37" s="221">
        <f>SUM(Jul[Contact time per shift])</f>
        <v>0</v>
      </c>
      <c r="AH37" s="222"/>
      <c r="AI37" s="221">
        <f>SUM(Jul[[Contact time per shift ]])</f>
        <v>0</v>
      </c>
      <c r="AJ37" s="222"/>
      <c r="AK37" s="221">
        <f>SUM(Jul[[Contact time per shift  ]])</f>
        <v>0</v>
      </c>
      <c r="AL37" s="223"/>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COUNTIF(Jul[Adults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43" priority="2" operator="greaterThan">
      <formula>$AL$7</formula>
    </cfRule>
    <cfRule type="cellIs" dxfId="42" priority="3" operator="between">
      <formula>$AJ$7</formula>
      <formula>$AL$7</formula>
    </cfRule>
    <cfRule type="cellIs" dxfId="41" priority="4" operator="between">
      <formula>$AJ$6</formula>
      <formula>$AL$6</formula>
    </cfRule>
    <cfRule type="cellIs" dxfId="40" priority="5" operator="between">
      <formula>$AJ$5</formula>
      <formula>$AL$5</formula>
    </cfRule>
  </conditionalFormatting>
  <dataValidations count="1">
    <dataValidation type="list" allowBlank="1" showInputMessage="1" showErrorMessage="1" sqref="C13:C36" xr:uid="{2E391EA7-6152-4DB5-9DDD-78ABA65C910F}">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F878F7BC-4153-4EFC-856B-50DA0879C93B}">
            <xm:f>NOT(ISERROR(SEARCH($R$8,C13)))</xm:f>
            <xm:f>$R$8</xm:f>
            <x14:dxf>
              <fill>
                <patternFill>
                  <bgColor rgb="FFFF9999"/>
                </patternFill>
              </fill>
            </x14:dxf>
          </x14:cfRule>
          <x14:cfRule type="containsText" priority="7" operator="containsText" id="{AAC0C24B-AD68-490D-9E4A-FEEE28A092BC}">
            <xm:f>NOT(ISERROR(SEARCH($R$7,C13)))</xm:f>
            <xm:f>$R$7</xm:f>
            <x14:dxf>
              <fill>
                <patternFill>
                  <bgColor theme="5" tint="0.59996337778862885"/>
                </patternFill>
              </fill>
            </x14:dxf>
          </x14:cfRule>
          <x14:cfRule type="containsText" priority="8" operator="containsText" id="{52D59E27-4EBE-4871-9B44-8013FA888F4F}">
            <xm:f>NOT(ISERROR(SEARCH($R$6,C13)))</xm:f>
            <xm:f>$R$6</xm:f>
            <x14:dxf>
              <fill>
                <patternFill>
                  <bgColor theme="9" tint="0.59996337778862885"/>
                </patternFill>
              </fill>
            </x14:dxf>
          </x14:cfRule>
          <x14:cfRule type="containsText" priority="9" operator="containsText" id="{A5216AFA-6394-4F8A-ABD7-B05A86072832}">
            <xm:f>NOT(ISERROR(SEARCH($R$5,C13)))</xm:f>
            <xm:f>$R$5</xm:f>
            <x14:dxf>
              <fill>
                <patternFill>
                  <bgColor theme="8" tint="0.79998168889431442"/>
                </patternFill>
              </fill>
            </x14:dxf>
          </x14:cfRule>
          <xm:sqref>C13:C36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DE54-A48D-4C83-9C57-8C2E1349EFC1}">
  <sheetPr>
    <tabColor theme="5" tint="0.39997558519241921"/>
  </sheetPr>
  <dimension ref="B2:AL58"/>
  <sheetViews>
    <sheetView zoomScale="80" zoomScaleNormal="80" workbookViewId="0">
      <selection activeCell="J29" sqref="J28:J29"/>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92" t="s">
        <v>1</v>
      </c>
      <c r="C5" s="255"/>
      <c r="D5" s="256"/>
      <c r="E5" s="256"/>
      <c r="F5" s="256"/>
      <c r="G5" s="256"/>
      <c r="H5" s="256"/>
      <c r="I5" s="257"/>
      <c r="R5" s="46">
        <v>1</v>
      </c>
      <c r="S5" s="271" t="s">
        <v>116</v>
      </c>
      <c r="T5" s="272"/>
      <c r="U5" s="273"/>
      <c r="V5" s="46">
        <f>COUNTIF(Aug[Baseline Assessment Score],1)</f>
        <v>0</v>
      </c>
      <c r="AE5" s="250" t="s">
        <v>119</v>
      </c>
      <c r="AF5" s="251"/>
      <c r="AG5" s="252"/>
      <c r="AH5" s="253" t="s">
        <v>66</v>
      </c>
      <c r="AI5" s="254"/>
      <c r="AJ5" s="51">
        <v>0</v>
      </c>
      <c r="AK5" s="11" t="s">
        <v>120</v>
      </c>
      <c r="AL5" s="52">
        <v>5</v>
      </c>
    </row>
    <row r="6" spans="2:38" ht="15.75" thickBot="1" x14ac:dyDescent="0.25">
      <c r="B6" s="93" t="s">
        <v>2</v>
      </c>
      <c r="C6" s="258" t="s">
        <v>130</v>
      </c>
      <c r="D6" s="259"/>
      <c r="E6" s="260"/>
      <c r="F6" s="94" t="s">
        <v>0</v>
      </c>
      <c r="G6" s="246"/>
      <c r="H6" s="247"/>
      <c r="I6" s="248"/>
      <c r="R6" s="47">
        <v>2</v>
      </c>
      <c r="S6" s="268" t="s">
        <v>66</v>
      </c>
      <c r="T6" s="269"/>
      <c r="U6" s="270"/>
      <c r="V6" s="47">
        <f>COUNTIF(Aug[Baseline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COUNTIF(Aug[Baseline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COUNTIF(Aug[Baseline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282" t="s">
        <v>40</v>
      </c>
      <c r="E11" s="283"/>
      <c r="F11" s="284"/>
      <c r="G11" s="274" t="s">
        <v>41</v>
      </c>
      <c r="H11" s="275"/>
      <c r="I11" s="276"/>
      <c r="J11" s="277" t="s">
        <v>42</v>
      </c>
      <c r="K11" s="278"/>
      <c r="L11" s="279"/>
      <c r="M11" s="274" t="s">
        <v>47</v>
      </c>
      <c r="N11" s="275"/>
      <c r="O11" s="276"/>
      <c r="P11" s="277" t="s">
        <v>43</v>
      </c>
      <c r="Q11" s="278"/>
      <c r="R11" s="279"/>
      <c r="S11" s="274" t="s">
        <v>44</v>
      </c>
      <c r="T11" s="275"/>
      <c r="U11" s="276"/>
      <c r="V11" s="277" t="s">
        <v>95</v>
      </c>
      <c r="W11" s="278"/>
      <c r="X11" s="279"/>
      <c r="Y11" s="274" t="s">
        <v>45</v>
      </c>
      <c r="Z11" s="275"/>
      <c r="AA11" s="276"/>
      <c r="AB11" s="277" t="s">
        <v>46</v>
      </c>
      <c r="AC11" s="278"/>
      <c r="AD11" s="279"/>
    </row>
    <row r="12" spans="2:38" ht="55.5" thickBot="1" x14ac:dyDescent="0.25">
      <c r="B12" s="68" t="s">
        <v>3</v>
      </c>
      <c r="C12" s="77" t="s">
        <v>39</v>
      </c>
      <c r="D12" s="96" t="s">
        <v>4</v>
      </c>
      <c r="E12" s="95" t="s">
        <v>5</v>
      </c>
      <c r="F12" s="97" t="s">
        <v>6</v>
      </c>
      <c r="G12" s="81" t="s">
        <v>13</v>
      </c>
      <c r="H12" s="81" t="s">
        <v>14</v>
      </c>
      <c r="I12" s="32" t="s">
        <v>15</v>
      </c>
      <c r="J12" s="95" t="s">
        <v>16</v>
      </c>
      <c r="K12" s="95" t="s">
        <v>17</v>
      </c>
      <c r="L12" s="97" t="s">
        <v>18</v>
      </c>
      <c r="M12" s="81" t="s">
        <v>19</v>
      </c>
      <c r="N12" s="81" t="s">
        <v>20</v>
      </c>
      <c r="O12" s="32" t="s">
        <v>21</v>
      </c>
      <c r="P12" s="95" t="s">
        <v>22</v>
      </c>
      <c r="Q12" s="95" t="s">
        <v>23</v>
      </c>
      <c r="R12" s="97" t="s">
        <v>24</v>
      </c>
      <c r="S12" s="81" t="s">
        <v>25</v>
      </c>
      <c r="T12" s="81" t="s">
        <v>26</v>
      </c>
      <c r="U12" s="32" t="s">
        <v>27</v>
      </c>
      <c r="V12" s="95" t="s">
        <v>28</v>
      </c>
      <c r="W12" s="95" t="s">
        <v>29</v>
      </c>
      <c r="X12" s="97" t="s">
        <v>30</v>
      </c>
      <c r="Y12" s="81" t="s">
        <v>32</v>
      </c>
      <c r="Z12" s="81" t="s">
        <v>33</v>
      </c>
      <c r="AA12" s="32" t="s">
        <v>34</v>
      </c>
      <c r="AB12" s="95" t="s">
        <v>31</v>
      </c>
      <c r="AC12" s="95" t="s">
        <v>35</v>
      </c>
      <c r="AD12" s="97" t="s">
        <v>36</v>
      </c>
      <c r="AE12" s="98" t="s">
        <v>7</v>
      </c>
      <c r="AF12" s="97" t="s">
        <v>8</v>
      </c>
      <c r="AG12" s="83" t="s">
        <v>9</v>
      </c>
      <c r="AH12" s="32" t="s">
        <v>12</v>
      </c>
      <c r="AI12" s="98" t="s">
        <v>11</v>
      </c>
      <c r="AJ12" s="97" t="s">
        <v>10</v>
      </c>
      <c r="AK12" s="83" t="s">
        <v>37</v>
      </c>
      <c r="AL12" s="8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SUM(Aug[[#This Row],[Early]:[Night        ]])+(Aug[[#This Row],[Baseline Assessment Score]]*60)</f>
        <v>0</v>
      </c>
      <c r="AF13" s="16">
        <f>Aug[[#This Row],[Total Mins over 24 hr]]/60</f>
        <v>0</v>
      </c>
      <c r="AG13" s="13">
        <f>SUM(D13,G13,J13,M13,P13,S13,V13,Y13,AB13)+(Aug[[#This Row],[Baseline Assessment Score]]*60/3)</f>
        <v>0</v>
      </c>
      <c r="AH13" s="16">
        <f>SUM(Aug[[#This Row],[Early (08.00 - 14.00) ]]/60)</f>
        <v>0</v>
      </c>
      <c r="AI13" s="13">
        <f>SUM(E13,H13,K13,N13,Q13,T13,W13,Z13,AC13)+(Aug[[#This Row],[Baseline Assessment Score]]*60/3)</f>
        <v>0</v>
      </c>
      <c r="AJ13" s="16">
        <f>SUM(Aug[[#This Row],[Late (14.00 - 20.00) ]]/60)</f>
        <v>0</v>
      </c>
      <c r="AK13" s="13">
        <f>SUM(F13,I13,L13,O13,R13,U13,X13,AA13,AD13)+(Aug[[#This Row],[Baseline Assessment Score]]*60/3)</f>
        <v>0</v>
      </c>
      <c r="AL13" s="86">
        <f>SUM(Aug[[#This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SUM(Aug[[#This Row],[Early]:[Night        ]])+(Aug[[#This Row],[Baseline Assessment Score]]*60)</f>
        <v>0</v>
      </c>
      <c r="AF14" s="19">
        <f>Aug[[#This Row],[Total Mins over 24 hr]]/60</f>
        <v>0</v>
      </c>
      <c r="AG14" s="15">
        <f>SUM(D14,G14,J14,M14,P14,S14,V14,Y14,AB14)+(Aug[[#This Row],[Baseline Assessment Score]]*60/3)</f>
        <v>0</v>
      </c>
      <c r="AH14" s="19">
        <f>SUM(Aug[[#This Row],[Early (08.00 - 14.00) ]]/60)</f>
        <v>0</v>
      </c>
      <c r="AI14" s="15">
        <f>SUM(E14,H14,K14,N14,Q14,T14,W14,Z14,AC14)+(Aug[[#This Row],[Baseline Assessment Score]]*60/3)</f>
        <v>0</v>
      </c>
      <c r="AJ14" s="19">
        <f>SUM(Aug[[#This Row],[Late (14.00 - 20.00) ]]/60)</f>
        <v>0</v>
      </c>
      <c r="AK14" s="15">
        <f>SUM(F14,I14,L14,O14,R14,U14,X14,AA14,AD14)+(Aug[[#This Row],[Baseline Assessment Score]]*60/3)</f>
        <v>0</v>
      </c>
      <c r="AL14" s="88">
        <f>SUM(Aug[[#This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SUM(Aug[[#This Row],[Early]:[Night        ]])+(Aug[[#This Row],[Baseline Assessment Score]]*60)</f>
        <v>0</v>
      </c>
      <c r="AF15" s="19">
        <f>Aug[[#This Row],[Total Mins over 24 hr]]/60</f>
        <v>0</v>
      </c>
      <c r="AG15" s="15">
        <f>SUM(D15,G15,J15,M15,P15,S15,V15,Y15,AB15)+(Aug[[#This Row],[Baseline Assessment Score]]*60/3)</f>
        <v>0</v>
      </c>
      <c r="AH15" s="19">
        <f>SUM(Aug[[#This Row],[Early (08.00 - 14.00) ]]/60)</f>
        <v>0</v>
      </c>
      <c r="AI15" s="15">
        <f>SUM(E15,H15,K15,N15,Q15,T15,W15,Z15,AC15)+(Aug[[#This Row],[Baseline Assessment Score]]*60/3)</f>
        <v>0</v>
      </c>
      <c r="AJ15" s="19">
        <f>SUM(Aug[[#This Row],[Late (14.00 - 20.00) ]]/60)</f>
        <v>0</v>
      </c>
      <c r="AK15" s="15">
        <f>SUM(F15,I15,L15,O15,R15,U15,X15,AA15,AD15)+(Aug[[#This Row],[Baseline Assessment Score]]*60/3)</f>
        <v>0</v>
      </c>
      <c r="AL15" s="88">
        <f>SUM(Aug[[#This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SUM(Aug[[#This Row],[Early]:[Night        ]])+(Aug[[#This Row],[Baseline Assessment Score]]*60)</f>
        <v>0</v>
      </c>
      <c r="AF16" s="19">
        <f>Aug[[#This Row],[Total Mins over 24 hr]]/60</f>
        <v>0</v>
      </c>
      <c r="AG16" s="15">
        <f>SUM(D16,G16,J16,M16,P16,S16,V16,Y16,AB16)+(Aug[[#This Row],[Baseline Assessment Score]]*60/3)</f>
        <v>0</v>
      </c>
      <c r="AH16" s="19">
        <f>SUM(Aug[[#This Row],[Early (08.00 - 14.00) ]]/60)</f>
        <v>0</v>
      </c>
      <c r="AI16" s="15">
        <f>SUM(E16,H16,K16,N16,Q16,T16,W16,Z16,AC16)+(Aug[[#This Row],[Baseline Assessment Score]]*60/3)</f>
        <v>0</v>
      </c>
      <c r="AJ16" s="19">
        <f>SUM(Aug[[#This Row],[Late (14.00 - 20.00) ]]/60)</f>
        <v>0</v>
      </c>
      <c r="AK16" s="15">
        <f>SUM(F16,I16,L16,O16,R16,U16,X16,AA16,AD16)+(Aug[[#This Row],[Baseline Assessment Score]]*60/3)</f>
        <v>0</v>
      </c>
      <c r="AL16" s="88">
        <f>SUM(Aug[[#This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SUM(Aug[[#This Row],[Early]:[Night        ]])+(Aug[[#This Row],[Baseline Assessment Score]]*60)</f>
        <v>0</v>
      </c>
      <c r="AF17" s="19">
        <f>Aug[[#This Row],[Total Mins over 24 hr]]/60</f>
        <v>0</v>
      </c>
      <c r="AG17" s="15">
        <f>SUM(D17,G17,J17,M17,P17,S17,V17,Y17,AB17)+(Aug[[#This Row],[Baseline Assessment Score]]*60/3)</f>
        <v>0</v>
      </c>
      <c r="AH17" s="19">
        <f>SUM(Aug[[#This Row],[Early (08.00 - 14.00) ]]/60)</f>
        <v>0</v>
      </c>
      <c r="AI17" s="15">
        <f>SUM(E17,H17,K17,N17,Q17,T17,W17,Z17,AC17)+(Aug[[#This Row],[Baseline Assessment Score]]*60/3)</f>
        <v>0</v>
      </c>
      <c r="AJ17" s="19">
        <f>SUM(Aug[[#This Row],[Late (14.00 - 20.00) ]]/60)</f>
        <v>0</v>
      </c>
      <c r="AK17" s="15">
        <f>SUM(F17,I17,L17,O17,R17,U17,X17,AA17,AD17)+(Aug[[#This Row],[Baseline Assessment Score]]*60/3)</f>
        <v>0</v>
      </c>
      <c r="AL17" s="88">
        <f>SUM(Aug[[#This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SUM(Aug[[#This Row],[Early]:[Night        ]])+(Aug[[#This Row],[Baseline Assessment Score]]*60)</f>
        <v>0</v>
      </c>
      <c r="AF18" s="19">
        <f>Aug[[#This Row],[Total Mins over 24 hr]]/60</f>
        <v>0</v>
      </c>
      <c r="AG18" s="15">
        <f>SUM(D18,G18,J18,M18,P18,S18,V18,Y18,AB18)+(Aug[[#This Row],[Baseline Assessment Score]]*60/3)</f>
        <v>0</v>
      </c>
      <c r="AH18" s="19">
        <f>SUM(Aug[[#This Row],[Early (08.00 - 14.00) ]]/60)</f>
        <v>0</v>
      </c>
      <c r="AI18" s="15">
        <f>SUM(E18,H18,K18,N18,Q18,T18,W18,Z18,AC18)+(Aug[[#This Row],[Baseline Assessment Score]]*60/3)</f>
        <v>0</v>
      </c>
      <c r="AJ18" s="19">
        <f>SUM(Aug[[#This Row],[Late (14.00 - 20.00) ]]/60)</f>
        <v>0</v>
      </c>
      <c r="AK18" s="15">
        <f>SUM(F18,I18,L18,O18,R18,U18,X18,AA18,AD18)+(Aug[[#This Row],[Baseline Assessment Score]]*60/3)</f>
        <v>0</v>
      </c>
      <c r="AL18" s="88">
        <f>SUM(Aug[[#This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SUM(Aug[[#This Row],[Early]:[Night        ]])+(Aug[[#This Row],[Baseline Assessment Score]]*60)</f>
        <v>0</v>
      </c>
      <c r="AF19" s="19">
        <f>Aug[[#This Row],[Total Mins over 24 hr]]/60</f>
        <v>0</v>
      </c>
      <c r="AG19" s="15">
        <f>SUM(D19,G19,J19,M19,P19,S19,V19,Y19,AB19)+(Aug[[#This Row],[Baseline Assessment Score]]*60/3)</f>
        <v>0</v>
      </c>
      <c r="AH19" s="19">
        <f>SUM(Aug[[#This Row],[Early (08.00 - 14.00) ]]/60)</f>
        <v>0</v>
      </c>
      <c r="AI19" s="15">
        <f>SUM(E19,H19,K19,N19,Q19,T19,W19,Z19,AC19)+(Aug[[#This Row],[Baseline Assessment Score]]*60/3)</f>
        <v>0</v>
      </c>
      <c r="AJ19" s="19">
        <f>SUM(Aug[[#This Row],[Late (14.00 - 20.00) ]]/60)</f>
        <v>0</v>
      </c>
      <c r="AK19" s="15">
        <f>SUM(F19,I19,L19,O19,R19,U19,X19,AA19,AD19)+(Aug[[#This Row],[Baseline Assessment Score]]*60/3)</f>
        <v>0</v>
      </c>
      <c r="AL19" s="88">
        <f>SUM(Aug[[#This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SUM(Aug[[#This Row],[Early]:[Night        ]])+(Aug[[#This Row],[Baseline Assessment Score]]*60)</f>
        <v>0</v>
      </c>
      <c r="AF20" s="19">
        <f>Aug[[#This Row],[Total Mins over 24 hr]]/60</f>
        <v>0</v>
      </c>
      <c r="AG20" s="15">
        <f>SUM(D20,G20,J20,M20,P20,S20,V20,Y20,AB20)+(Aug[[#This Row],[Baseline Assessment Score]]*60/3)</f>
        <v>0</v>
      </c>
      <c r="AH20" s="19">
        <f>SUM(Aug[[#This Row],[Early (08.00 - 14.00) ]]/60)</f>
        <v>0</v>
      </c>
      <c r="AI20" s="15">
        <f>SUM(E20,H20,K20,N20,Q20,T20,W20,Z20,AC20)+(Aug[[#This Row],[Baseline Assessment Score]]*60/3)</f>
        <v>0</v>
      </c>
      <c r="AJ20" s="19">
        <f>SUM(Aug[[#This Row],[Late (14.00 - 20.00) ]]/60)</f>
        <v>0</v>
      </c>
      <c r="AK20" s="15">
        <f>SUM(F20,I20,L20,O20,R20,U20,X20,AA20,AD20)+(Aug[[#This Row],[Baseline Assessment Score]]*60/3)</f>
        <v>0</v>
      </c>
      <c r="AL20" s="88">
        <f>SUM(Aug[[#This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SUM(Aug[[#This Row],[Early]:[Night        ]])+(Aug[[#This Row],[Baseline Assessment Score]]*60)</f>
        <v>0</v>
      </c>
      <c r="AF21" s="19">
        <f>Aug[[#This Row],[Total Mins over 24 hr]]/60</f>
        <v>0</v>
      </c>
      <c r="AG21" s="15">
        <f>SUM(D21,G21,J21,M21,P21,S21,V21,Y21,AB21)+(Aug[[#This Row],[Baseline Assessment Score]]*60/3)</f>
        <v>0</v>
      </c>
      <c r="AH21" s="19">
        <f>SUM(Aug[[#This Row],[Early (08.00 - 14.00) ]]/60)</f>
        <v>0</v>
      </c>
      <c r="AI21" s="15">
        <f>SUM(E21,H21,K21,N21,Q21,T21,W21,Z21,AC21)+(Aug[[#This Row],[Baseline Assessment Score]]*60/3)</f>
        <v>0</v>
      </c>
      <c r="AJ21" s="19">
        <f>SUM(Aug[[#This Row],[Late (14.00 - 20.00) ]]/60)</f>
        <v>0</v>
      </c>
      <c r="AK21" s="15">
        <f>SUM(F21,I21,L21,O21,R21,U21,X21,AA21,AD21)+(Aug[[#This Row],[Baseline Assessment Score]]*60/3)</f>
        <v>0</v>
      </c>
      <c r="AL21" s="88">
        <f>SUM(Aug[[#This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SUM(Aug[[#This Row],[Early]:[Night        ]])+(Aug[[#This Row],[Baseline Assessment Score]]*60)</f>
        <v>0</v>
      </c>
      <c r="AF22" s="19">
        <f>Aug[[#This Row],[Total Mins over 24 hr]]/60</f>
        <v>0</v>
      </c>
      <c r="AG22" s="15">
        <f>SUM(D22,G22,J22,M22,P22,S22,V22,Y22,AB22)+(Aug[[#This Row],[Baseline Assessment Score]]*60/3)</f>
        <v>0</v>
      </c>
      <c r="AH22" s="19">
        <f>SUM(Aug[[#This Row],[Early (08.00 - 14.00) ]]/60)</f>
        <v>0</v>
      </c>
      <c r="AI22" s="15">
        <f>SUM(E22,H22,K22,N22,Q22,T22,W22,Z22,AC22)+(Aug[[#This Row],[Baseline Assessment Score]]*60/3)</f>
        <v>0</v>
      </c>
      <c r="AJ22" s="19">
        <f>SUM(Aug[[#This Row],[Late (14.00 - 20.00) ]]/60)</f>
        <v>0</v>
      </c>
      <c r="AK22" s="15">
        <f>SUM(F22,I22,L22,O22,R22,U22,X22,AA22,AD22)+(Aug[[#This Row],[Baseline Assessment Score]]*60/3)</f>
        <v>0</v>
      </c>
      <c r="AL22" s="88">
        <f>SUM(Aug[[#This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SUM(Aug[[#This Row],[Early]:[Night        ]])+(Aug[[#This Row],[Baseline Assessment Score]]*60)</f>
        <v>0</v>
      </c>
      <c r="AF23" s="19">
        <f>Aug[[#This Row],[Total Mins over 24 hr]]/60</f>
        <v>0</v>
      </c>
      <c r="AG23" s="15">
        <f>SUM(D23,G23,J23,M23,P23,S23,V23,Y23,AB23)+(Aug[[#This Row],[Baseline Assessment Score]]*60/3)</f>
        <v>0</v>
      </c>
      <c r="AH23" s="19">
        <f>SUM(Aug[[#This Row],[Early (08.00 - 14.00) ]]/60)</f>
        <v>0</v>
      </c>
      <c r="AI23" s="15">
        <f>SUM(E23,H23,K23,N23,Q23,T23,W23,Z23,AC23)+(Aug[[#This Row],[Baseline Assessment Score]]*60/3)</f>
        <v>0</v>
      </c>
      <c r="AJ23" s="19">
        <f>SUM(Aug[[#This Row],[Late (14.00 - 20.00) ]]/60)</f>
        <v>0</v>
      </c>
      <c r="AK23" s="15">
        <f>SUM(F23,I23,L23,O23,R23,U23,X23,AA23,AD23)+(Aug[[#This Row],[Baseline Assessment Score]]*60/3)</f>
        <v>0</v>
      </c>
      <c r="AL23" s="88">
        <f>SUM(Aug[[#This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SUM(Aug[[#This Row],[Early]:[Night        ]])+(Aug[[#This Row],[Baseline Assessment Score]]*60)</f>
        <v>0</v>
      </c>
      <c r="AF24" s="19">
        <f>Aug[[#This Row],[Total Mins over 24 hr]]/60</f>
        <v>0</v>
      </c>
      <c r="AG24" s="15">
        <f>SUM(D24,G24,J24,M24,P24,S24,V24,Y24,AB24)+(Aug[[#This Row],[Baseline Assessment Score]]*60/3)</f>
        <v>0</v>
      </c>
      <c r="AH24" s="19">
        <f>SUM(Aug[[#This Row],[Early (08.00 - 14.00) ]]/60)</f>
        <v>0</v>
      </c>
      <c r="AI24" s="15">
        <f>SUM(E24,H24,K24,N24,Q24,T24,W24,Z24,AC24)+(Aug[[#This Row],[Baseline Assessment Score]]*60/3)</f>
        <v>0</v>
      </c>
      <c r="AJ24" s="19">
        <f>SUM(Aug[[#This Row],[Late (14.00 - 20.00) ]]/60)</f>
        <v>0</v>
      </c>
      <c r="AK24" s="15">
        <f>SUM(F24,I24,L24,O24,R24,U24,X24,AA24,AD24)+(Aug[[#This Row],[Baseline Assessment Score]]*60/3)</f>
        <v>0</v>
      </c>
      <c r="AL24" s="88">
        <f>SUM(Aug[[#This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SUM(Aug[[#This Row],[Early]:[Night        ]])+(Aug[[#This Row],[Baseline Assessment Score]]*60)</f>
        <v>0</v>
      </c>
      <c r="AF25" s="19">
        <f>Aug[[#This Row],[Total Mins over 24 hr]]/60</f>
        <v>0</v>
      </c>
      <c r="AG25" s="15">
        <f>SUM(D25,G25,J25,M25,P25,S25,V25,Y25,AB25)+(Aug[[#This Row],[Baseline Assessment Score]]*60/3)</f>
        <v>0</v>
      </c>
      <c r="AH25" s="19">
        <f>SUM(Aug[[#This Row],[Early (08.00 - 14.00) ]]/60)</f>
        <v>0</v>
      </c>
      <c r="AI25" s="15">
        <f>SUM(E25,H25,K25,N25,Q25,T25,W25,Z25,AC25)+(Aug[[#This Row],[Baseline Assessment Score]]*60/3)</f>
        <v>0</v>
      </c>
      <c r="AJ25" s="19">
        <f>SUM(Aug[[#This Row],[Late (14.00 - 20.00) ]]/60)</f>
        <v>0</v>
      </c>
      <c r="AK25" s="15">
        <f>SUM(F25,I25,L25,O25,R25,U25,X25,AA25,AD25)+(Aug[[#This Row],[Baseline Assessment Score]]*60/3)</f>
        <v>0</v>
      </c>
      <c r="AL25" s="88">
        <f>SUM(Aug[[#This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SUM(Aug[[#This Row],[Early]:[Night        ]])+(Aug[[#This Row],[Baseline Assessment Score]]*60)</f>
        <v>0</v>
      </c>
      <c r="AF26" s="19">
        <f>Aug[[#This Row],[Total Mins over 24 hr]]/60</f>
        <v>0</v>
      </c>
      <c r="AG26" s="15">
        <f>SUM(D26,G26,J26,M26,P26,S26,V26,Y26,AB26)+(Aug[[#This Row],[Baseline Assessment Score]]*60/3)</f>
        <v>0</v>
      </c>
      <c r="AH26" s="19">
        <f>SUM(Aug[[#This Row],[Early (08.00 - 14.00) ]]/60)</f>
        <v>0</v>
      </c>
      <c r="AI26" s="15">
        <f>SUM(E26,H26,K26,N26,Q26,T26,W26,Z26,AC26)+(Aug[[#This Row],[Baseline Assessment Score]]*60/3)</f>
        <v>0</v>
      </c>
      <c r="AJ26" s="19">
        <f>SUM(Aug[[#This Row],[Late (14.00 - 20.00) ]]/60)</f>
        <v>0</v>
      </c>
      <c r="AK26" s="15">
        <f>SUM(F26,I26,L26,O26,R26,U26,X26,AA26,AD26)+(Aug[[#This Row],[Baseline Assessment Score]]*60/3)</f>
        <v>0</v>
      </c>
      <c r="AL26" s="88">
        <f>SUM(Aug[[#This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SUM(Aug[[#This Row],[Early]:[Night        ]])+(Aug[[#This Row],[Baseline Assessment Score]]*60)</f>
        <v>0</v>
      </c>
      <c r="AF27" s="19">
        <f>Aug[[#This Row],[Total Mins over 24 hr]]/60</f>
        <v>0</v>
      </c>
      <c r="AG27" s="15">
        <f>SUM(D27,G27,J27,M27,P27,S27,V27,Y27,AB27)+(Aug[[#This Row],[Baseline Assessment Score]]*60/3)</f>
        <v>0</v>
      </c>
      <c r="AH27" s="19">
        <f>SUM(Aug[[#This Row],[Early (08.00 - 14.00) ]]/60)</f>
        <v>0</v>
      </c>
      <c r="AI27" s="15">
        <f>SUM(E27,H27,K27,N27,Q27,T27,W27,Z27,AC27)+(Aug[[#This Row],[Baseline Assessment Score]]*60/3)</f>
        <v>0</v>
      </c>
      <c r="AJ27" s="19">
        <f>SUM(Aug[[#This Row],[Late (14.00 - 20.00) ]]/60)</f>
        <v>0</v>
      </c>
      <c r="AK27" s="15">
        <f>SUM(F27,I27,L27,O27,R27,U27,X27,AA27,AD27)+(Aug[[#This Row],[Baseline Assessment Score]]*60/3)</f>
        <v>0</v>
      </c>
      <c r="AL27" s="88">
        <f>SUM(Aug[[#This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SUM(Aug[[#This Row],[Early]:[Night        ]])+(Aug[[#This Row],[Baseline Assessment Score]]*60)</f>
        <v>0</v>
      </c>
      <c r="AF28" s="19">
        <f>Aug[[#This Row],[Total Mins over 24 hr]]/60</f>
        <v>0</v>
      </c>
      <c r="AG28" s="15">
        <f>SUM(D28,G28,J28,M28,P28,S28,V28,Y28,AB28)+(Aug[[#This Row],[Baseline Assessment Score]]*60/3)</f>
        <v>0</v>
      </c>
      <c r="AH28" s="19">
        <f>SUM(Aug[[#This Row],[Early (08.00 - 14.00) ]]/60)</f>
        <v>0</v>
      </c>
      <c r="AI28" s="15">
        <f>SUM(E28,H28,K28,N28,Q28,T28,W28,Z28,AC28)+(Aug[[#This Row],[Baseline Assessment Score]]*60/3)</f>
        <v>0</v>
      </c>
      <c r="AJ28" s="19">
        <f>SUM(Aug[[#This Row],[Late (14.00 - 20.00) ]]/60)</f>
        <v>0</v>
      </c>
      <c r="AK28" s="15">
        <f>SUM(F28,I28,L28,O28,R28,U28,X28,AA28,AD28)+(Aug[[#This Row],[Baseline Assessment Score]]*60/3)</f>
        <v>0</v>
      </c>
      <c r="AL28" s="88">
        <f>SUM(Aug[[#This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SUM(Aug[[#This Row],[Early]:[Night        ]])+(Aug[[#This Row],[Baseline Assessment Score]]*60)</f>
        <v>0</v>
      </c>
      <c r="AF29" s="19">
        <f>Aug[[#This Row],[Total Mins over 24 hr]]/60</f>
        <v>0</v>
      </c>
      <c r="AG29" s="15">
        <f>SUM(D29,G29,J29,M29,P29,S29,V29,Y29,AB29)+(Aug[[#This Row],[Baseline Assessment Score]]*60/3)</f>
        <v>0</v>
      </c>
      <c r="AH29" s="19">
        <f>SUM(Aug[[#This Row],[Early (08.00 - 14.00) ]]/60)</f>
        <v>0</v>
      </c>
      <c r="AI29" s="15">
        <f>SUM(E29,H29,K29,N29,Q29,T29,W29,Z29,AC29)+(Aug[[#This Row],[Baseline Assessment Score]]*60/3)</f>
        <v>0</v>
      </c>
      <c r="AJ29" s="19">
        <f>SUM(Aug[[#This Row],[Late (14.00 - 20.00) ]]/60)</f>
        <v>0</v>
      </c>
      <c r="AK29" s="15">
        <f>SUM(F29,I29,L29,O29,R29,U29,X29,AA29,AD29)+(Aug[[#This Row],[Baseline Assessment Score]]*60/3)</f>
        <v>0</v>
      </c>
      <c r="AL29" s="88">
        <f>SUM(Aug[[#This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SUM(Aug[[#This Row],[Early]:[Night        ]])+(Aug[[#This Row],[Baseline Assessment Score]]*60)</f>
        <v>0</v>
      </c>
      <c r="AF30" s="19">
        <f>Aug[[#This Row],[Total Mins over 24 hr]]/60</f>
        <v>0</v>
      </c>
      <c r="AG30" s="15">
        <f>SUM(D30,G30,J30,M30,P30,S30,V30,Y30,AB30)+(Aug[[#This Row],[Baseline Assessment Score]]*60/3)</f>
        <v>0</v>
      </c>
      <c r="AH30" s="19">
        <f>SUM(Aug[[#This Row],[Early (08.00 - 14.00) ]]/60)</f>
        <v>0</v>
      </c>
      <c r="AI30" s="15">
        <f>SUM(E30,H30,K30,N30,Q30,T30,W30,Z30,AC30)+(Aug[[#This Row],[Baseline Assessment Score]]*60/3)</f>
        <v>0</v>
      </c>
      <c r="AJ30" s="19">
        <f>SUM(Aug[[#This Row],[Late (14.00 - 20.00) ]]/60)</f>
        <v>0</v>
      </c>
      <c r="AK30" s="15">
        <f>SUM(F30,I30,L30,O30,R30,U30,X30,AA30,AD30)+(Aug[[#This Row],[Baseline Assessment Score]]*60/3)</f>
        <v>0</v>
      </c>
      <c r="AL30" s="88">
        <f>SUM(Aug[[#This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SUM(Aug[[#This Row],[Early]:[Night        ]])+(Aug[[#This Row],[Baseline Assessment Score]]*60)</f>
        <v>0</v>
      </c>
      <c r="AF31" s="19">
        <f>Aug[[#This Row],[Total Mins over 24 hr]]/60</f>
        <v>0</v>
      </c>
      <c r="AG31" s="15">
        <f>SUM(D31,G31,J31,M31,P31,S31,V31,Y31,AB31)+(Aug[[#This Row],[Baseline Assessment Score]]*60/3)</f>
        <v>0</v>
      </c>
      <c r="AH31" s="19">
        <f>SUM(Aug[[#This Row],[Early (08.00 - 14.00) ]]/60)</f>
        <v>0</v>
      </c>
      <c r="AI31" s="15">
        <f>SUM(E31,H31,K31,N31,Q31,T31,W31,Z31,AC31)+(Aug[[#This Row],[Baseline Assessment Score]]*60/3)</f>
        <v>0</v>
      </c>
      <c r="AJ31" s="19">
        <f>SUM(Aug[[#This Row],[Late (14.00 - 20.00) ]]/60)</f>
        <v>0</v>
      </c>
      <c r="AK31" s="15">
        <f>SUM(F31,I31,L31,O31,R31,U31,X31,AA31,AD31)+(Aug[[#This Row],[Baseline Assessment Score]]*60/3)</f>
        <v>0</v>
      </c>
      <c r="AL31" s="88">
        <f>SUM(Aug[[#This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SUM(Aug[[#This Row],[Early]:[Night        ]])+(Aug[[#This Row],[Baseline Assessment Score]]*60)</f>
        <v>0</v>
      </c>
      <c r="AF32" s="19">
        <f>Aug[[#This Row],[Total Mins over 24 hr]]/60</f>
        <v>0</v>
      </c>
      <c r="AG32" s="15">
        <f>SUM(D32,G32,J32,M32,P32,S32,V32,Y32,AB32)+(Aug[[#This Row],[Baseline Assessment Score]]*60/3)</f>
        <v>0</v>
      </c>
      <c r="AH32" s="19">
        <f>SUM(Aug[[#This Row],[Early (08.00 - 14.00) ]]/60)</f>
        <v>0</v>
      </c>
      <c r="AI32" s="15">
        <f>SUM(E32,H32,K32,N32,Q32,T32,W32,Z32,AC32)+(Aug[[#This Row],[Baseline Assessment Score]]*60/3)</f>
        <v>0</v>
      </c>
      <c r="AJ32" s="19">
        <f>SUM(Aug[[#This Row],[Late (14.00 - 20.00) ]]/60)</f>
        <v>0</v>
      </c>
      <c r="AK32" s="15">
        <f>SUM(F32,I32,L32,O32,R32,U32,X32,AA32,AD32)+(Aug[[#This Row],[Baseline Assessment Score]]*60/3)</f>
        <v>0</v>
      </c>
      <c r="AL32" s="88">
        <f>SUM(Aug[[#This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SUM(Aug[[#This Row],[Early]:[Night        ]])+(Aug[[#This Row],[Baseline Assessment Score]]*60)</f>
        <v>0</v>
      </c>
      <c r="AF33" s="19">
        <f>Aug[[#This Row],[Total Mins over 24 hr]]/60</f>
        <v>0</v>
      </c>
      <c r="AG33" s="15">
        <f>SUM(D33,G33,J33,M33,P33,S33,V33,Y33,AB33)+(Aug[[#This Row],[Baseline Assessment Score]]*60/3)</f>
        <v>0</v>
      </c>
      <c r="AH33" s="19">
        <f>SUM(Aug[[#This Row],[Early (08.00 - 14.00) ]]/60)</f>
        <v>0</v>
      </c>
      <c r="AI33" s="15">
        <f>SUM(E33,H33,K33,N33,Q33,T33,W33,Z33,AC33)+(Aug[[#This Row],[Baseline Assessment Score]]*60/3)</f>
        <v>0</v>
      </c>
      <c r="AJ33" s="19">
        <f>SUM(Aug[[#This Row],[Late (14.00 - 20.00) ]]/60)</f>
        <v>0</v>
      </c>
      <c r="AK33" s="15">
        <f>SUM(F33,I33,L33,O33,R33,U33,X33,AA33,AD33)+(Aug[[#This Row],[Baseline Assessment Score]]*60/3)</f>
        <v>0</v>
      </c>
      <c r="AL33" s="88">
        <f>SUM(Aug[[#This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SUM(Aug[[#This Row],[Early]:[Night        ]])+(Aug[[#This Row],[Baseline Assessment Score]]*60)</f>
        <v>0</v>
      </c>
      <c r="AF34" s="19">
        <f>Aug[[#This Row],[Total Mins over 24 hr]]/60</f>
        <v>0</v>
      </c>
      <c r="AG34" s="15">
        <f>SUM(D34,G34,J34,M34,P34,S34,V34,Y34,AB34)+(Aug[[#This Row],[Baseline Assessment Score]]*60/3)</f>
        <v>0</v>
      </c>
      <c r="AH34" s="19">
        <f>SUM(Aug[[#This Row],[Early (08.00 - 14.00) ]]/60)</f>
        <v>0</v>
      </c>
      <c r="AI34" s="15">
        <f>SUM(E34,H34,K34,N34,Q34,T34,W34,Z34,AC34)+(Aug[[#This Row],[Baseline Assessment Score]]*60/3)</f>
        <v>0</v>
      </c>
      <c r="AJ34" s="19">
        <f>SUM(Aug[[#This Row],[Late (14.00 - 20.00) ]]/60)</f>
        <v>0</v>
      </c>
      <c r="AK34" s="15">
        <f>SUM(F34,I34,L34,O34,R34,U34,X34,AA34,AD34)+(Aug[[#This Row],[Baseline Assessment Score]]*60/3)</f>
        <v>0</v>
      </c>
      <c r="AL34" s="88">
        <f>SUM(Aug[[#This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SUM(Aug[[#This Row],[Early]:[Night        ]])+(Aug[[#This Row],[Baseline Assessment Score]]*60)</f>
        <v>0</v>
      </c>
      <c r="AF35" s="19">
        <f>Aug[[#This Row],[Total Mins over 24 hr]]/60</f>
        <v>0</v>
      </c>
      <c r="AG35" s="15">
        <f>SUM(D35,G35,J35,M35,P35,S35,V35,Y35,AB35)+(Aug[[#This Row],[Baseline Assessment Score]]*60/3)</f>
        <v>0</v>
      </c>
      <c r="AH35" s="19">
        <f>SUM(Aug[[#This Row],[Early (08.00 - 14.00) ]]/60)</f>
        <v>0</v>
      </c>
      <c r="AI35" s="15">
        <f>SUM(E35,H35,K35,N35,Q35,T35,W35,Z35,AC35)+(Aug[[#This Row],[Baseline Assessment Score]]*60/3)</f>
        <v>0</v>
      </c>
      <c r="AJ35" s="19">
        <f>SUM(Aug[[#This Row],[Late (14.00 - 20.00) ]]/60)</f>
        <v>0</v>
      </c>
      <c r="AK35" s="15">
        <f>SUM(F35,I35,L35,O35,R35,U35,X35,AA35,AD35)+(Aug[[#This Row],[Baseline Assessment Score]]*60/3)</f>
        <v>0</v>
      </c>
      <c r="AL35" s="88">
        <f>SUM(Aug[[#This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SUM(Aug[[#This Row],[Early]:[Night        ]])+(Aug[[#This Row],[Baseline Assessment Score]]*60)</f>
        <v>0</v>
      </c>
      <c r="AF36" s="20">
        <f>Aug[[#This Row],[Total Mins over 24 hr]]/60</f>
        <v>0</v>
      </c>
      <c r="AG36" s="18">
        <f>SUM(D36,G36,J36,M36,P36,S36,V36,Y36,AB36)+(Aug[[#This Row],[Baseline Assessment Score]]*60/3)</f>
        <v>0</v>
      </c>
      <c r="AH36" s="20">
        <f>SUM(Aug[[#This Row],[Early (08.00 - 14.00) ]]/60)</f>
        <v>0</v>
      </c>
      <c r="AI36" s="18">
        <f>SUM(E36,H36,K36,N36,Q36,T36,W36,Z36,AC36)+(Aug[[#This Row],[Baseline Assessment Score]]*60/3)</f>
        <v>0</v>
      </c>
      <c r="AJ36" s="20">
        <f>SUM(Aug[[#This Row],[Late (14.00 - 20.00) ]]/60)</f>
        <v>0</v>
      </c>
      <c r="AK36" s="18">
        <f>SUM(F36,I36,L36,O36,R36,U36,X36,AA36,AD36)+(Aug[[#This Row],[Baseline Assessment Score]]*60/3)</f>
        <v>0</v>
      </c>
      <c r="AL36" s="91">
        <f>SUM(Aug[[#This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280" t="s">
        <v>51</v>
      </c>
      <c r="W37" s="281"/>
      <c r="X37" s="281"/>
      <c r="Y37" s="281"/>
      <c r="Z37" s="281"/>
      <c r="AA37" s="281"/>
      <c r="AB37" s="281"/>
      <c r="AC37" s="281"/>
      <c r="AD37" s="281"/>
      <c r="AE37" s="285">
        <f>SUM(Aug[Actual contact time (hours)])</f>
        <v>0</v>
      </c>
      <c r="AF37" s="285"/>
      <c r="AG37" s="285">
        <f>SUM(Aug[Contact time per shift])</f>
        <v>0</v>
      </c>
      <c r="AH37" s="286"/>
      <c r="AI37" s="285">
        <f>SUM(Aug[[Contact time per shift ]])</f>
        <v>0</v>
      </c>
      <c r="AJ37" s="286"/>
      <c r="AK37" s="285">
        <f>SUM(Aug[[Contact time per shift  ]])</f>
        <v>0</v>
      </c>
      <c r="AL37" s="287"/>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COUNTIF(Aug[Adults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35" priority="2" operator="greaterThan">
      <formula>$AL$7</formula>
    </cfRule>
    <cfRule type="cellIs" dxfId="34" priority="3" operator="between">
      <formula>$AJ$7</formula>
      <formula>$AL$7</formula>
    </cfRule>
    <cfRule type="cellIs" dxfId="33" priority="4" operator="between">
      <formula>$AJ$6</formula>
      <formula>$AL$6</formula>
    </cfRule>
    <cfRule type="cellIs" dxfId="32" priority="5" operator="between">
      <formula>$AJ$5</formula>
      <formula>$AL$5</formula>
    </cfRule>
  </conditionalFormatting>
  <dataValidations count="1">
    <dataValidation type="list" allowBlank="1" showInputMessage="1" showErrorMessage="1" sqref="C13:C36" xr:uid="{7C7C4A22-D9E7-4991-BAE5-0D37DC9F64F3}">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4E397844-1813-4ABE-B8D2-F4C0F70F9BB2}">
            <xm:f>NOT(ISERROR(SEARCH($R$8,C13)))</xm:f>
            <xm:f>$R$8</xm:f>
            <x14:dxf>
              <fill>
                <patternFill>
                  <bgColor rgb="FFFF9999"/>
                </patternFill>
              </fill>
            </x14:dxf>
          </x14:cfRule>
          <x14:cfRule type="containsText" priority="7" operator="containsText" id="{21E68D01-2374-4A52-B425-CC4252BDA9C3}">
            <xm:f>NOT(ISERROR(SEARCH($R$7,C13)))</xm:f>
            <xm:f>$R$7</xm:f>
            <x14:dxf>
              <fill>
                <patternFill>
                  <bgColor theme="5" tint="0.59996337778862885"/>
                </patternFill>
              </fill>
            </x14:dxf>
          </x14:cfRule>
          <x14:cfRule type="containsText" priority="8" operator="containsText" id="{658EAF95-FBD8-4EEB-90D2-7DAB11AC707B}">
            <xm:f>NOT(ISERROR(SEARCH($R$6,C13)))</xm:f>
            <xm:f>$R$6</xm:f>
            <x14:dxf>
              <fill>
                <patternFill>
                  <bgColor theme="9" tint="0.59996337778862885"/>
                </patternFill>
              </fill>
            </x14:dxf>
          </x14:cfRule>
          <x14:cfRule type="containsText" priority="9" operator="containsText" id="{D9A74A5B-39FA-46AD-9DC1-F2CE29039BED}">
            <xm:f>NOT(ISERROR(SEARCH($R$5,C13)))</xm:f>
            <xm:f>$R$5</xm:f>
            <x14:dxf>
              <fill>
                <patternFill>
                  <bgColor theme="8" tint="0.79998168889431442"/>
                </patternFill>
              </fill>
            </x14:dxf>
          </x14:cfRule>
          <xm:sqref>C13:C36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C181-F7A7-4D68-AB25-D4891317F656}">
  <sheetPr>
    <tabColor theme="9" tint="0.39997558519241921"/>
  </sheetPr>
  <dimension ref="B2:AL58"/>
  <sheetViews>
    <sheetView zoomScale="80" zoomScaleNormal="80" workbookViewId="0">
      <selection activeCell="D21" sqref="D21"/>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99" t="s">
        <v>1</v>
      </c>
      <c r="C5" s="255"/>
      <c r="D5" s="256"/>
      <c r="E5" s="256"/>
      <c r="F5" s="256"/>
      <c r="G5" s="256"/>
      <c r="H5" s="256"/>
      <c r="I5" s="257"/>
      <c r="R5" s="46">
        <v>1</v>
      </c>
      <c r="S5" s="271" t="s">
        <v>116</v>
      </c>
      <c r="T5" s="272"/>
      <c r="U5" s="273"/>
      <c r="V5" s="46">
        <f>COUNTIF(Sep[Baseline Assessment Score],1)</f>
        <v>0</v>
      </c>
      <c r="AE5" s="250" t="s">
        <v>119</v>
      </c>
      <c r="AF5" s="251"/>
      <c r="AG5" s="252"/>
      <c r="AH5" s="253" t="s">
        <v>66</v>
      </c>
      <c r="AI5" s="254"/>
      <c r="AJ5" s="51">
        <v>0</v>
      </c>
      <c r="AK5" s="11" t="s">
        <v>120</v>
      </c>
      <c r="AL5" s="52">
        <v>5</v>
      </c>
    </row>
    <row r="6" spans="2:38" ht="15.75" thickBot="1" x14ac:dyDescent="0.25">
      <c r="B6" s="100" t="s">
        <v>2</v>
      </c>
      <c r="C6" s="258" t="s">
        <v>131</v>
      </c>
      <c r="D6" s="259"/>
      <c r="E6" s="260"/>
      <c r="F6" s="101" t="s">
        <v>0</v>
      </c>
      <c r="G6" s="246"/>
      <c r="H6" s="247"/>
      <c r="I6" s="248"/>
      <c r="R6" s="47">
        <v>2</v>
      </c>
      <c r="S6" s="268" t="s">
        <v>66</v>
      </c>
      <c r="T6" s="269"/>
      <c r="U6" s="270"/>
      <c r="V6" s="47">
        <f>COUNTIF(Sep[Baseline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COUNTIF(Sep[Baseline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COUNTIF(Sep[Baseline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296" t="s">
        <v>40</v>
      </c>
      <c r="E11" s="297"/>
      <c r="F11" s="298"/>
      <c r="G11" s="288" t="s">
        <v>41</v>
      </c>
      <c r="H11" s="289"/>
      <c r="I11" s="290"/>
      <c r="J11" s="291" t="s">
        <v>42</v>
      </c>
      <c r="K11" s="292"/>
      <c r="L11" s="293"/>
      <c r="M11" s="288" t="s">
        <v>47</v>
      </c>
      <c r="N11" s="289"/>
      <c r="O11" s="290"/>
      <c r="P11" s="291" t="s">
        <v>43</v>
      </c>
      <c r="Q11" s="292"/>
      <c r="R11" s="293"/>
      <c r="S11" s="288" t="s">
        <v>44</v>
      </c>
      <c r="T11" s="289"/>
      <c r="U11" s="290"/>
      <c r="V11" s="291" t="s">
        <v>95</v>
      </c>
      <c r="W11" s="292"/>
      <c r="X11" s="293"/>
      <c r="Y11" s="288" t="s">
        <v>45</v>
      </c>
      <c r="Z11" s="289"/>
      <c r="AA11" s="290"/>
      <c r="AB11" s="291" t="s">
        <v>46</v>
      </c>
      <c r="AC11" s="292"/>
      <c r="AD11" s="293"/>
    </row>
    <row r="12" spans="2:38" ht="55.5" thickBot="1" x14ac:dyDescent="0.25">
      <c r="B12" s="68" t="s">
        <v>3</v>
      </c>
      <c r="C12" s="77" t="s">
        <v>39</v>
      </c>
      <c r="D12" s="102" t="s">
        <v>4</v>
      </c>
      <c r="E12" s="103" t="s">
        <v>5</v>
      </c>
      <c r="F12" s="104" t="s">
        <v>6</v>
      </c>
      <c r="G12" s="81" t="s">
        <v>13</v>
      </c>
      <c r="H12" s="81" t="s">
        <v>14</v>
      </c>
      <c r="I12" s="32" t="s">
        <v>15</v>
      </c>
      <c r="J12" s="103" t="s">
        <v>16</v>
      </c>
      <c r="K12" s="103" t="s">
        <v>17</v>
      </c>
      <c r="L12" s="104" t="s">
        <v>18</v>
      </c>
      <c r="M12" s="81" t="s">
        <v>19</v>
      </c>
      <c r="N12" s="81" t="s">
        <v>20</v>
      </c>
      <c r="O12" s="32" t="s">
        <v>21</v>
      </c>
      <c r="P12" s="103" t="s">
        <v>22</v>
      </c>
      <c r="Q12" s="103" t="s">
        <v>23</v>
      </c>
      <c r="R12" s="104" t="s">
        <v>24</v>
      </c>
      <c r="S12" s="81" t="s">
        <v>25</v>
      </c>
      <c r="T12" s="81" t="s">
        <v>26</v>
      </c>
      <c r="U12" s="32" t="s">
        <v>27</v>
      </c>
      <c r="V12" s="103" t="s">
        <v>28</v>
      </c>
      <c r="W12" s="103" t="s">
        <v>29</v>
      </c>
      <c r="X12" s="104" t="s">
        <v>30</v>
      </c>
      <c r="Y12" s="81" t="s">
        <v>32</v>
      </c>
      <c r="Z12" s="81" t="s">
        <v>33</v>
      </c>
      <c r="AA12" s="32" t="s">
        <v>34</v>
      </c>
      <c r="AB12" s="103" t="s">
        <v>31</v>
      </c>
      <c r="AC12" s="103" t="s">
        <v>35</v>
      </c>
      <c r="AD12" s="104" t="s">
        <v>36</v>
      </c>
      <c r="AE12" s="105" t="s">
        <v>7</v>
      </c>
      <c r="AF12" s="104" t="s">
        <v>8</v>
      </c>
      <c r="AG12" s="83" t="s">
        <v>9</v>
      </c>
      <c r="AH12" s="32" t="s">
        <v>12</v>
      </c>
      <c r="AI12" s="105" t="s">
        <v>11</v>
      </c>
      <c r="AJ12" s="104" t="s">
        <v>10</v>
      </c>
      <c r="AK12" s="83" t="s">
        <v>37</v>
      </c>
      <c r="AL12" s="8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SUM(Sep[[#This Row],[Early]:[Night        ]])+(Sep[[#This Row],[Baseline Assessment Score]]*60)</f>
        <v>0</v>
      </c>
      <c r="AF13" s="16">
        <f>Sep[[#This Row],[Total Mins over 24 hr]]/60</f>
        <v>0</v>
      </c>
      <c r="AG13" s="13">
        <f>SUM(D13,G13,J13,M13,P13,S13,V13,Y13,AB13)+(Sep[[#This Row],[Baseline Assessment Score]]*60/3)</f>
        <v>0</v>
      </c>
      <c r="AH13" s="16">
        <f>SUM(Sep[[#This Row],[Early (08.00 - 14.00) ]]/60)</f>
        <v>0</v>
      </c>
      <c r="AI13" s="13">
        <f>SUM(E13,H13,K13,N13,Q13,T13,W13,Z13,AC13)+(Sep[[#This Row],[Baseline Assessment Score]]*60/3)</f>
        <v>0</v>
      </c>
      <c r="AJ13" s="16">
        <f>SUM(Sep[[#This Row],[Late (14.00 - 20.00) ]]/60)</f>
        <v>0</v>
      </c>
      <c r="AK13" s="13">
        <f>SUM(F13,I13,L13,O13,R13,U13,X13,AA13,AD13)+(Sep[[#This Row],[Baseline Assessment Score]]*60/3)</f>
        <v>0</v>
      </c>
      <c r="AL13" s="86">
        <f>SUM(Sep[[#This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SUM(Sep[[#This Row],[Early]:[Night        ]])+(Sep[[#This Row],[Baseline Assessment Score]]*60)</f>
        <v>0</v>
      </c>
      <c r="AF14" s="19">
        <f>Sep[[#This Row],[Total Mins over 24 hr]]/60</f>
        <v>0</v>
      </c>
      <c r="AG14" s="15">
        <f>SUM(D14,G14,J14,M14,P14,S14,V14,Y14,AB14)+(Sep[[#This Row],[Baseline Assessment Score]]*60/3)</f>
        <v>0</v>
      </c>
      <c r="AH14" s="19">
        <f>SUM(Sep[[#This Row],[Early (08.00 - 14.00) ]]/60)</f>
        <v>0</v>
      </c>
      <c r="AI14" s="15">
        <f>SUM(E14,H14,K14,N14,Q14,T14,W14,Z14,AC14)+(Sep[[#This Row],[Baseline Assessment Score]]*60/3)</f>
        <v>0</v>
      </c>
      <c r="AJ14" s="19">
        <f>SUM(Sep[[#This Row],[Late (14.00 - 20.00) ]]/60)</f>
        <v>0</v>
      </c>
      <c r="AK14" s="15">
        <f>SUM(F14,I14,L14,O14,R14,U14,X14,AA14,AD14)+(Sep[[#This Row],[Baseline Assessment Score]]*60/3)</f>
        <v>0</v>
      </c>
      <c r="AL14" s="88">
        <f>SUM(Sep[[#This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SUM(Sep[[#This Row],[Early]:[Night        ]])+(Sep[[#This Row],[Baseline Assessment Score]]*60)</f>
        <v>0</v>
      </c>
      <c r="AF15" s="19">
        <f>Sep[[#This Row],[Total Mins over 24 hr]]/60</f>
        <v>0</v>
      </c>
      <c r="AG15" s="15">
        <f>SUM(D15,G15,J15,M15,P15,S15,V15,Y15,AB15)+(Sep[[#This Row],[Baseline Assessment Score]]*60/3)</f>
        <v>0</v>
      </c>
      <c r="AH15" s="19">
        <f>SUM(Sep[[#This Row],[Early (08.00 - 14.00) ]]/60)</f>
        <v>0</v>
      </c>
      <c r="AI15" s="15">
        <f>SUM(E15,H15,K15,N15,Q15,T15,W15,Z15,AC15)+(Sep[[#This Row],[Baseline Assessment Score]]*60/3)</f>
        <v>0</v>
      </c>
      <c r="AJ15" s="19">
        <f>SUM(Sep[[#This Row],[Late (14.00 - 20.00) ]]/60)</f>
        <v>0</v>
      </c>
      <c r="AK15" s="15">
        <f>SUM(F15,I15,L15,O15,R15,U15,X15,AA15,AD15)+(Sep[[#This Row],[Baseline Assessment Score]]*60/3)</f>
        <v>0</v>
      </c>
      <c r="AL15" s="88">
        <f>SUM(Sep[[#This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SUM(Sep[[#This Row],[Early]:[Night        ]])+(Sep[[#This Row],[Baseline Assessment Score]]*60)</f>
        <v>0</v>
      </c>
      <c r="AF16" s="19">
        <f>Sep[[#This Row],[Total Mins over 24 hr]]/60</f>
        <v>0</v>
      </c>
      <c r="AG16" s="15">
        <f>SUM(D16,G16,J16,M16,P16,S16,V16,Y16,AB16)+(Sep[[#This Row],[Baseline Assessment Score]]*60/3)</f>
        <v>0</v>
      </c>
      <c r="AH16" s="19">
        <f>SUM(Sep[[#This Row],[Early (08.00 - 14.00) ]]/60)</f>
        <v>0</v>
      </c>
      <c r="AI16" s="15">
        <f>SUM(E16,H16,K16,N16,Q16,T16,W16,Z16,AC16)+(Sep[[#This Row],[Baseline Assessment Score]]*60/3)</f>
        <v>0</v>
      </c>
      <c r="AJ16" s="19">
        <f>SUM(Sep[[#This Row],[Late (14.00 - 20.00) ]]/60)</f>
        <v>0</v>
      </c>
      <c r="AK16" s="15">
        <f>SUM(F16,I16,L16,O16,R16,U16,X16,AA16,AD16)+(Sep[[#This Row],[Baseline Assessment Score]]*60/3)</f>
        <v>0</v>
      </c>
      <c r="AL16" s="88">
        <f>SUM(Sep[[#This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SUM(Sep[[#This Row],[Early]:[Night        ]])+(Sep[[#This Row],[Baseline Assessment Score]]*60)</f>
        <v>0</v>
      </c>
      <c r="AF17" s="19">
        <f>Sep[[#This Row],[Total Mins over 24 hr]]/60</f>
        <v>0</v>
      </c>
      <c r="AG17" s="15">
        <f>SUM(D17,G17,J17,M17,P17,S17,V17,Y17,AB17)+(Sep[[#This Row],[Baseline Assessment Score]]*60/3)</f>
        <v>0</v>
      </c>
      <c r="AH17" s="19">
        <f>SUM(Sep[[#This Row],[Early (08.00 - 14.00) ]]/60)</f>
        <v>0</v>
      </c>
      <c r="AI17" s="15">
        <f>SUM(E17,H17,K17,N17,Q17,T17,W17,Z17,AC17)+(Sep[[#This Row],[Baseline Assessment Score]]*60/3)</f>
        <v>0</v>
      </c>
      <c r="AJ17" s="19">
        <f>SUM(Sep[[#This Row],[Late (14.00 - 20.00) ]]/60)</f>
        <v>0</v>
      </c>
      <c r="AK17" s="15">
        <f>SUM(F17,I17,L17,O17,R17,U17,X17,AA17,AD17)+(Sep[[#This Row],[Baseline Assessment Score]]*60/3)</f>
        <v>0</v>
      </c>
      <c r="AL17" s="88">
        <f>SUM(Sep[[#This Row],[Night (20:00 - 08:00)]]/60)</f>
        <v>0</v>
      </c>
    </row>
    <row r="18" spans="2:38" x14ac:dyDescent="0.2">
      <c r="B18" s="87"/>
      <c r="C18" s="73"/>
      <c r="D18" s="75"/>
      <c r="E18" s="14"/>
      <c r="F18" s="106"/>
      <c r="G18" s="14"/>
      <c r="H18" s="14"/>
      <c r="I18" s="5"/>
      <c r="J18" s="14"/>
      <c r="K18" s="14"/>
      <c r="L18" s="5"/>
      <c r="M18" s="14"/>
      <c r="N18" s="14"/>
      <c r="O18" s="5"/>
      <c r="P18" s="14"/>
      <c r="Q18" s="14"/>
      <c r="R18" s="5"/>
      <c r="S18" s="14"/>
      <c r="T18" s="14"/>
      <c r="U18" s="5"/>
      <c r="V18" s="14"/>
      <c r="W18" s="14"/>
      <c r="X18" s="5"/>
      <c r="Y18" s="14"/>
      <c r="Z18" s="14"/>
      <c r="AA18" s="5"/>
      <c r="AB18" s="14"/>
      <c r="AC18" s="14"/>
      <c r="AD18" s="5"/>
      <c r="AE18" s="15">
        <f>SUM(Sep[[#This Row],[Early]:[Night        ]])+(Sep[[#This Row],[Baseline Assessment Score]]*60)</f>
        <v>0</v>
      </c>
      <c r="AF18" s="19">
        <f>Sep[[#This Row],[Total Mins over 24 hr]]/60</f>
        <v>0</v>
      </c>
      <c r="AG18" s="15">
        <f>SUM(D18,G18,J18,M18,P18,S18,V18,Y18,AB18)+(Sep[[#This Row],[Baseline Assessment Score]]*60/3)</f>
        <v>0</v>
      </c>
      <c r="AH18" s="19">
        <f>SUM(Sep[[#This Row],[Early (08.00 - 14.00) ]]/60)</f>
        <v>0</v>
      </c>
      <c r="AI18" s="15">
        <f>SUM(E18,H18,K18,N18,Q18,T18,W18,Z18,AC18)+(Sep[[#This Row],[Baseline Assessment Score]]*60/3)</f>
        <v>0</v>
      </c>
      <c r="AJ18" s="19">
        <f>SUM(Sep[[#This Row],[Late (14.00 - 20.00) ]]/60)</f>
        <v>0</v>
      </c>
      <c r="AK18" s="15">
        <f>SUM(F18,I18,L18,O18,R18,U18,X18,AA18,AD18)+(Sep[[#This Row],[Baseline Assessment Score]]*60/3)</f>
        <v>0</v>
      </c>
      <c r="AL18" s="88">
        <f>SUM(Sep[[#This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SUM(Sep[[#This Row],[Early]:[Night        ]])+(Sep[[#This Row],[Baseline Assessment Score]]*60)</f>
        <v>0</v>
      </c>
      <c r="AF19" s="19">
        <f>Sep[[#This Row],[Total Mins over 24 hr]]/60</f>
        <v>0</v>
      </c>
      <c r="AG19" s="15">
        <f>SUM(D19,G19,J19,M19,P19,S19,V19,Y19,AB19)+(Sep[[#This Row],[Baseline Assessment Score]]*60/3)</f>
        <v>0</v>
      </c>
      <c r="AH19" s="19">
        <f>SUM(Sep[[#This Row],[Early (08.00 - 14.00) ]]/60)</f>
        <v>0</v>
      </c>
      <c r="AI19" s="15">
        <f>SUM(E19,H19,K19,N19,Q19,T19,W19,Z19,AC19)+(Sep[[#This Row],[Baseline Assessment Score]]*60/3)</f>
        <v>0</v>
      </c>
      <c r="AJ19" s="19">
        <f>SUM(Sep[[#This Row],[Late (14.00 - 20.00) ]]/60)</f>
        <v>0</v>
      </c>
      <c r="AK19" s="15">
        <f>SUM(F19,I19,L19,O19,R19,U19,X19,AA19,AD19)+(Sep[[#This Row],[Baseline Assessment Score]]*60/3)</f>
        <v>0</v>
      </c>
      <c r="AL19" s="88">
        <f>SUM(Sep[[#This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SUM(Sep[[#This Row],[Early]:[Night        ]])+(Sep[[#This Row],[Baseline Assessment Score]]*60)</f>
        <v>0</v>
      </c>
      <c r="AF20" s="19">
        <f>Sep[[#This Row],[Total Mins over 24 hr]]/60</f>
        <v>0</v>
      </c>
      <c r="AG20" s="15">
        <f>SUM(D20,G20,J20,M20,P20,S20,V20,Y20,AB20)+(Sep[[#This Row],[Baseline Assessment Score]]*60/3)</f>
        <v>0</v>
      </c>
      <c r="AH20" s="19">
        <f>SUM(Sep[[#This Row],[Early (08.00 - 14.00) ]]/60)</f>
        <v>0</v>
      </c>
      <c r="AI20" s="15">
        <f>SUM(E20,H20,K20,N20,Q20,T20,W20,Z20,AC20)+(Sep[[#This Row],[Baseline Assessment Score]]*60/3)</f>
        <v>0</v>
      </c>
      <c r="AJ20" s="19">
        <f>SUM(Sep[[#This Row],[Late (14.00 - 20.00) ]]/60)</f>
        <v>0</v>
      </c>
      <c r="AK20" s="15">
        <f>SUM(F20,I20,L20,O20,R20,U20,X20,AA20,AD20)+(Sep[[#This Row],[Baseline Assessment Score]]*60/3)</f>
        <v>0</v>
      </c>
      <c r="AL20" s="88">
        <f>SUM(Sep[[#This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SUM(Sep[[#This Row],[Early]:[Night        ]])+(Sep[[#This Row],[Baseline Assessment Score]]*60)</f>
        <v>0</v>
      </c>
      <c r="AF21" s="19">
        <f>Sep[[#This Row],[Total Mins over 24 hr]]/60</f>
        <v>0</v>
      </c>
      <c r="AG21" s="15">
        <f>SUM(D21,G21,J21,M21,P21,S21,V21,Y21,AB21)+(Sep[[#This Row],[Baseline Assessment Score]]*60/3)</f>
        <v>0</v>
      </c>
      <c r="AH21" s="19">
        <f>SUM(Sep[[#This Row],[Early (08.00 - 14.00) ]]/60)</f>
        <v>0</v>
      </c>
      <c r="AI21" s="15">
        <f>SUM(E21,H21,K21,N21,Q21,T21,W21,Z21,AC21)+(Sep[[#This Row],[Baseline Assessment Score]]*60/3)</f>
        <v>0</v>
      </c>
      <c r="AJ21" s="19">
        <f>SUM(Sep[[#This Row],[Late (14.00 - 20.00) ]]/60)</f>
        <v>0</v>
      </c>
      <c r="AK21" s="15">
        <f>SUM(F21,I21,L21,O21,R21,U21,X21,AA21,AD21)+(Sep[[#This Row],[Baseline Assessment Score]]*60/3)</f>
        <v>0</v>
      </c>
      <c r="AL21" s="88">
        <f>SUM(Sep[[#This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SUM(Sep[[#This Row],[Early]:[Night        ]])+(Sep[[#This Row],[Baseline Assessment Score]]*60)</f>
        <v>0</v>
      </c>
      <c r="AF22" s="19">
        <f>Sep[[#This Row],[Total Mins over 24 hr]]/60</f>
        <v>0</v>
      </c>
      <c r="AG22" s="15">
        <f>SUM(D22,G22,J22,M22,P22,S22,V22,Y22,AB22)+(Sep[[#This Row],[Baseline Assessment Score]]*60/3)</f>
        <v>0</v>
      </c>
      <c r="AH22" s="19">
        <f>SUM(Sep[[#This Row],[Early (08.00 - 14.00) ]]/60)</f>
        <v>0</v>
      </c>
      <c r="AI22" s="15">
        <f>SUM(E22,H22,K22,N22,Q22,T22,W22,Z22,AC22)+(Sep[[#This Row],[Baseline Assessment Score]]*60/3)</f>
        <v>0</v>
      </c>
      <c r="AJ22" s="19">
        <f>SUM(Sep[[#This Row],[Late (14.00 - 20.00) ]]/60)</f>
        <v>0</v>
      </c>
      <c r="AK22" s="15">
        <f>SUM(F22,I22,L22,O22,R22,U22,X22,AA22,AD22)+(Sep[[#This Row],[Baseline Assessment Score]]*60/3)</f>
        <v>0</v>
      </c>
      <c r="AL22" s="88">
        <f>SUM(Sep[[#This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SUM(Sep[[#This Row],[Early]:[Night        ]])+(Sep[[#This Row],[Baseline Assessment Score]]*60)</f>
        <v>0</v>
      </c>
      <c r="AF23" s="19">
        <f>Sep[[#This Row],[Total Mins over 24 hr]]/60</f>
        <v>0</v>
      </c>
      <c r="AG23" s="15">
        <f>SUM(D23,G23,J23,M23,P23,S23,V23,Y23,AB23)+(Sep[[#This Row],[Baseline Assessment Score]]*60/3)</f>
        <v>0</v>
      </c>
      <c r="AH23" s="19">
        <f>SUM(Sep[[#This Row],[Early (08.00 - 14.00) ]]/60)</f>
        <v>0</v>
      </c>
      <c r="AI23" s="15">
        <f>SUM(E23,H23,K23,N23,Q23,T23,W23,Z23,AC23)+(Sep[[#This Row],[Baseline Assessment Score]]*60/3)</f>
        <v>0</v>
      </c>
      <c r="AJ23" s="19">
        <f>SUM(Sep[[#This Row],[Late (14.00 - 20.00) ]]/60)</f>
        <v>0</v>
      </c>
      <c r="AK23" s="15">
        <f>SUM(F23,I23,L23,O23,R23,U23,X23,AA23,AD23)+(Sep[[#This Row],[Baseline Assessment Score]]*60/3)</f>
        <v>0</v>
      </c>
      <c r="AL23" s="88">
        <f>SUM(Sep[[#This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SUM(Sep[[#This Row],[Early]:[Night        ]])+(Sep[[#This Row],[Baseline Assessment Score]]*60)</f>
        <v>0</v>
      </c>
      <c r="AF24" s="19">
        <f>Sep[[#This Row],[Total Mins over 24 hr]]/60</f>
        <v>0</v>
      </c>
      <c r="AG24" s="15">
        <f>SUM(D24,G24,J24,M24,P24,S24,V24,Y24,AB24)+(Sep[[#This Row],[Baseline Assessment Score]]*60/3)</f>
        <v>0</v>
      </c>
      <c r="AH24" s="19">
        <f>SUM(Sep[[#This Row],[Early (08.00 - 14.00) ]]/60)</f>
        <v>0</v>
      </c>
      <c r="AI24" s="15">
        <f>SUM(E24,H24,K24,N24,Q24,T24,W24,Z24,AC24)+(Sep[[#This Row],[Baseline Assessment Score]]*60/3)</f>
        <v>0</v>
      </c>
      <c r="AJ24" s="19">
        <f>SUM(Sep[[#This Row],[Late (14.00 - 20.00) ]]/60)</f>
        <v>0</v>
      </c>
      <c r="AK24" s="15">
        <f>SUM(F24,I24,L24,O24,R24,U24,X24,AA24,AD24)+(Sep[[#This Row],[Baseline Assessment Score]]*60/3)</f>
        <v>0</v>
      </c>
      <c r="AL24" s="88">
        <f>SUM(Sep[[#This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SUM(Sep[[#This Row],[Early]:[Night        ]])+(Sep[[#This Row],[Baseline Assessment Score]]*60)</f>
        <v>0</v>
      </c>
      <c r="AF25" s="19">
        <f>Sep[[#This Row],[Total Mins over 24 hr]]/60</f>
        <v>0</v>
      </c>
      <c r="AG25" s="15">
        <f>SUM(D25,G25,J25,M25,P25,S25,V25,Y25,AB25)+(Sep[[#This Row],[Baseline Assessment Score]]*60/3)</f>
        <v>0</v>
      </c>
      <c r="AH25" s="19">
        <f>SUM(Sep[[#This Row],[Early (08.00 - 14.00) ]]/60)</f>
        <v>0</v>
      </c>
      <c r="AI25" s="15">
        <f>SUM(E25,H25,K25,N25,Q25,T25,W25,Z25,AC25)+(Sep[[#This Row],[Baseline Assessment Score]]*60/3)</f>
        <v>0</v>
      </c>
      <c r="AJ25" s="19">
        <f>SUM(Sep[[#This Row],[Late (14.00 - 20.00) ]]/60)</f>
        <v>0</v>
      </c>
      <c r="AK25" s="15">
        <f>SUM(F25,I25,L25,O25,R25,U25,X25,AA25,AD25)+(Sep[[#This Row],[Baseline Assessment Score]]*60/3)</f>
        <v>0</v>
      </c>
      <c r="AL25" s="88">
        <f>SUM(Sep[[#This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SUM(Sep[[#This Row],[Early]:[Night        ]])+(Sep[[#This Row],[Baseline Assessment Score]]*60)</f>
        <v>0</v>
      </c>
      <c r="AF26" s="19">
        <f>Sep[[#This Row],[Total Mins over 24 hr]]/60</f>
        <v>0</v>
      </c>
      <c r="AG26" s="15">
        <f>SUM(D26,G26,J26,M26,P26,S26,V26,Y26,AB26)+(Sep[[#This Row],[Baseline Assessment Score]]*60/3)</f>
        <v>0</v>
      </c>
      <c r="AH26" s="19">
        <f>SUM(Sep[[#This Row],[Early (08.00 - 14.00) ]]/60)</f>
        <v>0</v>
      </c>
      <c r="AI26" s="15">
        <f>SUM(E26,H26,K26,N26,Q26,T26,W26,Z26,AC26)+(Sep[[#This Row],[Baseline Assessment Score]]*60/3)</f>
        <v>0</v>
      </c>
      <c r="AJ26" s="19">
        <f>SUM(Sep[[#This Row],[Late (14.00 - 20.00) ]]/60)</f>
        <v>0</v>
      </c>
      <c r="AK26" s="15">
        <f>SUM(F26,I26,L26,O26,R26,U26,X26,AA26,AD26)+(Sep[[#This Row],[Baseline Assessment Score]]*60/3)</f>
        <v>0</v>
      </c>
      <c r="AL26" s="88">
        <f>SUM(Sep[[#This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SUM(Sep[[#This Row],[Early]:[Night        ]])+(Sep[[#This Row],[Baseline Assessment Score]]*60)</f>
        <v>0</v>
      </c>
      <c r="AF27" s="19">
        <f>Sep[[#This Row],[Total Mins over 24 hr]]/60</f>
        <v>0</v>
      </c>
      <c r="AG27" s="15">
        <f>SUM(D27,G27,J27,M27,P27,S27,V27,Y27,AB27)+(Sep[[#This Row],[Baseline Assessment Score]]*60/3)</f>
        <v>0</v>
      </c>
      <c r="AH27" s="19">
        <f>SUM(Sep[[#This Row],[Early (08.00 - 14.00) ]]/60)</f>
        <v>0</v>
      </c>
      <c r="AI27" s="15">
        <f>SUM(E27,H27,K27,N27,Q27,T27,W27,Z27,AC27)+(Sep[[#This Row],[Baseline Assessment Score]]*60/3)</f>
        <v>0</v>
      </c>
      <c r="AJ27" s="19">
        <f>SUM(Sep[[#This Row],[Late (14.00 - 20.00) ]]/60)</f>
        <v>0</v>
      </c>
      <c r="AK27" s="15">
        <f>SUM(F27,I27,L27,O27,R27,U27,X27,AA27,AD27)+(Sep[[#This Row],[Baseline Assessment Score]]*60/3)</f>
        <v>0</v>
      </c>
      <c r="AL27" s="88">
        <f>SUM(Sep[[#This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SUM(Sep[[#This Row],[Early]:[Night        ]])+(Sep[[#This Row],[Baseline Assessment Score]]*60)</f>
        <v>0</v>
      </c>
      <c r="AF28" s="19">
        <f>Sep[[#This Row],[Total Mins over 24 hr]]/60</f>
        <v>0</v>
      </c>
      <c r="AG28" s="15">
        <f>SUM(D28,G28,J28,M28,P28,S28,V28,Y28,AB28)+(Sep[[#This Row],[Baseline Assessment Score]]*60/3)</f>
        <v>0</v>
      </c>
      <c r="AH28" s="19">
        <f>SUM(Sep[[#This Row],[Early (08.00 - 14.00) ]]/60)</f>
        <v>0</v>
      </c>
      <c r="AI28" s="15">
        <f>SUM(E28,H28,K28,N28,Q28,T28,W28,Z28,AC28)+(Sep[[#This Row],[Baseline Assessment Score]]*60/3)</f>
        <v>0</v>
      </c>
      <c r="AJ28" s="19">
        <f>SUM(Sep[[#This Row],[Late (14.00 - 20.00) ]]/60)</f>
        <v>0</v>
      </c>
      <c r="AK28" s="15">
        <f>SUM(F28,I28,L28,O28,R28,U28,X28,AA28,AD28)+(Sep[[#This Row],[Baseline Assessment Score]]*60/3)</f>
        <v>0</v>
      </c>
      <c r="AL28" s="88">
        <f>SUM(Sep[[#This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SUM(Sep[[#This Row],[Early]:[Night        ]])+(Sep[[#This Row],[Baseline Assessment Score]]*60)</f>
        <v>0</v>
      </c>
      <c r="AF29" s="19">
        <f>Sep[[#This Row],[Total Mins over 24 hr]]/60</f>
        <v>0</v>
      </c>
      <c r="AG29" s="15">
        <f>SUM(D29,G29,J29,M29,P29,S29,V29,Y29,AB29)+(Sep[[#This Row],[Baseline Assessment Score]]*60/3)</f>
        <v>0</v>
      </c>
      <c r="AH29" s="19">
        <f>SUM(Sep[[#This Row],[Early (08.00 - 14.00) ]]/60)</f>
        <v>0</v>
      </c>
      <c r="AI29" s="15">
        <f>SUM(E29,H29,K29,N29,Q29,T29,W29,Z29,AC29)+(Sep[[#This Row],[Baseline Assessment Score]]*60/3)</f>
        <v>0</v>
      </c>
      <c r="AJ29" s="19">
        <f>SUM(Sep[[#This Row],[Late (14.00 - 20.00) ]]/60)</f>
        <v>0</v>
      </c>
      <c r="AK29" s="15">
        <f>SUM(F29,I29,L29,O29,R29,U29,X29,AA29,AD29)+(Sep[[#This Row],[Baseline Assessment Score]]*60/3)</f>
        <v>0</v>
      </c>
      <c r="AL29" s="88">
        <f>SUM(Sep[[#This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SUM(Sep[[#This Row],[Early]:[Night        ]])+(Sep[[#This Row],[Baseline Assessment Score]]*60)</f>
        <v>0</v>
      </c>
      <c r="AF30" s="19">
        <f>Sep[[#This Row],[Total Mins over 24 hr]]/60</f>
        <v>0</v>
      </c>
      <c r="AG30" s="15">
        <f>SUM(D30,G30,J30,M30,P30,S30,V30,Y30,AB30)+(Sep[[#This Row],[Baseline Assessment Score]]*60/3)</f>
        <v>0</v>
      </c>
      <c r="AH30" s="19">
        <f>SUM(Sep[[#This Row],[Early (08.00 - 14.00) ]]/60)</f>
        <v>0</v>
      </c>
      <c r="AI30" s="15">
        <f>SUM(E30,H30,K30,N30,Q30,T30,W30,Z30,AC30)+(Sep[[#This Row],[Baseline Assessment Score]]*60/3)</f>
        <v>0</v>
      </c>
      <c r="AJ30" s="19">
        <f>SUM(Sep[[#This Row],[Late (14.00 - 20.00) ]]/60)</f>
        <v>0</v>
      </c>
      <c r="AK30" s="15">
        <f>SUM(F30,I30,L30,O30,R30,U30,X30,AA30,AD30)+(Sep[[#This Row],[Baseline Assessment Score]]*60/3)</f>
        <v>0</v>
      </c>
      <c r="AL30" s="88">
        <f>SUM(Sep[[#This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SUM(Sep[[#This Row],[Early]:[Night        ]])+(Sep[[#This Row],[Baseline Assessment Score]]*60)</f>
        <v>0</v>
      </c>
      <c r="AF31" s="19">
        <f>Sep[[#This Row],[Total Mins over 24 hr]]/60</f>
        <v>0</v>
      </c>
      <c r="AG31" s="15">
        <f>SUM(D31,G31,J31,M31,P31,S31,V31,Y31,AB31)+(Sep[[#This Row],[Baseline Assessment Score]]*60/3)</f>
        <v>0</v>
      </c>
      <c r="AH31" s="19">
        <f>SUM(Sep[[#This Row],[Early (08.00 - 14.00) ]]/60)</f>
        <v>0</v>
      </c>
      <c r="AI31" s="15">
        <f>SUM(E31,H31,K31,N31,Q31,T31,W31,Z31,AC31)+(Sep[[#This Row],[Baseline Assessment Score]]*60/3)</f>
        <v>0</v>
      </c>
      <c r="AJ31" s="19">
        <f>SUM(Sep[[#This Row],[Late (14.00 - 20.00) ]]/60)</f>
        <v>0</v>
      </c>
      <c r="AK31" s="15">
        <f>SUM(F31,I31,L31,O31,R31,U31,X31,AA31,AD31)+(Sep[[#This Row],[Baseline Assessment Score]]*60/3)</f>
        <v>0</v>
      </c>
      <c r="AL31" s="88">
        <f>SUM(Sep[[#This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SUM(Sep[[#This Row],[Early]:[Night        ]])+(Sep[[#This Row],[Baseline Assessment Score]]*60)</f>
        <v>0</v>
      </c>
      <c r="AF32" s="19">
        <f>Sep[[#This Row],[Total Mins over 24 hr]]/60</f>
        <v>0</v>
      </c>
      <c r="AG32" s="15">
        <f>SUM(D32,G32,J32,M32,P32,S32,V32,Y32,AB32)+(Sep[[#This Row],[Baseline Assessment Score]]*60/3)</f>
        <v>0</v>
      </c>
      <c r="AH32" s="19">
        <f>SUM(Sep[[#This Row],[Early (08.00 - 14.00) ]]/60)</f>
        <v>0</v>
      </c>
      <c r="AI32" s="15">
        <f>SUM(E32,H32,K32,N32,Q32,T32,W32,Z32,AC32)+(Sep[[#This Row],[Baseline Assessment Score]]*60/3)</f>
        <v>0</v>
      </c>
      <c r="AJ32" s="19">
        <f>SUM(Sep[[#This Row],[Late (14.00 - 20.00) ]]/60)</f>
        <v>0</v>
      </c>
      <c r="AK32" s="15">
        <f>SUM(F32,I32,L32,O32,R32,U32,X32,AA32,AD32)+(Sep[[#This Row],[Baseline Assessment Score]]*60/3)</f>
        <v>0</v>
      </c>
      <c r="AL32" s="88">
        <f>SUM(Sep[[#This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SUM(Sep[[#This Row],[Early]:[Night        ]])+(Sep[[#This Row],[Baseline Assessment Score]]*60)</f>
        <v>0</v>
      </c>
      <c r="AF33" s="19">
        <f>Sep[[#This Row],[Total Mins over 24 hr]]/60</f>
        <v>0</v>
      </c>
      <c r="AG33" s="15">
        <f>SUM(D33,G33,J33,M33,P33,S33,V33,Y33,AB33)+(Sep[[#This Row],[Baseline Assessment Score]]*60/3)</f>
        <v>0</v>
      </c>
      <c r="AH33" s="19">
        <f>SUM(Sep[[#This Row],[Early (08.00 - 14.00) ]]/60)</f>
        <v>0</v>
      </c>
      <c r="AI33" s="15">
        <f>SUM(E33,H33,K33,N33,Q33,T33,W33,Z33,AC33)+(Sep[[#This Row],[Baseline Assessment Score]]*60/3)</f>
        <v>0</v>
      </c>
      <c r="AJ33" s="19">
        <f>SUM(Sep[[#This Row],[Late (14.00 - 20.00) ]]/60)</f>
        <v>0</v>
      </c>
      <c r="AK33" s="15">
        <f>SUM(F33,I33,L33,O33,R33,U33,X33,AA33,AD33)+(Sep[[#This Row],[Baseline Assessment Score]]*60/3)</f>
        <v>0</v>
      </c>
      <c r="AL33" s="88">
        <f>SUM(Sep[[#This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SUM(Sep[[#This Row],[Early]:[Night        ]])+(Sep[[#This Row],[Baseline Assessment Score]]*60)</f>
        <v>0</v>
      </c>
      <c r="AF34" s="19">
        <f>Sep[[#This Row],[Total Mins over 24 hr]]/60</f>
        <v>0</v>
      </c>
      <c r="AG34" s="15">
        <f>SUM(D34,G34,J34,M34,P34,S34,V34,Y34,AB34)+(Sep[[#This Row],[Baseline Assessment Score]]*60/3)</f>
        <v>0</v>
      </c>
      <c r="AH34" s="19">
        <f>SUM(Sep[[#This Row],[Early (08.00 - 14.00) ]]/60)</f>
        <v>0</v>
      </c>
      <c r="AI34" s="15">
        <f>SUM(E34,H34,K34,N34,Q34,T34,W34,Z34,AC34)+(Sep[[#This Row],[Baseline Assessment Score]]*60/3)</f>
        <v>0</v>
      </c>
      <c r="AJ34" s="19">
        <f>SUM(Sep[[#This Row],[Late (14.00 - 20.00) ]]/60)</f>
        <v>0</v>
      </c>
      <c r="AK34" s="15">
        <f>SUM(F34,I34,L34,O34,R34,U34,X34,AA34,AD34)+(Sep[[#This Row],[Baseline Assessment Score]]*60/3)</f>
        <v>0</v>
      </c>
      <c r="AL34" s="88">
        <f>SUM(Sep[[#This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SUM(Sep[[#This Row],[Early]:[Night        ]])+(Sep[[#This Row],[Baseline Assessment Score]]*60)</f>
        <v>0</v>
      </c>
      <c r="AF35" s="19">
        <f>Sep[[#This Row],[Total Mins over 24 hr]]/60</f>
        <v>0</v>
      </c>
      <c r="AG35" s="15">
        <f>SUM(D35,G35,J35,M35,P35,S35,V35,Y35,AB35)+(Sep[[#This Row],[Baseline Assessment Score]]*60/3)</f>
        <v>0</v>
      </c>
      <c r="AH35" s="19">
        <f>SUM(Sep[[#This Row],[Early (08.00 - 14.00) ]]/60)</f>
        <v>0</v>
      </c>
      <c r="AI35" s="15">
        <f>SUM(E35,H35,K35,N35,Q35,T35,W35,Z35,AC35)+(Sep[[#This Row],[Baseline Assessment Score]]*60/3)</f>
        <v>0</v>
      </c>
      <c r="AJ35" s="19">
        <f>SUM(Sep[[#This Row],[Late (14.00 - 20.00) ]]/60)</f>
        <v>0</v>
      </c>
      <c r="AK35" s="15">
        <f>SUM(F35,I35,L35,O35,R35,U35,X35,AA35,AD35)+(Sep[[#This Row],[Baseline Assessment Score]]*60/3)</f>
        <v>0</v>
      </c>
      <c r="AL35" s="88">
        <f>SUM(Sep[[#This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SUM(Sep[[#This Row],[Early]:[Night        ]])+(Sep[[#This Row],[Baseline Assessment Score]]*60)</f>
        <v>0</v>
      </c>
      <c r="AF36" s="20">
        <f>Sep[[#This Row],[Total Mins over 24 hr]]/60</f>
        <v>0</v>
      </c>
      <c r="AG36" s="18">
        <f>SUM(D36,G36,J36,M36,P36,S36,V36,Y36,AB36)+(Sep[[#This Row],[Baseline Assessment Score]]*60/3)</f>
        <v>0</v>
      </c>
      <c r="AH36" s="20">
        <f>SUM(Sep[[#This Row],[Early (08.00 - 14.00) ]]/60)</f>
        <v>0</v>
      </c>
      <c r="AI36" s="18">
        <f>SUM(E36,H36,K36,N36,Q36,T36,W36,Z36,AC36)+(Sep[[#This Row],[Baseline Assessment Score]]*60/3)</f>
        <v>0</v>
      </c>
      <c r="AJ36" s="20">
        <f>SUM(Sep[[#This Row],[Late (14.00 - 20.00) ]]/60)</f>
        <v>0</v>
      </c>
      <c r="AK36" s="18">
        <f>SUM(F36,I36,L36,O36,R36,U36,X36,AA36,AD36)+(Sep[[#This Row],[Baseline Assessment Score]]*60/3)</f>
        <v>0</v>
      </c>
      <c r="AL36" s="91">
        <f>SUM(Sep[[#This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294" t="s">
        <v>51</v>
      </c>
      <c r="W37" s="295"/>
      <c r="X37" s="295"/>
      <c r="Y37" s="295"/>
      <c r="Z37" s="295"/>
      <c r="AA37" s="295"/>
      <c r="AB37" s="295"/>
      <c r="AC37" s="295"/>
      <c r="AD37" s="295"/>
      <c r="AE37" s="299">
        <f>SUM(Sep[Actual contact time (hours)])</f>
        <v>0</v>
      </c>
      <c r="AF37" s="299"/>
      <c r="AG37" s="299">
        <f>SUM(Sep[Contact time per shift])</f>
        <v>0</v>
      </c>
      <c r="AH37" s="300"/>
      <c r="AI37" s="299">
        <f>SUM(Sep[[Contact time per shift ]])</f>
        <v>0</v>
      </c>
      <c r="AJ37" s="300"/>
      <c r="AK37" s="299">
        <f>SUM(Sep[[Contact time per shift  ]])</f>
        <v>0</v>
      </c>
      <c r="AL37" s="301"/>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COUNTIF(Sep[Adults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27" priority="2" operator="greaterThan">
      <formula>$AL$7</formula>
    </cfRule>
    <cfRule type="cellIs" dxfId="26" priority="3" operator="between">
      <formula>$AJ$7</formula>
      <formula>$AL$7</formula>
    </cfRule>
    <cfRule type="cellIs" dxfId="25" priority="4" operator="between">
      <formula>$AJ$6</formula>
      <formula>$AL$6</formula>
    </cfRule>
    <cfRule type="cellIs" dxfId="24" priority="5" operator="between">
      <formula>$AJ$5</formula>
      <formula>$AL$5</formula>
    </cfRule>
  </conditionalFormatting>
  <dataValidations count="1">
    <dataValidation type="list" allowBlank="1" showInputMessage="1" showErrorMessage="1" sqref="C13:C36" xr:uid="{20929B19-31C2-43CF-A5B0-CD5256DCB531}">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B4C7A3FE-0A7D-46C7-BD8A-A1695FB2ECAE}">
            <xm:f>NOT(ISERROR(SEARCH($R$8,C13)))</xm:f>
            <xm:f>$R$8</xm:f>
            <x14:dxf>
              <fill>
                <patternFill>
                  <bgColor rgb="FFFF9999"/>
                </patternFill>
              </fill>
            </x14:dxf>
          </x14:cfRule>
          <x14:cfRule type="containsText" priority="7" operator="containsText" id="{5604411B-E9C0-48DB-8A69-22FCCF14BC9E}">
            <xm:f>NOT(ISERROR(SEARCH($R$7,C13)))</xm:f>
            <xm:f>$R$7</xm:f>
            <x14:dxf>
              <fill>
                <patternFill>
                  <bgColor theme="5" tint="0.59996337778862885"/>
                </patternFill>
              </fill>
            </x14:dxf>
          </x14:cfRule>
          <x14:cfRule type="containsText" priority="8" operator="containsText" id="{F812BB55-E746-4924-AF28-C01B49452CED}">
            <xm:f>NOT(ISERROR(SEARCH($R$6,C13)))</xm:f>
            <xm:f>$R$6</xm:f>
            <x14:dxf>
              <fill>
                <patternFill>
                  <bgColor theme="9" tint="0.59996337778862885"/>
                </patternFill>
              </fill>
            </x14:dxf>
          </x14:cfRule>
          <x14:cfRule type="containsText" priority="9" operator="containsText" id="{42513044-C536-4D74-9E08-AC241887FE8B}">
            <xm:f>NOT(ISERROR(SEARCH($R$5,C13)))</xm:f>
            <xm:f>$R$5</xm:f>
            <x14:dxf>
              <fill>
                <patternFill>
                  <bgColor theme="8" tint="0.79998168889431442"/>
                </patternFill>
              </fill>
            </x14:dxf>
          </x14:cfRule>
          <xm:sqref>C13:C36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3319-E1DA-45F6-B983-2565D1F9C9D8}">
  <sheetPr>
    <tabColor theme="8" tint="0.59999389629810485"/>
  </sheetPr>
  <dimension ref="B2:AL58"/>
  <sheetViews>
    <sheetView zoomScale="80" zoomScaleNormal="80" workbookViewId="0">
      <selection activeCell="K22" sqref="K22"/>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107" t="s">
        <v>1</v>
      </c>
      <c r="C5" s="255"/>
      <c r="D5" s="256"/>
      <c r="E5" s="256"/>
      <c r="F5" s="256"/>
      <c r="G5" s="256"/>
      <c r="H5" s="256"/>
      <c r="I5" s="257"/>
      <c r="R5" s="46">
        <v>1</v>
      </c>
      <c r="S5" s="271" t="s">
        <v>116</v>
      </c>
      <c r="T5" s="272"/>
      <c r="U5" s="273"/>
      <c r="V5" s="46">
        <f>COUNTIF(Oct[Baseline Assessment Score],1)</f>
        <v>0</v>
      </c>
      <c r="AE5" s="250" t="s">
        <v>119</v>
      </c>
      <c r="AF5" s="251"/>
      <c r="AG5" s="252"/>
      <c r="AH5" s="253" t="s">
        <v>66</v>
      </c>
      <c r="AI5" s="254"/>
      <c r="AJ5" s="51">
        <v>0</v>
      </c>
      <c r="AK5" s="11" t="s">
        <v>120</v>
      </c>
      <c r="AL5" s="52">
        <v>5</v>
      </c>
    </row>
    <row r="6" spans="2:38" ht="15.75" thickBot="1" x14ac:dyDescent="0.25">
      <c r="B6" s="108" t="s">
        <v>2</v>
      </c>
      <c r="C6" s="258" t="s">
        <v>132</v>
      </c>
      <c r="D6" s="259"/>
      <c r="E6" s="260"/>
      <c r="F6" s="109" t="s">
        <v>0</v>
      </c>
      <c r="G6" s="246"/>
      <c r="H6" s="247"/>
      <c r="I6" s="248"/>
      <c r="R6" s="47">
        <v>2</v>
      </c>
      <c r="S6" s="268" t="s">
        <v>66</v>
      </c>
      <c r="T6" s="269"/>
      <c r="U6" s="270"/>
      <c r="V6" s="47">
        <f>COUNTIF(Oct[Baseline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COUNTIF(Oct[Baseline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COUNTIF(Oct[Baseline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307" t="s">
        <v>40</v>
      </c>
      <c r="E11" s="308"/>
      <c r="F11" s="309"/>
      <c r="G11" s="227" t="s">
        <v>41</v>
      </c>
      <c r="H11" s="228"/>
      <c r="I11" s="229"/>
      <c r="J11" s="302" t="s">
        <v>42</v>
      </c>
      <c r="K11" s="303"/>
      <c r="L11" s="304"/>
      <c r="M11" s="227" t="s">
        <v>47</v>
      </c>
      <c r="N11" s="228"/>
      <c r="O11" s="229"/>
      <c r="P11" s="302" t="s">
        <v>43</v>
      </c>
      <c r="Q11" s="303"/>
      <c r="R11" s="304"/>
      <c r="S11" s="227" t="s">
        <v>44</v>
      </c>
      <c r="T11" s="228"/>
      <c r="U11" s="229"/>
      <c r="V11" s="302" t="s">
        <v>95</v>
      </c>
      <c r="W11" s="303"/>
      <c r="X11" s="304"/>
      <c r="Y11" s="227" t="s">
        <v>45</v>
      </c>
      <c r="Z11" s="228"/>
      <c r="AA11" s="229"/>
      <c r="AB11" s="302" t="s">
        <v>46</v>
      </c>
      <c r="AC11" s="303"/>
      <c r="AD11" s="304"/>
    </row>
    <row r="12" spans="2:38" ht="55.5" thickBot="1" x14ac:dyDescent="0.25">
      <c r="B12" s="68" t="s">
        <v>3</v>
      </c>
      <c r="C12" s="77" t="s">
        <v>39</v>
      </c>
      <c r="D12" s="110" t="s">
        <v>4</v>
      </c>
      <c r="E12" s="111" t="s">
        <v>5</v>
      </c>
      <c r="F12" s="112" t="s">
        <v>6</v>
      </c>
      <c r="G12" s="81" t="s">
        <v>13</v>
      </c>
      <c r="H12" s="81" t="s">
        <v>14</v>
      </c>
      <c r="I12" s="32" t="s">
        <v>15</v>
      </c>
      <c r="J12" s="111" t="s">
        <v>16</v>
      </c>
      <c r="K12" s="111" t="s">
        <v>17</v>
      </c>
      <c r="L12" s="112" t="s">
        <v>18</v>
      </c>
      <c r="M12" s="81" t="s">
        <v>19</v>
      </c>
      <c r="N12" s="81" t="s">
        <v>20</v>
      </c>
      <c r="O12" s="32" t="s">
        <v>21</v>
      </c>
      <c r="P12" s="111" t="s">
        <v>22</v>
      </c>
      <c r="Q12" s="111" t="s">
        <v>23</v>
      </c>
      <c r="R12" s="112" t="s">
        <v>24</v>
      </c>
      <c r="S12" s="81" t="s">
        <v>25</v>
      </c>
      <c r="T12" s="81" t="s">
        <v>26</v>
      </c>
      <c r="U12" s="32" t="s">
        <v>27</v>
      </c>
      <c r="V12" s="111" t="s">
        <v>28</v>
      </c>
      <c r="W12" s="111" t="s">
        <v>29</v>
      </c>
      <c r="X12" s="112" t="s">
        <v>30</v>
      </c>
      <c r="Y12" s="81" t="s">
        <v>32</v>
      </c>
      <c r="Z12" s="81" t="s">
        <v>33</v>
      </c>
      <c r="AA12" s="32" t="s">
        <v>34</v>
      </c>
      <c r="AB12" s="111" t="s">
        <v>31</v>
      </c>
      <c r="AC12" s="111" t="s">
        <v>35</v>
      </c>
      <c r="AD12" s="112" t="s">
        <v>36</v>
      </c>
      <c r="AE12" s="82" t="s">
        <v>7</v>
      </c>
      <c r="AF12" s="80" t="s">
        <v>8</v>
      </c>
      <c r="AG12" s="113" t="s">
        <v>9</v>
      </c>
      <c r="AH12" s="112" t="s">
        <v>12</v>
      </c>
      <c r="AI12" s="82" t="s">
        <v>11</v>
      </c>
      <c r="AJ12" s="80" t="s">
        <v>10</v>
      </c>
      <c r="AK12" s="113" t="s">
        <v>37</v>
      </c>
      <c r="AL12" s="114"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SUM(Oct[[#This Row],[Early]:[Night        ]])+(Oct[[#This Row],[Baseline Assessment Score]]*60)</f>
        <v>0</v>
      </c>
      <c r="AF13" s="16">
        <f>Oct[[#This Row],[Total Mins over 24 hr]]/60</f>
        <v>0</v>
      </c>
      <c r="AG13" s="13">
        <f>SUM(D13,G13,J13,M13,P13,S13,V13,Y13,AB13)+(Oct[[#This Row],[Baseline Assessment Score]]*60/3)</f>
        <v>0</v>
      </c>
      <c r="AH13" s="16">
        <f>SUM(Oct[[#This Row],[Early (08.00 - 14.00) ]]/60)</f>
        <v>0</v>
      </c>
      <c r="AI13" s="13">
        <f>SUM(E13,H13,K13,N13,Q13,T13,W13,Z13,AC13)+(Oct[[#This Row],[Baseline Assessment Score]]*60/3)</f>
        <v>0</v>
      </c>
      <c r="AJ13" s="16">
        <f>SUM(Oct[[#This Row],[Late (14.00 - 20.00) ]]/60)</f>
        <v>0</v>
      </c>
      <c r="AK13" s="13">
        <f>SUM(F13,I13,L13,O13,R13,U13,X13,AA13,AD13)+(Oct[[#This Row],[Baseline Assessment Score]]*60/3)</f>
        <v>0</v>
      </c>
      <c r="AL13" s="86">
        <f>SUM(Oct[[#This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SUM(Oct[[#This Row],[Early]:[Night        ]])+(Oct[[#This Row],[Baseline Assessment Score]]*60)</f>
        <v>0</v>
      </c>
      <c r="AF14" s="19">
        <f>Oct[[#This Row],[Total Mins over 24 hr]]/60</f>
        <v>0</v>
      </c>
      <c r="AG14" s="15">
        <f>SUM(D14,G14,J14,M14,P14,S14,V14,Y14,AB14)+(Oct[[#This Row],[Baseline Assessment Score]]*60/3)</f>
        <v>0</v>
      </c>
      <c r="AH14" s="19">
        <f>SUM(Oct[[#This Row],[Early (08.00 - 14.00) ]]/60)</f>
        <v>0</v>
      </c>
      <c r="AI14" s="15">
        <f>SUM(E14,H14,K14,N14,Q14,T14,W14,Z14,AC14)+(Oct[[#This Row],[Baseline Assessment Score]]*60/3)</f>
        <v>0</v>
      </c>
      <c r="AJ14" s="19">
        <f>SUM(Oct[[#This Row],[Late (14.00 - 20.00) ]]/60)</f>
        <v>0</v>
      </c>
      <c r="AK14" s="15">
        <f>SUM(F14,I14,L14,O14,R14,U14,X14,AA14,AD14)+(Oct[[#This Row],[Baseline Assessment Score]]*60/3)</f>
        <v>0</v>
      </c>
      <c r="AL14" s="88">
        <f>SUM(Oct[[#This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SUM(Oct[[#This Row],[Early]:[Night        ]])+(Oct[[#This Row],[Baseline Assessment Score]]*60)</f>
        <v>0</v>
      </c>
      <c r="AF15" s="19">
        <f>Oct[[#This Row],[Total Mins over 24 hr]]/60</f>
        <v>0</v>
      </c>
      <c r="AG15" s="15">
        <f>SUM(D15,G15,J15,M15,P15,S15,V15,Y15,AB15)+(Oct[[#This Row],[Baseline Assessment Score]]*60/3)</f>
        <v>0</v>
      </c>
      <c r="AH15" s="19">
        <f>SUM(Oct[[#This Row],[Early (08.00 - 14.00) ]]/60)</f>
        <v>0</v>
      </c>
      <c r="AI15" s="15">
        <f>SUM(E15,H15,K15,N15,Q15,T15,W15,Z15,AC15)+(Oct[[#This Row],[Baseline Assessment Score]]*60/3)</f>
        <v>0</v>
      </c>
      <c r="AJ15" s="19">
        <f>SUM(Oct[[#This Row],[Late (14.00 - 20.00) ]]/60)</f>
        <v>0</v>
      </c>
      <c r="AK15" s="15">
        <f>SUM(F15,I15,L15,O15,R15,U15,X15,AA15,AD15)+(Oct[[#This Row],[Baseline Assessment Score]]*60/3)</f>
        <v>0</v>
      </c>
      <c r="AL15" s="88">
        <f>SUM(Oct[[#This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SUM(Oct[[#This Row],[Early]:[Night        ]])+(Oct[[#This Row],[Baseline Assessment Score]]*60)</f>
        <v>0</v>
      </c>
      <c r="AF16" s="19">
        <f>Oct[[#This Row],[Total Mins over 24 hr]]/60</f>
        <v>0</v>
      </c>
      <c r="AG16" s="15">
        <f>SUM(D16,G16,J16,M16,P16,S16,V16,Y16,AB16)+(Oct[[#This Row],[Baseline Assessment Score]]*60/3)</f>
        <v>0</v>
      </c>
      <c r="AH16" s="19">
        <f>SUM(Oct[[#This Row],[Early (08.00 - 14.00) ]]/60)</f>
        <v>0</v>
      </c>
      <c r="AI16" s="15">
        <f>SUM(E16,H16,K16,N16,Q16,T16,W16,Z16,AC16)+(Oct[[#This Row],[Baseline Assessment Score]]*60/3)</f>
        <v>0</v>
      </c>
      <c r="AJ16" s="19">
        <f>SUM(Oct[[#This Row],[Late (14.00 - 20.00) ]]/60)</f>
        <v>0</v>
      </c>
      <c r="AK16" s="15">
        <f>SUM(F16,I16,L16,O16,R16,U16,X16,AA16,AD16)+(Oct[[#This Row],[Baseline Assessment Score]]*60/3)</f>
        <v>0</v>
      </c>
      <c r="AL16" s="88">
        <f>SUM(Oct[[#This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SUM(Oct[[#This Row],[Early]:[Night        ]])+(Oct[[#This Row],[Baseline Assessment Score]]*60)</f>
        <v>0</v>
      </c>
      <c r="AF17" s="19">
        <f>Oct[[#This Row],[Total Mins over 24 hr]]/60</f>
        <v>0</v>
      </c>
      <c r="AG17" s="15">
        <f>SUM(D17,G17,J17,M17,P17,S17,V17,Y17,AB17)+(Oct[[#This Row],[Baseline Assessment Score]]*60/3)</f>
        <v>0</v>
      </c>
      <c r="AH17" s="19">
        <f>SUM(Oct[[#This Row],[Early (08.00 - 14.00) ]]/60)</f>
        <v>0</v>
      </c>
      <c r="AI17" s="15">
        <f>SUM(E17,H17,K17,N17,Q17,T17,W17,Z17,AC17)+(Oct[[#This Row],[Baseline Assessment Score]]*60/3)</f>
        <v>0</v>
      </c>
      <c r="AJ17" s="19">
        <f>SUM(Oct[[#This Row],[Late (14.00 - 20.00) ]]/60)</f>
        <v>0</v>
      </c>
      <c r="AK17" s="15">
        <f>SUM(F17,I17,L17,O17,R17,U17,X17,AA17,AD17)+(Oct[[#This Row],[Baseline Assessment Score]]*60/3)</f>
        <v>0</v>
      </c>
      <c r="AL17" s="88">
        <f>SUM(Oct[[#This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SUM(Oct[[#This Row],[Early]:[Night        ]])+(Oct[[#This Row],[Baseline Assessment Score]]*60)</f>
        <v>0</v>
      </c>
      <c r="AF18" s="19">
        <f>Oct[[#This Row],[Total Mins over 24 hr]]/60</f>
        <v>0</v>
      </c>
      <c r="AG18" s="15">
        <f>SUM(D18,G18,J18,M18,P18,S18,V18,Y18,AB18)+(Oct[[#This Row],[Baseline Assessment Score]]*60/3)</f>
        <v>0</v>
      </c>
      <c r="AH18" s="19">
        <f>SUM(Oct[[#This Row],[Early (08.00 - 14.00) ]]/60)</f>
        <v>0</v>
      </c>
      <c r="AI18" s="15">
        <f>SUM(E18,H18,K18,N18,Q18,T18,W18,Z18,AC18)+(Oct[[#This Row],[Baseline Assessment Score]]*60/3)</f>
        <v>0</v>
      </c>
      <c r="AJ18" s="19">
        <f>SUM(Oct[[#This Row],[Late (14.00 - 20.00) ]]/60)</f>
        <v>0</v>
      </c>
      <c r="AK18" s="15">
        <f>SUM(F18,I18,L18,O18,R18,U18,X18,AA18,AD18)+(Oct[[#This Row],[Baseline Assessment Score]]*60/3)</f>
        <v>0</v>
      </c>
      <c r="AL18" s="88">
        <f>SUM(Oct[[#This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SUM(Oct[[#This Row],[Early]:[Night        ]])+(Oct[[#This Row],[Baseline Assessment Score]]*60)</f>
        <v>0</v>
      </c>
      <c r="AF19" s="19">
        <f>Oct[[#This Row],[Total Mins over 24 hr]]/60</f>
        <v>0</v>
      </c>
      <c r="AG19" s="15">
        <f>SUM(D19,G19,J19,M19,P19,S19,V19,Y19,AB19)+(Oct[[#This Row],[Baseline Assessment Score]]*60/3)</f>
        <v>0</v>
      </c>
      <c r="AH19" s="19">
        <f>SUM(Oct[[#This Row],[Early (08.00 - 14.00) ]]/60)</f>
        <v>0</v>
      </c>
      <c r="AI19" s="15">
        <f>SUM(E19,H19,K19,N19,Q19,T19,W19,Z19,AC19)+(Oct[[#This Row],[Baseline Assessment Score]]*60/3)</f>
        <v>0</v>
      </c>
      <c r="AJ19" s="19">
        <f>SUM(Oct[[#This Row],[Late (14.00 - 20.00) ]]/60)</f>
        <v>0</v>
      </c>
      <c r="AK19" s="15">
        <f>SUM(F19,I19,L19,O19,R19,U19,X19,AA19,AD19)+(Oct[[#This Row],[Baseline Assessment Score]]*60/3)</f>
        <v>0</v>
      </c>
      <c r="AL19" s="88">
        <f>SUM(Oct[[#This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SUM(Oct[[#This Row],[Early]:[Night        ]])+(Oct[[#This Row],[Baseline Assessment Score]]*60)</f>
        <v>0</v>
      </c>
      <c r="AF20" s="19">
        <f>Oct[[#This Row],[Total Mins over 24 hr]]/60</f>
        <v>0</v>
      </c>
      <c r="AG20" s="15">
        <f>SUM(D20,G20,J20,M20,P20,S20,V20,Y20,AB20)+(Oct[[#This Row],[Baseline Assessment Score]]*60/3)</f>
        <v>0</v>
      </c>
      <c r="AH20" s="19">
        <f>SUM(Oct[[#This Row],[Early (08.00 - 14.00) ]]/60)</f>
        <v>0</v>
      </c>
      <c r="AI20" s="15">
        <f>SUM(E20,H20,K20,N20,Q20,T20,W20,Z20,AC20)+(Oct[[#This Row],[Baseline Assessment Score]]*60/3)</f>
        <v>0</v>
      </c>
      <c r="AJ20" s="19">
        <f>SUM(Oct[[#This Row],[Late (14.00 - 20.00) ]]/60)</f>
        <v>0</v>
      </c>
      <c r="AK20" s="15">
        <f>SUM(F20,I20,L20,O20,R20,U20,X20,AA20,AD20)+(Oct[[#This Row],[Baseline Assessment Score]]*60/3)</f>
        <v>0</v>
      </c>
      <c r="AL20" s="88">
        <f>SUM(Oct[[#This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SUM(Oct[[#This Row],[Early]:[Night        ]])+(Oct[[#This Row],[Baseline Assessment Score]]*60)</f>
        <v>0</v>
      </c>
      <c r="AF21" s="19">
        <f>Oct[[#This Row],[Total Mins over 24 hr]]/60</f>
        <v>0</v>
      </c>
      <c r="AG21" s="15">
        <f>SUM(D21,G21,J21,M21,P21,S21,V21,Y21,AB21)+(Oct[[#This Row],[Baseline Assessment Score]]*60/3)</f>
        <v>0</v>
      </c>
      <c r="AH21" s="19">
        <f>SUM(Oct[[#This Row],[Early (08.00 - 14.00) ]]/60)</f>
        <v>0</v>
      </c>
      <c r="AI21" s="15">
        <f>SUM(E21,H21,K21,N21,Q21,T21,W21,Z21,AC21)+(Oct[[#This Row],[Baseline Assessment Score]]*60/3)</f>
        <v>0</v>
      </c>
      <c r="AJ21" s="19">
        <f>SUM(Oct[[#This Row],[Late (14.00 - 20.00) ]]/60)</f>
        <v>0</v>
      </c>
      <c r="AK21" s="15">
        <f>SUM(F21,I21,L21,O21,R21,U21,X21,AA21,AD21)+(Oct[[#This Row],[Baseline Assessment Score]]*60/3)</f>
        <v>0</v>
      </c>
      <c r="AL21" s="88">
        <f>SUM(Oct[[#This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SUM(Oct[[#This Row],[Early]:[Night        ]])+(Oct[[#This Row],[Baseline Assessment Score]]*60)</f>
        <v>0</v>
      </c>
      <c r="AF22" s="19">
        <f>Oct[[#This Row],[Total Mins over 24 hr]]/60</f>
        <v>0</v>
      </c>
      <c r="AG22" s="15">
        <f>SUM(D22,G22,J22,M22,P22,S22,V22,Y22,AB22)+(Oct[[#This Row],[Baseline Assessment Score]]*60/3)</f>
        <v>0</v>
      </c>
      <c r="AH22" s="19">
        <f>SUM(Oct[[#This Row],[Early (08.00 - 14.00) ]]/60)</f>
        <v>0</v>
      </c>
      <c r="AI22" s="15">
        <f>SUM(E22,H22,K22,N22,Q22,T22,W22,Z22,AC22)+(Oct[[#This Row],[Baseline Assessment Score]]*60/3)</f>
        <v>0</v>
      </c>
      <c r="AJ22" s="19">
        <f>SUM(Oct[[#This Row],[Late (14.00 - 20.00) ]]/60)</f>
        <v>0</v>
      </c>
      <c r="AK22" s="15">
        <f>SUM(F22,I22,L22,O22,R22,U22,X22,AA22,AD22)+(Oct[[#This Row],[Baseline Assessment Score]]*60/3)</f>
        <v>0</v>
      </c>
      <c r="AL22" s="88">
        <f>SUM(Oct[[#This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SUM(Oct[[#This Row],[Early]:[Night        ]])+(Oct[[#This Row],[Baseline Assessment Score]]*60)</f>
        <v>0</v>
      </c>
      <c r="AF23" s="19">
        <f>Oct[[#This Row],[Total Mins over 24 hr]]/60</f>
        <v>0</v>
      </c>
      <c r="AG23" s="15">
        <f>SUM(D23,G23,J23,M23,P23,S23,V23,Y23,AB23)+(Oct[[#This Row],[Baseline Assessment Score]]*60/3)</f>
        <v>0</v>
      </c>
      <c r="AH23" s="19">
        <f>SUM(Oct[[#This Row],[Early (08.00 - 14.00) ]]/60)</f>
        <v>0</v>
      </c>
      <c r="AI23" s="15">
        <f>SUM(E23,H23,K23,N23,Q23,T23,W23,Z23,AC23)+(Oct[[#This Row],[Baseline Assessment Score]]*60/3)</f>
        <v>0</v>
      </c>
      <c r="AJ23" s="19">
        <f>SUM(Oct[[#This Row],[Late (14.00 - 20.00) ]]/60)</f>
        <v>0</v>
      </c>
      <c r="AK23" s="15">
        <f>SUM(F23,I23,L23,O23,R23,U23,X23,AA23,AD23)+(Oct[[#This Row],[Baseline Assessment Score]]*60/3)</f>
        <v>0</v>
      </c>
      <c r="AL23" s="88">
        <f>SUM(Oct[[#This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SUM(Oct[[#This Row],[Early]:[Night        ]])+(Oct[[#This Row],[Baseline Assessment Score]]*60)</f>
        <v>0</v>
      </c>
      <c r="AF24" s="19">
        <f>Oct[[#This Row],[Total Mins over 24 hr]]/60</f>
        <v>0</v>
      </c>
      <c r="AG24" s="15">
        <f>SUM(D24,G24,J24,M24,P24,S24,V24,Y24,AB24)+(Oct[[#This Row],[Baseline Assessment Score]]*60/3)</f>
        <v>0</v>
      </c>
      <c r="AH24" s="19">
        <f>SUM(Oct[[#This Row],[Early (08.00 - 14.00) ]]/60)</f>
        <v>0</v>
      </c>
      <c r="AI24" s="15">
        <f>SUM(E24,H24,K24,N24,Q24,T24,W24,Z24,AC24)+(Oct[[#This Row],[Baseline Assessment Score]]*60/3)</f>
        <v>0</v>
      </c>
      <c r="AJ24" s="19">
        <f>SUM(Oct[[#This Row],[Late (14.00 - 20.00) ]]/60)</f>
        <v>0</v>
      </c>
      <c r="AK24" s="15">
        <f>SUM(F24,I24,L24,O24,R24,U24,X24,AA24,AD24)+(Oct[[#This Row],[Baseline Assessment Score]]*60/3)</f>
        <v>0</v>
      </c>
      <c r="AL24" s="88">
        <f>SUM(Oct[[#This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SUM(Oct[[#This Row],[Early]:[Night        ]])+(Oct[[#This Row],[Baseline Assessment Score]]*60)</f>
        <v>0</v>
      </c>
      <c r="AF25" s="19">
        <f>Oct[[#This Row],[Total Mins over 24 hr]]/60</f>
        <v>0</v>
      </c>
      <c r="AG25" s="15">
        <f>SUM(D25,G25,J25,M25,P25,S25,V25,Y25,AB25)+(Oct[[#This Row],[Baseline Assessment Score]]*60/3)</f>
        <v>0</v>
      </c>
      <c r="AH25" s="19">
        <f>SUM(Oct[[#This Row],[Early (08.00 - 14.00) ]]/60)</f>
        <v>0</v>
      </c>
      <c r="AI25" s="15">
        <f>SUM(E25,H25,K25,N25,Q25,T25,W25,Z25,AC25)+(Oct[[#This Row],[Baseline Assessment Score]]*60/3)</f>
        <v>0</v>
      </c>
      <c r="AJ25" s="19">
        <f>SUM(Oct[[#This Row],[Late (14.00 - 20.00) ]]/60)</f>
        <v>0</v>
      </c>
      <c r="AK25" s="15">
        <f>SUM(F25,I25,L25,O25,R25,U25,X25,AA25,AD25)+(Oct[[#This Row],[Baseline Assessment Score]]*60/3)</f>
        <v>0</v>
      </c>
      <c r="AL25" s="88">
        <f>SUM(Oct[[#This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SUM(Oct[[#This Row],[Early]:[Night        ]])+(Oct[[#This Row],[Baseline Assessment Score]]*60)</f>
        <v>0</v>
      </c>
      <c r="AF26" s="19">
        <f>Oct[[#This Row],[Total Mins over 24 hr]]/60</f>
        <v>0</v>
      </c>
      <c r="AG26" s="15">
        <f>SUM(D26,G26,J26,M26,P26,S26,V26,Y26,AB26)+(Oct[[#This Row],[Baseline Assessment Score]]*60/3)</f>
        <v>0</v>
      </c>
      <c r="AH26" s="19">
        <f>SUM(Oct[[#This Row],[Early (08.00 - 14.00) ]]/60)</f>
        <v>0</v>
      </c>
      <c r="AI26" s="15">
        <f>SUM(E26,H26,K26,N26,Q26,T26,W26,Z26,AC26)+(Oct[[#This Row],[Baseline Assessment Score]]*60/3)</f>
        <v>0</v>
      </c>
      <c r="AJ26" s="19">
        <f>SUM(Oct[[#This Row],[Late (14.00 - 20.00) ]]/60)</f>
        <v>0</v>
      </c>
      <c r="AK26" s="15">
        <f>SUM(F26,I26,L26,O26,R26,U26,X26,AA26,AD26)+(Oct[[#This Row],[Baseline Assessment Score]]*60/3)</f>
        <v>0</v>
      </c>
      <c r="AL26" s="88">
        <f>SUM(Oct[[#This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SUM(Oct[[#This Row],[Early]:[Night        ]])+(Oct[[#This Row],[Baseline Assessment Score]]*60)</f>
        <v>0</v>
      </c>
      <c r="AF27" s="19">
        <f>Oct[[#This Row],[Total Mins over 24 hr]]/60</f>
        <v>0</v>
      </c>
      <c r="AG27" s="15">
        <f>SUM(D27,G27,J27,M27,P27,S27,V27,Y27,AB27)+(Oct[[#This Row],[Baseline Assessment Score]]*60/3)</f>
        <v>0</v>
      </c>
      <c r="AH27" s="19">
        <f>SUM(Oct[[#This Row],[Early (08.00 - 14.00) ]]/60)</f>
        <v>0</v>
      </c>
      <c r="AI27" s="15">
        <f>SUM(E27,H27,K27,N27,Q27,T27,W27,Z27,AC27)+(Oct[[#This Row],[Baseline Assessment Score]]*60/3)</f>
        <v>0</v>
      </c>
      <c r="AJ27" s="19">
        <f>SUM(Oct[[#This Row],[Late (14.00 - 20.00) ]]/60)</f>
        <v>0</v>
      </c>
      <c r="AK27" s="15">
        <f>SUM(F27,I27,L27,O27,R27,U27,X27,AA27,AD27)+(Oct[[#This Row],[Baseline Assessment Score]]*60/3)</f>
        <v>0</v>
      </c>
      <c r="AL27" s="88">
        <f>SUM(Oct[[#This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SUM(Oct[[#This Row],[Early]:[Night        ]])+(Oct[[#This Row],[Baseline Assessment Score]]*60)</f>
        <v>0</v>
      </c>
      <c r="AF28" s="19">
        <f>Oct[[#This Row],[Total Mins over 24 hr]]/60</f>
        <v>0</v>
      </c>
      <c r="AG28" s="15">
        <f>SUM(D28,G28,J28,M28,P28,S28,V28,Y28,AB28)+(Oct[[#This Row],[Baseline Assessment Score]]*60/3)</f>
        <v>0</v>
      </c>
      <c r="AH28" s="19">
        <f>SUM(Oct[[#This Row],[Early (08.00 - 14.00) ]]/60)</f>
        <v>0</v>
      </c>
      <c r="AI28" s="15">
        <f>SUM(E28,H28,K28,N28,Q28,T28,W28,Z28,AC28)+(Oct[[#This Row],[Baseline Assessment Score]]*60/3)</f>
        <v>0</v>
      </c>
      <c r="AJ28" s="19">
        <f>SUM(Oct[[#This Row],[Late (14.00 - 20.00) ]]/60)</f>
        <v>0</v>
      </c>
      <c r="AK28" s="15">
        <f>SUM(F28,I28,L28,O28,R28,U28,X28,AA28,AD28)+(Oct[[#This Row],[Baseline Assessment Score]]*60/3)</f>
        <v>0</v>
      </c>
      <c r="AL28" s="88">
        <f>SUM(Oct[[#This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SUM(Oct[[#This Row],[Early]:[Night        ]])+(Oct[[#This Row],[Baseline Assessment Score]]*60)</f>
        <v>0</v>
      </c>
      <c r="AF29" s="19">
        <f>Oct[[#This Row],[Total Mins over 24 hr]]/60</f>
        <v>0</v>
      </c>
      <c r="AG29" s="15">
        <f>SUM(D29,G29,J29,M29,P29,S29,V29,Y29,AB29)+(Oct[[#This Row],[Baseline Assessment Score]]*60/3)</f>
        <v>0</v>
      </c>
      <c r="AH29" s="19">
        <f>SUM(Oct[[#This Row],[Early (08.00 - 14.00) ]]/60)</f>
        <v>0</v>
      </c>
      <c r="AI29" s="15">
        <f>SUM(E29,H29,K29,N29,Q29,T29,W29,Z29,AC29)+(Oct[[#This Row],[Baseline Assessment Score]]*60/3)</f>
        <v>0</v>
      </c>
      <c r="AJ29" s="19">
        <f>SUM(Oct[[#This Row],[Late (14.00 - 20.00) ]]/60)</f>
        <v>0</v>
      </c>
      <c r="AK29" s="15">
        <f>SUM(F29,I29,L29,O29,R29,U29,X29,AA29,AD29)+(Oct[[#This Row],[Baseline Assessment Score]]*60/3)</f>
        <v>0</v>
      </c>
      <c r="AL29" s="88">
        <f>SUM(Oct[[#This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SUM(Oct[[#This Row],[Early]:[Night        ]])+(Oct[[#This Row],[Baseline Assessment Score]]*60)</f>
        <v>0</v>
      </c>
      <c r="AF30" s="19">
        <f>Oct[[#This Row],[Total Mins over 24 hr]]/60</f>
        <v>0</v>
      </c>
      <c r="AG30" s="15">
        <f>SUM(D30,G30,J30,M30,P30,S30,V30,Y30,AB30)+(Oct[[#This Row],[Baseline Assessment Score]]*60/3)</f>
        <v>0</v>
      </c>
      <c r="AH30" s="19">
        <f>SUM(Oct[[#This Row],[Early (08.00 - 14.00) ]]/60)</f>
        <v>0</v>
      </c>
      <c r="AI30" s="15">
        <f>SUM(E30,H30,K30,N30,Q30,T30,W30,Z30,AC30)+(Oct[[#This Row],[Baseline Assessment Score]]*60/3)</f>
        <v>0</v>
      </c>
      <c r="AJ30" s="19">
        <f>SUM(Oct[[#This Row],[Late (14.00 - 20.00) ]]/60)</f>
        <v>0</v>
      </c>
      <c r="AK30" s="15">
        <f>SUM(F30,I30,L30,O30,R30,U30,X30,AA30,AD30)+(Oct[[#This Row],[Baseline Assessment Score]]*60/3)</f>
        <v>0</v>
      </c>
      <c r="AL30" s="88">
        <f>SUM(Oct[[#This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SUM(Oct[[#This Row],[Early]:[Night        ]])+(Oct[[#This Row],[Baseline Assessment Score]]*60)</f>
        <v>0</v>
      </c>
      <c r="AF31" s="19">
        <f>Oct[[#This Row],[Total Mins over 24 hr]]/60</f>
        <v>0</v>
      </c>
      <c r="AG31" s="15">
        <f>SUM(D31,G31,J31,M31,P31,S31,V31,Y31,AB31)+(Oct[[#This Row],[Baseline Assessment Score]]*60/3)</f>
        <v>0</v>
      </c>
      <c r="AH31" s="19">
        <f>SUM(Oct[[#This Row],[Early (08.00 - 14.00) ]]/60)</f>
        <v>0</v>
      </c>
      <c r="AI31" s="15">
        <f>SUM(E31,H31,K31,N31,Q31,T31,W31,Z31,AC31)+(Oct[[#This Row],[Baseline Assessment Score]]*60/3)</f>
        <v>0</v>
      </c>
      <c r="AJ31" s="19">
        <f>SUM(Oct[[#This Row],[Late (14.00 - 20.00) ]]/60)</f>
        <v>0</v>
      </c>
      <c r="AK31" s="15">
        <f>SUM(F31,I31,L31,O31,R31,U31,X31,AA31,AD31)+(Oct[[#This Row],[Baseline Assessment Score]]*60/3)</f>
        <v>0</v>
      </c>
      <c r="AL31" s="88">
        <f>SUM(Oct[[#This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SUM(Oct[[#This Row],[Early]:[Night        ]])+(Oct[[#This Row],[Baseline Assessment Score]]*60)</f>
        <v>0</v>
      </c>
      <c r="AF32" s="19">
        <f>Oct[[#This Row],[Total Mins over 24 hr]]/60</f>
        <v>0</v>
      </c>
      <c r="AG32" s="15">
        <f>SUM(D32,G32,J32,M32,P32,S32,V32,Y32,AB32)+(Oct[[#This Row],[Baseline Assessment Score]]*60/3)</f>
        <v>0</v>
      </c>
      <c r="AH32" s="19">
        <f>SUM(Oct[[#This Row],[Early (08.00 - 14.00) ]]/60)</f>
        <v>0</v>
      </c>
      <c r="AI32" s="15">
        <f>SUM(E32,H32,K32,N32,Q32,T32,W32,Z32,AC32)+(Oct[[#This Row],[Baseline Assessment Score]]*60/3)</f>
        <v>0</v>
      </c>
      <c r="AJ32" s="19">
        <f>SUM(Oct[[#This Row],[Late (14.00 - 20.00) ]]/60)</f>
        <v>0</v>
      </c>
      <c r="AK32" s="15">
        <f>SUM(F32,I32,L32,O32,R32,U32,X32,AA32,AD32)+(Oct[[#This Row],[Baseline Assessment Score]]*60/3)</f>
        <v>0</v>
      </c>
      <c r="AL32" s="88">
        <f>SUM(Oct[[#This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SUM(Oct[[#This Row],[Early]:[Night        ]])+(Oct[[#This Row],[Baseline Assessment Score]]*60)</f>
        <v>0</v>
      </c>
      <c r="AF33" s="19">
        <f>Oct[[#This Row],[Total Mins over 24 hr]]/60</f>
        <v>0</v>
      </c>
      <c r="AG33" s="15">
        <f>SUM(D33,G33,J33,M33,P33,S33,V33,Y33,AB33)+(Oct[[#This Row],[Baseline Assessment Score]]*60/3)</f>
        <v>0</v>
      </c>
      <c r="AH33" s="19">
        <f>SUM(Oct[[#This Row],[Early (08.00 - 14.00) ]]/60)</f>
        <v>0</v>
      </c>
      <c r="AI33" s="15">
        <f>SUM(E33,H33,K33,N33,Q33,T33,W33,Z33,AC33)+(Oct[[#This Row],[Baseline Assessment Score]]*60/3)</f>
        <v>0</v>
      </c>
      <c r="AJ33" s="19">
        <f>SUM(Oct[[#This Row],[Late (14.00 - 20.00) ]]/60)</f>
        <v>0</v>
      </c>
      <c r="AK33" s="15">
        <f>SUM(F33,I33,L33,O33,R33,U33,X33,AA33,AD33)+(Oct[[#This Row],[Baseline Assessment Score]]*60/3)</f>
        <v>0</v>
      </c>
      <c r="AL33" s="88">
        <f>SUM(Oct[[#This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SUM(Oct[[#This Row],[Early]:[Night        ]])+(Oct[[#This Row],[Baseline Assessment Score]]*60)</f>
        <v>0</v>
      </c>
      <c r="AF34" s="19">
        <f>Oct[[#This Row],[Total Mins over 24 hr]]/60</f>
        <v>0</v>
      </c>
      <c r="AG34" s="15">
        <f>SUM(D34,G34,J34,M34,P34,S34,V34,Y34,AB34)+(Oct[[#This Row],[Baseline Assessment Score]]*60/3)</f>
        <v>0</v>
      </c>
      <c r="AH34" s="19">
        <f>SUM(Oct[[#This Row],[Early (08.00 - 14.00) ]]/60)</f>
        <v>0</v>
      </c>
      <c r="AI34" s="15">
        <f>SUM(E34,H34,K34,N34,Q34,T34,W34,Z34,AC34)+(Oct[[#This Row],[Baseline Assessment Score]]*60/3)</f>
        <v>0</v>
      </c>
      <c r="AJ34" s="19">
        <f>SUM(Oct[[#This Row],[Late (14.00 - 20.00) ]]/60)</f>
        <v>0</v>
      </c>
      <c r="AK34" s="15">
        <f>SUM(F34,I34,L34,O34,R34,U34,X34,AA34,AD34)+(Oct[[#This Row],[Baseline Assessment Score]]*60/3)</f>
        <v>0</v>
      </c>
      <c r="AL34" s="88">
        <f>SUM(Oct[[#This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SUM(Oct[[#This Row],[Early]:[Night        ]])+(Oct[[#This Row],[Baseline Assessment Score]]*60)</f>
        <v>0</v>
      </c>
      <c r="AF35" s="19">
        <f>Oct[[#This Row],[Total Mins over 24 hr]]/60</f>
        <v>0</v>
      </c>
      <c r="AG35" s="15">
        <f>SUM(D35,G35,J35,M35,P35,S35,V35,Y35,AB35)+(Oct[[#This Row],[Baseline Assessment Score]]*60/3)</f>
        <v>0</v>
      </c>
      <c r="AH35" s="19">
        <f>SUM(Oct[[#This Row],[Early (08.00 - 14.00) ]]/60)</f>
        <v>0</v>
      </c>
      <c r="AI35" s="15">
        <f>SUM(E35,H35,K35,N35,Q35,T35,W35,Z35,AC35)+(Oct[[#This Row],[Baseline Assessment Score]]*60/3)</f>
        <v>0</v>
      </c>
      <c r="AJ35" s="19">
        <f>SUM(Oct[[#This Row],[Late (14.00 - 20.00) ]]/60)</f>
        <v>0</v>
      </c>
      <c r="AK35" s="15">
        <f>SUM(F35,I35,L35,O35,R35,U35,X35,AA35,AD35)+(Oct[[#This Row],[Baseline Assessment Score]]*60/3)</f>
        <v>0</v>
      </c>
      <c r="AL35" s="88">
        <f>SUM(Oct[[#This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SUM(Oct[[#This Row],[Early]:[Night        ]])+(Oct[[#This Row],[Baseline Assessment Score]]*60)</f>
        <v>0</v>
      </c>
      <c r="AF36" s="20">
        <f>Oct[[#This Row],[Total Mins over 24 hr]]/60</f>
        <v>0</v>
      </c>
      <c r="AG36" s="18">
        <f>SUM(D36,G36,J36,M36,P36,S36,V36,Y36,AB36)+(Oct[[#This Row],[Baseline Assessment Score]]*60/3)</f>
        <v>0</v>
      </c>
      <c r="AH36" s="20">
        <f>SUM(Oct[[#This Row],[Early (08.00 - 14.00) ]]/60)</f>
        <v>0</v>
      </c>
      <c r="AI36" s="18">
        <f>SUM(E36,H36,K36,N36,Q36,T36,W36,Z36,AC36)+(Oct[[#This Row],[Baseline Assessment Score]]*60/3)</f>
        <v>0</v>
      </c>
      <c r="AJ36" s="20">
        <f>SUM(Oct[[#This Row],[Late (14.00 - 20.00) ]]/60)</f>
        <v>0</v>
      </c>
      <c r="AK36" s="18">
        <f>SUM(F36,I36,L36,O36,R36,U36,X36,AA36,AD36)+(Oct[[#This Row],[Baseline Assessment Score]]*60/3)</f>
        <v>0</v>
      </c>
      <c r="AL36" s="91">
        <f>SUM(Oct[[#This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305" t="s">
        <v>51</v>
      </c>
      <c r="W37" s="306"/>
      <c r="X37" s="306"/>
      <c r="Y37" s="306"/>
      <c r="Z37" s="306"/>
      <c r="AA37" s="306"/>
      <c r="AB37" s="306"/>
      <c r="AC37" s="306"/>
      <c r="AD37" s="306"/>
      <c r="AE37" s="310">
        <f>SUM(Oct[Actual contact time (hours)])</f>
        <v>0</v>
      </c>
      <c r="AF37" s="310"/>
      <c r="AG37" s="310">
        <f>SUM(Oct[Contact time per shift])</f>
        <v>0</v>
      </c>
      <c r="AH37" s="311"/>
      <c r="AI37" s="310">
        <f>SUM(Oct[[Contact time per shift ]])</f>
        <v>0</v>
      </c>
      <c r="AJ37" s="311"/>
      <c r="AK37" s="310">
        <f>SUM(Oct[[Contact time per shift  ]])</f>
        <v>0</v>
      </c>
      <c r="AL37" s="312"/>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COUNTIF(Oct[Adults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19" priority="2" operator="greaterThan">
      <formula>$AL$7</formula>
    </cfRule>
    <cfRule type="cellIs" dxfId="18" priority="3" operator="between">
      <formula>$AJ$7</formula>
      <formula>$AL$7</formula>
    </cfRule>
    <cfRule type="cellIs" dxfId="17" priority="4" operator="between">
      <formula>$AJ$6</formula>
      <formula>$AL$6</formula>
    </cfRule>
    <cfRule type="cellIs" dxfId="16" priority="5" operator="between">
      <formula>$AJ$5</formula>
      <formula>$AL$5</formula>
    </cfRule>
  </conditionalFormatting>
  <dataValidations count="1">
    <dataValidation type="list" allowBlank="1" showInputMessage="1" showErrorMessage="1" sqref="C13:C36" xr:uid="{016F7A62-F15C-4A24-AF30-AC8F3A79594A}">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CDA79C6D-052A-4F4E-BF52-4578D18B1EA2}">
            <xm:f>NOT(ISERROR(SEARCH($R$8,C13)))</xm:f>
            <xm:f>$R$8</xm:f>
            <x14:dxf>
              <fill>
                <patternFill>
                  <bgColor rgb="FFFF9999"/>
                </patternFill>
              </fill>
            </x14:dxf>
          </x14:cfRule>
          <x14:cfRule type="containsText" priority="7" operator="containsText" id="{0C8CBE11-4747-48D1-92A8-719002BF0C7E}">
            <xm:f>NOT(ISERROR(SEARCH($R$7,C13)))</xm:f>
            <xm:f>$R$7</xm:f>
            <x14:dxf>
              <fill>
                <patternFill>
                  <bgColor theme="5" tint="0.59996337778862885"/>
                </patternFill>
              </fill>
            </x14:dxf>
          </x14:cfRule>
          <x14:cfRule type="containsText" priority="8" operator="containsText" id="{94D98A46-5A66-4843-9E38-407984A6FE29}">
            <xm:f>NOT(ISERROR(SEARCH($R$6,C13)))</xm:f>
            <xm:f>$R$6</xm:f>
            <x14:dxf>
              <fill>
                <patternFill>
                  <bgColor theme="9" tint="0.59996337778862885"/>
                </patternFill>
              </fill>
            </x14:dxf>
          </x14:cfRule>
          <x14:cfRule type="containsText" priority="9" operator="containsText" id="{B259D15F-30DB-442D-A7E7-4E50F23D115D}">
            <xm:f>NOT(ISERROR(SEARCH($R$5,C13)))</xm:f>
            <xm:f>$R$5</xm:f>
            <x14:dxf>
              <fill>
                <patternFill>
                  <bgColor theme="8" tint="0.79998168889431442"/>
                </patternFill>
              </fill>
            </x14:dxf>
          </x14:cfRule>
          <xm:sqref>C13:C36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13AD-92EB-4E24-91EF-7CEB79E2A842}">
  <sheetPr>
    <tabColor rgb="FFCFAFE7"/>
  </sheetPr>
  <dimension ref="B2:AL58"/>
  <sheetViews>
    <sheetView zoomScale="80" zoomScaleNormal="80" workbookViewId="0">
      <selection activeCell="L21" sqref="L21"/>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115" t="s">
        <v>1</v>
      </c>
      <c r="C5" s="255"/>
      <c r="D5" s="256"/>
      <c r="E5" s="256"/>
      <c r="F5" s="256"/>
      <c r="G5" s="256"/>
      <c r="H5" s="256"/>
      <c r="I5" s="257"/>
      <c r="R5" s="46">
        <v>1</v>
      </c>
      <c r="S5" s="271" t="s">
        <v>116</v>
      </c>
      <c r="T5" s="272"/>
      <c r="U5" s="273"/>
      <c r="V5" s="46">
        <f>COUNTIF(Nov[Baseline Assessment Score],1)</f>
        <v>0</v>
      </c>
      <c r="AE5" s="250" t="s">
        <v>119</v>
      </c>
      <c r="AF5" s="251"/>
      <c r="AG5" s="252"/>
      <c r="AH5" s="253" t="s">
        <v>66</v>
      </c>
      <c r="AI5" s="254"/>
      <c r="AJ5" s="51">
        <v>0</v>
      </c>
      <c r="AK5" s="11" t="s">
        <v>120</v>
      </c>
      <c r="AL5" s="52">
        <v>5</v>
      </c>
    </row>
    <row r="6" spans="2:38" ht="15.75" thickBot="1" x14ac:dyDescent="0.25">
      <c r="B6" s="116" t="s">
        <v>2</v>
      </c>
      <c r="C6" s="258" t="s">
        <v>133</v>
      </c>
      <c r="D6" s="259"/>
      <c r="E6" s="260"/>
      <c r="F6" s="117" t="s">
        <v>0</v>
      </c>
      <c r="G6" s="246"/>
      <c r="H6" s="247"/>
      <c r="I6" s="248"/>
      <c r="R6" s="47">
        <v>2</v>
      </c>
      <c r="S6" s="268" t="s">
        <v>66</v>
      </c>
      <c r="T6" s="269"/>
      <c r="U6" s="270"/>
      <c r="V6" s="47">
        <f>COUNTIF(Nov[Baseline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COUNTIF(Nov[Baseline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COUNTIF(Nov[Baseline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321" t="s">
        <v>40</v>
      </c>
      <c r="E11" s="322"/>
      <c r="F11" s="323"/>
      <c r="G11" s="313" t="s">
        <v>41</v>
      </c>
      <c r="H11" s="314"/>
      <c r="I11" s="315"/>
      <c r="J11" s="316" t="s">
        <v>42</v>
      </c>
      <c r="K11" s="317"/>
      <c r="L11" s="318"/>
      <c r="M11" s="313" t="s">
        <v>47</v>
      </c>
      <c r="N11" s="314"/>
      <c r="O11" s="315"/>
      <c r="P11" s="316" t="s">
        <v>43</v>
      </c>
      <c r="Q11" s="317"/>
      <c r="R11" s="318"/>
      <c r="S11" s="313" t="s">
        <v>44</v>
      </c>
      <c r="T11" s="314"/>
      <c r="U11" s="315"/>
      <c r="V11" s="316" t="s">
        <v>95</v>
      </c>
      <c r="W11" s="317"/>
      <c r="X11" s="318"/>
      <c r="Y11" s="313" t="s">
        <v>45</v>
      </c>
      <c r="Z11" s="314"/>
      <c r="AA11" s="315"/>
      <c r="AB11" s="316" t="s">
        <v>46</v>
      </c>
      <c r="AC11" s="317"/>
      <c r="AD11" s="318"/>
    </row>
    <row r="12" spans="2:38" ht="55.5" thickBot="1" x14ac:dyDescent="0.25">
      <c r="B12" s="122" t="s">
        <v>3</v>
      </c>
      <c r="C12" s="123" t="s">
        <v>39</v>
      </c>
      <c r="D12" s="118" t="s">
        <v>4</v>
      </c>
      <c r="E12" s="119" t="s">
        <v>5</v>
      </c>
      <c r="F12" s="120" t="s">
        <v>6</v>
      </c>
      <c r="G12" s="124" t="s">
        <v>13</v>
      </c>
      <c r="H12" s="124" t="s">
        <v>14</v>
      </c>
      <c r="I12" s="125" t="s">
        <v>15</v>
      </c>
      <c r="J12" s="119" t="s">
        <v>16</v>
      </c>
      <c r="K12" s="119" t="s">
        <v>17</v>
      </c>
      <c r="L12" s="120" t="s">
        <v>18</v>
      </c>
      <c r="M12" s="124" t="s">
        <v>19</v>
      </c>
      <c r="N12" s="124" t="s">
        <v>20</v>
      </c>
      <c r="O12" s="125" t="s">
        <v>21</v>
      </c>
      <c r="P12" s="119" t="s">
        <v>22</v>
      </c>
      <c r="Q12" s="119" t="s">
        <v>23</v>
      </c>
      <c r="R12" s="120" t="s">
        <v>24</v>
      </c>
      <c r="S12" s="124" t="s">
        <v>25</v>
      </c>
      <c r="T12" s="124" t="s">
        <v>26</v>
      </c>
      <c r="U12" s="125" t="s">
        <v>27</v>
      </c>
      <c r="V12" s="119" t="s">
        <v>28</v>
      </c>
      <c r="W12" s="119" t="s">
        <v>29</v>
      </c>
      <c r="X12" s="120" t="s">
        <v>30</v>
      </c>
      <c r="Y12" s="124" t="s">
        <v>32</v>
      </c>
      <c r="Z12" s="124" t="s">
        <v>33</v>
      </c>
      <c r="AA12" s="125" t="s">
        <v>34</v>
      </c>
      <c r="AB12" s="119" t="s">
        <v>31</v>
      </c>
      <c r="AC12" s="119" t="s">
        <v>35</v>
      </c>
      <c r="AD12" s="120" t="s">
        <v>36</v>
      </c>
      <c r="AE12" s="121" t="s">
        <v>7</v>
      </c>
      <c r="AF12" s="120" t="s">
        <v>8</v>
      </c>
      <c r="AG12" s="126" t="s">
        <v>9</v>
      </c>
      <c r="AH12" s="125" t="s">
        <v>12</v>
      </c>
      <c r="AI12" s="121" t="s">
        <v>11</v>
      </c>
      <c r="AJ12" s="120" t="s">
        <v>10</v>
      </c>
      <c r="AK12" s="126" t="s">
        <v>37</v>
      </c>
      <c r="AL12" s="127"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SUM(Nov[[#This Row],[Early]:[Night        ]])+(Nov[[#This Row],[Baseline Assessment Score]]*60)</f>
        <v>0</v>
      </c>
      <c r="AF13" s="16">
        <f>Nov[[#This Row],[Total Mins over 24 hr]]/60</f>
        <v>0</v>
      </c>
      <c r="AG13" s="13">
        <f>SUM(D13,G13,J13,M13,P13,S13,V13,Y13,AB13)+(Nov[[#This Row],[Baseline Assessment Score]]*60/3)</f>
        <v>0</v>
      </c>
      <c r="AH13" s="16">
        <f>SUM(Nov[[#This Row],[Early (08.00 - 14.00) ]]/60)</f>
        <v>0</v>
      </c>
      <c r="AI13" s="13">
        <f>SUM(E13,H13,K13,N13,Q13,T13,W13,Z13,AC13)+(Nov[[#This Row],[Baseline Assessment Score]]*60/3)</f>
        <v>0</v>
      </c>
      <c r="AJ13" s="16">
        <f>SUM(Nov[[#This Row],[Late (14.00 - 20.00) ]]/60)</f>
        <v>0</v>
      </c>
      <c r="AK13" s="13">
        <f>SUM(F13,I13,L13,O13,R13,U13,X13,AA13,AD13)+(Nov[[#This Row],[Baseline Assessment Score]]*60/3)</f>
        <v>0</v>
      </c>
      <c r="AL13" s="86">
        <f>SUM(Nov[[#This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SUM(Nov[[#This Row],[Early]:[Night        ]])+(Nov[[#This Row],[Baseline Assessment Score]]*60)</f>
        <v>0</v>
      </c>
      <c r="AF14" s="19">
        <f>Nov[[#This Row],[Total Mins over 24 hr]]/60</f>
        <v>0</v>
      </c>
      <c r="AG14" s="15">
        <f>SUM(D14,G14,J14,M14,P14,S14,V14,Y14,AB14)+(Nov[[#This Row],[Baseline Assessment Score]]*60/3)</f>
        <v>0</v>
      </c>
      <c r="AH14" s="19">
        <f>SUM(Nov[[#This Row],[Early (08.00 - 14.00) ]]/60)</f>
        <v>0</v>
      </c>
      <c r="AI14" s="15">
        <f>SUM(E14,H14,K14,N14,Q14,T14,W14,Z14,AC14)+(Nov[[#This Row],[Baseline Assessment Score]]*60/3)</f>
        <v>0</v>
      </c>
      <c r="AJ14" s="19">
        <f>SUM(Nov[[#This Row],[Late (14.00 - 20.00) ]]/60)</f>
        <v>0</v>
      </c>
      <c r="AK14" s="15">
        <f>SUM(F14,I14,L14,O14,R14,U14,X14,AA14,AD14)+(Nov[[#This Row],[Baseline Assessment Score]]*60/3)</f>
        <v>0</v>
      </c>
      <c r="AL14" s="88">
        <f>SUM(Nov[[#This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SUM(Nov[[#This Row],[Early]:[Night        ]])+(Nov[[#This Row],[Baseline Assessment Score]]*60)</f>
        <v>0</v>
      </c>
      <c r="AF15" s="19">
        <f>Nov[[#This Row],[Total Mins over 24 hr]]/60</f>
        <v>0</v>
      </c>
      <c r="AG15" s="15">
        <f>SUM(D15,G15,J15,M15,P15,S15,V15,Y15,AB15)+(Nov[[#This Row],[Baseline Assessment Score]]*60/3)</f>
        <v>0</v>
      </c>
      <c r="AH15" s="19">
        <f>SUM(Nov[[#This Row],[Early (08.00 - 14.00) ]]/60)</f>
        <v>0</v>
      </c>
      <c r="AI15" s="15">
        <f>SUM(E15,H15,K15,N15,Q15,T15,W15,Z15,AC15)+(Nov[[#This Row],[Baseline Assessment Score]]*60/3)</f>
        <v>0</v>
      </c>
      <c r="AJ15" s="19">
        <f>SUM(Nov[[#This Row],[Late (14.00 - 20.00) ]]/60)</f>
        <v>0</v>
      </c>
      <c r="AK15" s="15">
        <f>SUM(F15,I15,L15,O15,R15,U15,X15,AA15,AD15)+(Nov[[#This Row],[Baseline Assessment Score]]*60/3)</f>
        <v>0</v>
      </c>
      <c r="AL15" s="88">
        <f>SUM(Nov[[#This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SUM(Nov[[#This Row],[Early]:[Night        ]])+(Nov[[#This Row],[Baseline Assessment Score]]*60)</f>
        <v>0</v>
      </c>
      <c r="AF16" s="19">
        <f>Nov[[#This Row],[Total Mins over 24 hr]]/60</f>
        <v>0</v>
      </c>
      <c r="AG16" s="15">
        <f>SUM(D16,G16,J16,M16,P16,S16,V16,Y16,AB16)+(Nov[[#This Row],[Baseline Assessment Score]]*60/3)</f>
        <v>0</v>
      </c>
      <c r="AH16" s="19">
        <f>SUM(Nov[[#This Row],[Early (08.00 - 14.00) ]]/60)</f>
        <v>0</v>
      </c>
      <c r="AI16" s="15">
        <f>SUM(E16,H16,K16,N16,Q16,T16,W16,Z16,AC16)+(Nov[[#This Row],[Baseline Assessment Score]]*60/3)</f>
        <v>0</v>
      </c>
      <c r="AJ16" s="19">
        <f>SUM(Nov[[#This Row],[Late (14.00 - 20.00) ]]/60)</f>
        <v>0</v>
      </c>
      <c r="AK16" s="15">
        <f>SUM(F16,I16,L16,O16,R16,U16,X16,AA16,AD16)+(Nov[[#This Row],[Baseline Assessment Score]]*60/3)</f>
        <v>0</v>
      </c>
      <c r="AL16" s="88">
        <f>SUM(Nov[[#This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SUM(Nov[[#This Row],[Early]:[Night        ]])+(Nov[[#This Row],[Baseline Assessment Score]]*60)</f>
        <v>0</v>
      </c>
      <c r="AF17" s="19">
        <f>Nov[[#This Row],[Total Mins over 24 hr]]/60</f>
        <v>0</v>
      </c>
      <c r="AG17" s="15">
        <f>SUM(D17,G17,J17,M17,P17,S17,V17,Y17,AB17)+(Nov[[#This Row],[Baseline Assessment Score]]*60/3)</f>
        <v>0</v>
      </c>
      <c r="AH17" s="19">
        <f>SUM(Nov[[#This Row],[Early (08.00 - 14.00) ]]/60)</f>
        <v>0</v>
      </c>
      <c r="AI17" s="15">
        <f>SUM(E17,H17,K17,N17,Q17,T17,W17,Z17,AC17)+(Nov[[#This Row],[Baseline Assessment Score]]*60/3)</f>
        <v>0</v>
      </c>
      <c r="AJ17" s="19">
        <f>SUM(Nov[[#This Row],[Late (14.00 - 20.00) ]]/60)</f>
        <v>0</v>
      </c>
      <c r="AK17" s="15">
        <f>SUM(F17,I17,L17,O17,R17,U17,X17,AA17,AD17)+(Nov[[#This Row],[Baseline Assessment Score]]*60/3)</f>
        <v>0</v>
      </c>
      <c r="AL17" s="88">
        <f>SUM(Nov[[#This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SUM(Nov[[#This Row],[Early]:[Night        ]])+(Nov[[#This Row],[Baseline Assessment Score]]*60)</f>
        <v>0</v>
      </c>
      <c r="AF18" s="19">
        <f>Nov[[#This Row],[Total Mins over 24 hr]]/60</f>
        <v>0</v>
      </c>
      <c r="AG18" s="15">
        <f>SUM(D18,G18,J18,M18,P18,S18,V18,Y18,AB18)+(Nov[[#This Row],[Baseline Assessment Score]]*60/3)</f>
        <v>0</v>
      </c>
      <c r="AH18" s="19">
        <f>SUM(Nov[[#This Row],[Early (08.00 - 14.00) ]]/60)</f>
        <v>0</v>
      </c>
      <c r="AI18" s="15">
        <f>SUM(E18,H18,K18,N18,Q18,T18,W18,Z18,AC18)+(Nov[[#This Row],[Baseline Assessment Score]]*60/3)</f>
        <v>0</v>
      </c>
      <c r="AJ18" s="19">
        <f>SUM(Nov[[#This Row],[Late (14.00 - 20.00) ]]/60)</f>
        <v>0</v>
      </c>
      <c r="AK18" s="15">
        <f>SUM(F18,I18,L18,O18,R18,U18,X18,AA18,AD18)+(Nov[[#This Row],[Baseline Assessment Score]]*60/3)</f>
        <v>0</v>
      </c>
      <c r="AL18" s="88">
        <f>SUM(Nov[[#This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SUM(Nov[[#This Row],[Early]:[Night        ]])+(Nov[[#This Row],[Baseline Assessment Score]]*60)</f>
        <v>0</v>
      </c>
      <c r="AF19" s="19">
        <f>Nov[[#This Row],[Total Mins over 24 hr]]/60</f>
        <v>0</v>
      </c>
      <c r="AG19" s="15">
        <f>SUM(D19,G19,J19,M19,P19,S19,V19,Y19,AB19)+(Nov[[#This Row],[Baseline Assessment Score]]*60/3)</f>
        <v>0</v>
      </c>
      <c r="AH19" s="19">
        <f>SUM(Nov[[#This Row],[Early (08.00 - 14.00) ]]/60)</f>
        <v>0</v>
      </c>
      <c r="AI19" s="15">
        <f>SUM(E19,H19,K19,N19,Q19,T19,W19,Z19,AC19)+(Nov[[#This Row],[Baseline Assessment Score]]*60/3)</f>
        <v>0</v>
      </c>
      <c r="AJ19" s="19">
        <f>SUM(Nov[[#This Row],[Late (14.00 - 20.00) ]]/60)</f>
        <v>0</v>
      </c>
      <c r="AK19" s="15">
        <f>SUM(F19,I19,L19,O19,R19,U19,X19,AA19,AD19)+(Nov[[#This Row],[Baseline Assessment Score]]*60/3)</f>
        <v>0</v>
      </c>
      <c r="AL19" s="88">
        <f>SUM(Nov[[#This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SUM(Nov[[#This Row],[Early]:[Night        ]])+(Nov[[#This Row],[Baseline Assessment Score]]*60)</f>
        <v>0</v>
      </c>
      <c r="AF20" s="19">
        <f>Nov[[#This Row],[Total Mins over 24 hr]]/60</f>
        <v>0</v>
      </c>
      <c r="AG20" s="15">
        <f>SUM(D20,G20,J20,M20,P20,S20,V20,Y20,AB20)+(Nov[[#This Row],[Baseline Assessment Score]]*60/3)</f>
        <v>0</v>
      </c>
      <c r="AH20" s="19">
        <f>SUM(Nov[[#This Row],[Early (08.00 - 14.00) ]]/60)</f>
        <v>0</v>
      </c>
      <c r="AI20" s="15">
        <f>SUM(E20,H20,K20,N20,Q20,T20,W20,Z20,AC20)+(Nov[[#This Row],[Baseline Assessment Score]]*60/3)</f>
        <v>0</v>
      </c>
      <c r="AJ20" s="19">
        <f>SUM(Nov[[#This Row],[Late (14.00 - 20.00) ]]/60)</f>
        <v>0</v>
      </c>
      <c r="AK20" s="15">
        <f>SUM(F20,I20,L20,O20,R20,U20,X20,AA20,AD20)+(Nov[[#This Row],[Baseline Assessment Score]]*60/3)</f>
        <v>0</v>
      </c>
      <c r="AL20" s="88">
        <f>SUM(Nov[[#This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SUM(Nov[[#This Row],[Early]:[Night        ]])+(Nov[[#This Row],[Baseline Assessment Score]]*60)</f>
        <v>0</v>
      </c>
      <c r="AF21" s="19">
        <f>Nov[[#This Row],[Total Mins over 24 hr]]/60</f>
        <v>0</v>
      </c>
      <c r="AG21" s="15">
        <f>SUM(D21,G21,J21,M21,P21,S21,V21,Y21,AB21)+(Nov[[#This Row],[Baseline Assessment Score]]*60/3)</f>
        <v>0</v>
      </c>
      <c r="AH21" s="19">
        <f>SUM(Nov[[#This Row],[Early (08.00 - 14.00) ]]/60)</f>
        <v>0</v>
      </c>
      <c r="AI21" s="15">
        <f>SUM(E21,H21,K21,N21,Q21,T21,W21,Z21,AC21)+(Nov[[#This Row],[Baseline Assessment Score]]*60/3)</f>
        <v>0</v>
      </c>
      <c r="AJ21" s="19">
        <f>SUM(Nov[[#This Row],[Late (14.00 - 20.00) ]]/60)</f>
        <v>0</v>
      </c>
      <c r="AK21" s="15">
        <f>SUM(F21,I21,L21,O21,R21,U21,X21,AA21,AD21)+(Nov[[#This Row],[Baseline Assessment Score]]*60/3)</f>
        <v>0</v>
      </c>
      <c r="AL21" s="88">
        <f>SUM(Nov[[#This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SUM(Nov[[#This Row],[Early]:[Night        ]])+(Nov[[#This Row],[Baseline Assessment Score]]*60)</f>
        <v>0</v>
      </c>
      <c r="AF22" s="19">
        <f>Nov[[#This Row],[Total Mins over 24 hr]]/60</f>
        <v>0</v>
      </c>
      <c r="AG22" s="15">
        <f>SUM(D22,G22,J22,M22,P22,S22,V22,Y22,AB22)+(Nov[[#This Row],[Baseline Assessment Score]]*60/3)</f>
        <v>0</v>
      </c>
      <c r="AH22" s="19">
        <f>SUM(Nov[[#This Row],[Early (08.00 - 14.00) ]]/60)</f>
        <v>0</v>
      </c>
      <c r="AI22" s="15">
        <f>SUM(E22,H22,K22,N22,Q22,T22,W22,Z22,AC22)+(Nov[[#This Row],[Baseline Assessment Score]]*60/3)</f>
        <v>0</v>
      </c>
      <c r="AJ22" s="19">
        <f>SUM(Nov[[#This Row],[Late (14.00 - 20.00) ]]/60)</f>
        <v>0</v>
      </c>
      <c r="AK22" s="15">
        <f>SUM(F22,I22,L22,O22,R22,U22,X22,AA22,AD22)+(Nov[[#This Row],[Baseline Assessment Score]]*60/3)</f>
        <v>0</v>
      </c>
      <c r="AL22" s="88">
        <f>SUM(Nov[[#This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SUM(Nov[[#This Row],[Early]:[Night        ]])+(Nov[[#This Row],[Baseline Assessment Score]]*60)</f>
        <v>0</v>
      </c>
      <c r="AF23" s="19">
        <f>Nov[[#This Row],[Total Mins over 24 hr]]/60</f>
        <v>0</v>
      </c>
      <c r="AG23" s="15">
        <f>SUM(D23,G23,J23,M23,P23,S23,V23,Y23,AB23)+(Nov[[#This Row],[Baseline Assessment Score]]*60/3)</f>
        <v>0</v>
      </c>
      <c r="AH23" s="19">
        <f>SUM(Nov[[#This Row],[Early (08.00 - 14.00) ]]/60)</f>
        <v>0</v>
      </c>
      <c r="AI23" s="15">
        <f>SUM(E23,H23,K23,N23,Q23,T23,W23,Z23,AC23)+(Nov[[#This Row],[Baseline Assessment Score]]*60/3)</f>
        <v>0</v>
      </c>
      <c r="AJ23" s="19">
        <f>SUM(Nov[[#This Row],[Late (14.00 - 20.00) ]]/60)</f>
        <v>0</v>
      </c>
      <c r="AK23" s="15">
        <f>SUM(F23,I23,L23,O23,R23,U23,X23,AA23,AD23)+(Nov[[#This Row],[Baseline Assessment Score]]*60/3)</f>
        <v>0</v>
      </c>
      <c r="AL23" s="88">
        <f>SUM(Nov[[#This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SUM(Nov[[#This Row],[Early]:[Night        ]])+(Nov[[#This Row],[Baseline Assessment Score]]*60)</f>
        <v>0</v>
      </c>
      <c r="AF24" s="19">
        <f>Nov[[#This Row],[Total Mins over 24 hr]]/60</f>
        <v>0</v>
      </c>
      <c r="AG24" s="15">
        <f>SUM(D24,G24,J24,M24,P24,S24,V24,Y24,AB24)+(Nov[[#This Row],[Baseline Assessment Score]]*60/3)</f>
        <v>0</v>
      </c>
      <c r="AH24" s="19">
        <f>SUM(Nov[[#This Row],[Early (08.00 - 14.00) ]]/60)</f>
        <v>0</v>
      </c>
      <c r="AI24" s="15">
        <f>SUM(E24,H24,K24,N24,Q24,T24,W24,Z24,AC24)+(Nov[[#This Row],[Baseline Assessment Score]]*60/3)</f>
        <v>0</v>
      </c>
      <c r="AJ24" s="19">
        <f>SUM(Nov[[#This Row],[Late (14.00 - 20.00) ]]/60)</f>
        <v>0</v>
      </c>
      <c r="AK24" s="15">
        <f>SUM(F24,I24,L24,O24,R24,U24,X24,AA24,AD24)+(Nov[[#This Row],[Baseline Assessment Score]]*60/3)</f>
        <v>0</v>
      </c>
      <c r="AL24" s="88">
        <f>SUM(Nov[[#This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SUM(Nov[[#This Row],[Early]:[Night        ]])+(Nov[[#This Row],[Baseline Assessment Score]]*60)</f>
        <v>0</v>
      </c>
      <c r="AF25" s="19">
        <f>Nov[[#This Row],[Total Mins over 24 hr]]/60</f>
        <v>0</v>
      </c>
      <c r="AG25" s="15">
        <f>SUM(D25,G25,J25,M25,P25,S25,V25,Y25,AB25)+(Nov[[#This Row],[Baseline Assessment Score]]*60/3)</f>
        <v>0</v>
      </c>
      <c r="AH25" s="19">
        <f>SUM(Nov[[#This Row],[Early (08.00 - 14.00) ]]/60)</f>
        <v>0</v>
      </c>
      <c r="AI25" s="15">
        <f>SUM(E25,H25,K25,N25,Q25,T25,W25,Z25,AC25)+(Nov[[#This Row],[Baseline Assessment Score]]*60/3)</f>
        <v>0</v>
      </c>
      <c r="AJ25" s="19">
        <f>SUM(Nov[[#This Row],[Late (14.00 - 20.00) ]]/60)</f>
        <v>0</v>
      </c>
      <c r="AK25" s="15">
        <f>SUM(F25,I25,L25,O25,R25,U25,X25,AA25,AD25)+(Nov[[#This Row],[Baseline Assessment Score]]*60/3)</f>
        <v>0</v>
      </c>
      <c r="AL25" s="88">
        <f>SUM(Nov[[#This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SUM(Nov[[#This Row],[Early]:[Night        ]])+(Nov[[#This Row],[Baseline Assessment Score]]*60)</f>
        <v>0</v>
      </c>
      <c r="AF26" s="19">
        <f>Nov[[#This Row],[Total Mins over 24 hr]]/60</f>
        <v>0</v>
      </c>
      <c r="AG26" s="15">
        <f>SUM(D26,G26,J26,M26,P26,S26,V26,Y26,AB26)+(Nov[[#This Row],[Baseline Assessment Score]]*60/3)</f>
        <v>0</v>
      </c>
      <c r="AH26" s="19">
        <f>SUM(Nov[[#This Row],[Early (08.00 - 14.00) ]]/60)</f>
        <v>0</v>
      </c>
      <c r="AI26" s="15">
        <f>SUM(E26,H26,K26,N26,Q26,T26,W26,Z26,AC26)+(Nov[[#This Row],[Baseline Assessment Score]]*60/3)</f>
        <v>0</v>
      </c>
      <c r="AJ26" s="19">
        <f>SUM(Nov[[#This Row],[Late (14.00 - 20.00) ]]/60)</f>
        <v>0</v>
      </c>
      <c r="AK26" s="15">
        <f>SUM(F26,I26,L26,O26,R26,U26,X26,AA26,AD26)+(Nov[[#This Row],[Baseline Assessment Score]]*60/3)</f>
        <v>0</v>
      </c>
      <c r="AL26" s="88">
        <f>SUM(Nov[[#This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SUM(Nov[[#This Row],[Early]:[Night        ]])+(Nov[[#This Row],[Baseline Assessment Score]]*60)</f>
        <v>0</v>
      </c>
      <c r="AF27" s="19">
        <f>Nov[[#This Row],[Total Mins over 24 hr]]/60</f>
        <v>0</v>
      </c>
      <c r="AG27" s="15">
        <f>SUM(D27,G27,J27,M27,P27,S27,V27,Y27,AB27)+(Nov[[#This Row],[Baseline Assessment Score]]*60/3)</f>
        <v>0</v>
      </c>
      <c r="AH27" s="19">
        <f>SUM(Nov[[#This Row],[Early (08.00 - 14.00) ]]/60)</f>
        <v>0</v>
      </c>
      <c r="AI27" s="15">
        <f>SUM(E27,H27,K27,N27,Q27,T27,W27,Z27,AC27)+(Nov[[#This Row],[Baseline Assessment Score]]*60/3)</f>
        <v>0</v>
      </c>
      <c r="AJ27" s="19">
        <f>SUM(Nov[[#This Row],[Late (14.00 - 20.00) ]]/60)</f>
        <v>0</v>
      </c>
      <c r="AK27" s="15">
        <f>SUM(F27,I27,L27,O27,R27,U27,X27,AA27,AD27)+(Nov[[#This Row],[Baseline Assessment Score]]*60/3)</f>
        <v>0</v>
      </c>
      <c r="AL27" s="88">
        <f>SUM(Nov[[#This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SUM(Nov[[#This Row],[Early]:[Night        ]])+(Nov[[#This Row],[Baseline Assessment Score]]*60)</f>
        <v>0</v>
      </c>
      <c r="AF28" s="19">
        <f>Nov[[#This Row],[Total Mins over 24 hr]]/60</f>
        <v>0</v>
      </c>
      <c r="AG28" s="15">
        <f>SUM(D28,G28,J28,M28,P28,S28,V28,Y28,AB28)+(Nov[[#This Row],[Baseline Assessment Score]]*60/3)</f>
        <v>0</v>
      </c>
      <c r="AH28" s="19">
        <f>SUM(Nov[[#This Row],[Early (08.00 - 14.00) ]]/60)</f>
        <v>0</v>
      </c>
      <c r="AI28" s="15">
        <f>SUM(E28,H28,K28,N28,Q28,T28,W28,Z28,AC28)+(Nov[[#This Row],[Baseline Assessment Score]]*60/3)</f>
        <v>0</v>
      </c>
      <c r="AJ28" s="19">
        <f>SUM(Nov[[#This Row],[Late (14.00 - 20.00) ]]/60)</f>
        <v>0</v>
      </c>
      <c r="AK28" s="15">
        <f>SUM(F28,I28,L28,O28,R28,U28,X28,AA28,AD28)+(Nov[[#This Row],[Baseline Assessment Score]]*60/3)</f>
        <v>0</v>
      </c>
      <c r="AL28" s="88">
        <f>SUM(Nov[[#This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SUM(Nov[[#This Row],[Early]:[Night        ]])+(Nov[[#This Row],[Baseline Assessment Score]]*60)</f>
        <v>0</v>
      </c>
      <c r="AF29" s="19">
        <f>Nov[[#This Row],[Total Mins over 24 hr]]/60</f>
        <v>0</v>
      </c>
      <c r="AG29" s="15">
        <f>SUM(D29,G29,J29,M29,P29,S29,V29,Y29,AB29)+(Nov[[#This Row],[Baseline Assessment Score]]*60/3)</f>
        <v>0</v>
      </c>
      <c r="AH29" s="19">
        <f>SUM(Nov[[#This Row],[Early (08.00 - 14.00) ]]/60)</f>
        <v>0</v>
      </c>
      <c r="AI29" s="15">
        <f>SUM(E29,H29,K29,N29,Q29,T29,W29,Z29,AC29)+(Nov[[#This Row],[Baseline Assessment Score]]*60/3)</f>
        <v>0</v>
      </c>
      <c r="AJ29" s="19">
        <f>SUM(Nov[[#This Row],[Late (14.00 - 20.00) ]]/60)</f>
        <v>0</v>
      </c>
      <c r="AK29" s="15">
        <f>SUM(F29,I29,L29,O29,R29,U29,X29,AA29,AD29)+(Nov[[#This Row],[Baseline Assessment Score]]*60/3)</f>
        <v>0</v>
      </c>
      <c r="AL29" s="88">
        <f>SUM(Nov[[#This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SUM(Nov[[#This Row],[Early]:[Night        ]])+(Nov[[#This Row],[Baseline Assessment Score]]*60)</f>
        <v>0</v>
      </c>
      <c r="AF30" s="19">
        <f>Nov[[#This Row],[Total Mins over 24 hr]]/60</f>
        <v>0</v>
      </c>
      <c r="AG30" s="15">
        <f>SUM(D30,G30,J30,M30,P30,S30,V30,Y30,AB30)+(Nov[[#This Row],[Baseline Assessment Score]]*60/3)</f>
        <v>0</v>
      </c>
      <c r="AH30" s="19">
        <f>SUM(Nov[[#This Row],[Early (08.00 - 14.00) ]]/60)</f>
        <v>0</v>
      </c>
      <c r="AI30" s="15">
        <f>SUM(E30,H30,K30,N30,Q30,T30,W30,Z30,AC30)+(Nov[[#This Row],[Baseline Assessment Score]]*60/3)</f>
        <v>0</v>
      </c>
      <c r="AJ30" s="19">
        <f>SUM(Nov[[#This Row],[Late (14.00 - 20.00) ]]/60)</f>
        <v>0</v>
      </c>
      <c r="AK30" s="15">
        <f>SUM(F30,I30,L30,O30,R30,U30,X30,AA30,AD30)+(Nov[[#This Row],[Baseline Assessment Score]]*60/3)</f>
        <v>0</v>
      </c>
      <c r="AL30" s="88">
        <f>SUM(Nov[[#This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SUM(Nov[[#This Row],[Early]:[Night        ]])+(Nov[[#This Row],[Baseline Assessment Score]]*60)</f>
        <v>0</v>
      </c>
      <c r="AF31" s="19">
        <f>Nov[[#This Row],[Total Mins over 24 hr]]/60</f>
        <v>0</v>
      </c>
      <c r="AG31" s="15">
        <f>SUM(D31,G31,J31,M31,P31,S31,V31,Y31,AB31)+(Nov[[#This Row],[Baseline Assessment Score]]*60/3)</f>
        <v>0</v>
      </c>
      <c r="AH31" s="19">
        <f>SUM(Nov[[#This Row],[Early (08.00 - 14.00) ]]/60)</f>
        <v>0</v>
      </c>
      <c r="AI31" s="15">
        <f>SUM(E31,H31,K31,N31,Q31,T31,W31,Z31,AC31)+(Nov[[#This Row],[Baseline Assessment Score]]*60/3)</f>
        <v>0</v>
      </c>
      <c r="AJ31" s="19">
        <f>SUM(Nov[[#This Row],[Late (14.00 - 20.00) ]]/60)</f>
        <v>0</v>
      </c>
      <c r="AK31" s="15">
        <f>SUM(F31,I31,L31,O31,R31,U31,X31,AA31,AD31)+(Nov[[#This Row],[Baseline Assessment Score]]*60/3)</f>
        <v>0</v>
      </c>
      <c r="AL31" s="88">
        <f>SUM(Nov[[#This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SUM(Nov[[#This Row],[Early]:[Night        ]])+(Nov[[#This Row],[Baseline Assessment Score]]*60)</f>
        <v>0</v>
      </c>
      <c r="AF32" s="19">
        <f>Nov[[#This Row],[Total Mins over 24 hr]]/60</f>
        <v>0</v>
      </c>
      <c r="AG32" s="15">
        <f>SUM(D32,G32,J32,M32,P32,S32,V32,Y32,AB32)+(Nov[[#This Row],[Baseline Assessment Score]]*60/3)</f>
        <v>0</v>
      </c>
      <c r="AH32" s="19">
        <f>SUM(Nov[[#This Row],[Early (08.00 - 14.00) ]]/60)</f>
        <v>0</v>
      </c>
      <c r="AI32" s="15">
        <f>SUM(E32,H32,K32,N32,Q32,T32,W32,Z32,AC32)+(Nov[[#This Row],[Baseline Assessment Score]]*60/3)</f>
        <v>0</v>
      </c>
      <c r="AJ32" s="19">
        <f>SUM(Nov[[#This Row],[Late (14.00 - 20.00) ]]/60)</f>
        <v>0</v>
      </c>
      <c r="AK32" s="15">
        <f>SUM(F32,I32,L32,O32,R32,U32,X32,AA32,AD32)+(Nov[[#This Row],[Baseline Assessment Score]]*60/3)</f>
        <v>0</v>
      </c>
      <c r="AL32" s="88">
        <f>SUM(Nov[[#This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SUM(Nov[[#This Row],[Early]:[Night        ]])+(Nov[[#This Row],[Baseline Assessment Score]]*60)</f>
        <v>0</v>
      </c>
      <c r="AF33" s="19">
        <f>Nov[[#This Row],[Total Mins over 24 hr]]/60</f>
        <v>0</v>
      </c>
      <c r="AG33" s="15">
        <f>SUM(D33,G33,J33,M33,P33,S33,V33,Y33,AB33)+(Nov[[#This Row],[Baseline Assessment Score]]*60/3)</f>
        <v>0</v>
      </c>
      <c r="AH33" s="19">
        <f>SUM(Nov[[#This Row],[Early (08.00 - 14.00) ]]/60)</f>
        <v>0</v>
      </c>
      <c r="AI33" s="15">
        <f>SUM(E33,H33,K33,N33,Q33,T33,W33,Z33,AC33)+(Nov[[#This Row],[Baseline Assessment Score]]*60/3)</f>
        <v>0</v>
      </c>
      <c r="AJ33" s="19">
        <f>SUM(Nov[[#This Row],[Late (14.00 - 20.00) ]]/60)</f>
        <v>0</v>
      </c>
      <c r="AK33" s="15">
        <f>SUM(F33,I33,L33,O33,R33,U33,X33,AA33,AD33)+(Nov[[#This Row],[Baseline Assessment Score]]*60/3)</f>
        <v>0</v>
      </c>
      <c r="AL33" s="88">
        <f>SUM(Nov[[#This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SUM(Nov[[#This Row],[Early]:[Night        ]])+(Nov[[#This Row],[Baseline Assessment Score]]*60)</f>
        <v>0</v>
      </c>
      <c r="AF34" s="19">
        <f>Nov[[#This Row],[Total Mins over 24 hr]]/60</f>
        <v>0</v>
      </c>
      <c r="AG34" s="15">
        <f>SUM(D34,G34,J34,M34,P34,S34,V34,Y34,AB34)+(Nov[[#This Row],[Baseline Assessment Score]]*60/3)</f>
        <v>0</v>
      </c>
      <c r="AH34" s="19">
        <f>SUM(Nov[[#This Row],[Early (08.00 - 14.00) ]]/60)</f>
        <v>0</v>
      </c>
      <c r="AI34" s="15">
        <f>SUM(E34,H34,K34,N34,Q34,T34,W34,Z34,AC34)+(Nov[[#This Row],[Baseline Assessment Score]]*60/3)</f>
        <v>0</v>
      </c>
      <c r="AJ34" s="19">
        <f>SUM(Nov[[#This Row],[Late (14.00 - 20.00) ]]/60)</f>
        <v>0</v>
      </c>
      <c r="AK34" s="15">
        <f>SUM(F34,I34,L34,O34,R34,U34,X34,AA34,AD34)+(Nov[[#This Row],[Baseline Assessment Score]]*60/3)</f>
        <v>0</v>
      </c>
      <c r="AL34" s="88">
        <f>SUM(Nov[[#This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SUM(Nov[[#This Row],[Early]:[Night        ]])+(Nov[[#This Row],[Baseline Assessment Score]]*60)</f>
        <v>0</v>
      </c>
      <c r="AF35" s="19">
        <f>Nov[[#This Row],[Total Mins over 24 hr]]/60</f>
        <v>0</v>
      </c>
      <c r="AG35" s="15">
        <f>SUM(D35,G35,J35,M35,P35,S35,V35,Y35,AB35)+(Nov[[#This Row],[Baseline Assessment Score]]*60/3)</f>
        <v>0</v>
      </c>
      <c r="AH35" s="19">
        <f>SUM(Nov[[#This Row],[Early (08.00 - 14.00) ]]/60)</f>
        <v>0</v>
      </c>
      <c r="AI35" s="15">
        <f>SUM(E35,H35,K35,N35,Q35,T35,W35,Z35,AC35)+(Nov[[#This Row],[Baseline Assessment Score]]*60/3)</f>
        <v>0</v>
      </c>
      <c r="AJ35" s="19">
        <f>SUM(Nov[[#This Row],[Late (14.00 - 20.00) ]]/60)</f>
        <v>0</v>
      </c>
      <c r="AK35" s="15">
        <f>SUM(F35,I35,L35,O35,R35,U35,X35,AA35,AD35)+(Nov[[#This Row],[Baseline Assessment Score]]*60/3)</f>
        <v>0</v>
      </c>
      <c r="AL35" s="88">
        <f>SUM(Nov[[#This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SUM(Nov[[#This Row],[Early]:[Night        ]])+(Nov[[#This Row],[Baseline Assessment Score]]*60)</f>
        <v>0</v>
      </c>
      <c r="AF36" s="20">
        <f>Nov[[#This Row],[Total Mins over 24 hr]]/60</f>
        <v>0</v>
      </c>
      <c r="AG36" s="18">
        <f>SUM(D36,G36,J36,M36,P36,S36,V36,Y36,AB36)+(Nov[[#This Row],[Baseline Assessment Score]]*60/3)</f>
        <v>0</v>
      </c>
      <c r="AH36" s="20">
        <f>SUM(Nov[[#This Row],[Early (08.00 - 14.00) ]]/60)</f>
        <v>0</v>
      </c>
      <c r="AI36" s="18">
        <f>SUM(E36,H36,K36,N36,Q36,T36,W36,Z36,AC36)+(Nov[[#This Row],[Baseline Assessment Score]]*60/3)</f>
        <v>0</v>
      </c>
      <c r="AJ36" s="20">
        <f>SUM(Nov[[#This Row],[Late (14.00 - 20.00) ]]/60)</f>
        <v>0</v>
      </c>
      <c r="AK36" s="18">
        <f>SUM(F36,I36,L36,O36,R36,U36,X36,AA36,AD36)+(Nov[[#This Row],[Baseline Assessment Score]]*60/3)</f>
        <v>0</v>
      </c>
      <c r="AL36" s="91">
        <f>SUM(Nov[[#This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319" t="s">
        <v>51</v>
      </c>
      <c r="W37" s="320"/>
      <c r="X37" s="320"/>
      <c r="Y37" s="320"/>
      <c r="Z37" s="320"/>
      <c r="AA37" s="320"/>
      <c r="AB37" s="320"/>
      <c r="AC37" s="320"/>
      <c r="AD37" s="320"/>
      <c r="AE37" s="324">
        <f>SUM(Nov[Actual contact time (hours)])</f>
        <v>0</v>
      </c>
      <c r="AF37" s="324"/>
      <c r="AG37" s="324">
        <f>SUM(Nov[Contact time per shift])</f>
        <v>0</v>
      </c>
      <c r="AH37" s="325"/>
      <c r="AI37" s="324">
        <f>SUM(Nov[[Contact time per shift ]])</f>
        <v>0</v>
      </c>
      <c r="AJ37" s="325"/>
      <c r="AK37" s="324">
        <f>SUM(Nov[[Contact time per shift  ]])</f>
        <v>0</v>
      </c>
      <c r="AL37" s="326"/>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COUNTIF(Nov[Adults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11" priority="2" operator="greaterThan">
      <formula>$AL$7</formula>
    </cfRule>
    <cfRule type="cellIs" dxfId="10" priority="3" operator="between">
      <formula>$AJ$7</formula>
      <formula>$AL$7</formula>
    </cfRule>
    <cfRule type="cellIs" dxfId="9" priority="4" operator="between">
      <formula>$AJ$6</formula>
      <formula>$AL$6</formula>
    </cfRule>
    <cfRule type="cellIs" dxfId="8" priority="5" operator="between">
      <formula>$AJ$5</formula>
      <formula>$AL$5</formula>
    </cfRule>
  </conditionalFormatting>
  <dataValidations count="1">
    <dataValidation type="list" allowBlank="1" showInputMessage="1" showErrorMessage="1" sqref="C13:C36" xr:uid="{849BF39F-EDD3-4853-B137-5659D9E069F5}">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C0732CC5-AD31-4A33-8E53-487039F212E1}">
            <xm:f>NOT(ISERROR(SEARCH($R$8,C13)))</xm:f>
            <xm:f>$R$8</xm:f>
            <x14:dxf>
              <fill>
                <patternFill>
                  <bgColor rgb="FFFF9999"/>
                </patternFill>
              </fill>
            </x14:dxf>
          </x14:cfRule>
          <x14:cfRule type="containsText" priority="7" operator="containsText" id="{0530BF68-AEF7-4373-8EFD-29DAC570736D}">
            <xm:f>NOT(ISERROR(SEARCH($R$7,C13)))</xm:f>
            <xm:f>$R$7</xm:f>
            <x14:dxf>
              <fill>
                <patternFill>
                  <bgColor theme="5" tint="0.59996337778862885"/>
                </patternFill>
              </fill>
            </x14:dxf>
          </x14:cfRule>
          <x14:cfRule type="containsText" priority="8" operator="containsText" id="{5CDC6174-6B45-4997-8559-4ED335116E30}">
            <xm:f>NOT(ISERROR(SEARCH($R$6,C13)))</xm:f>
            <xm:f>$R$6</xm:f>
            <x14:dxf>
              <fill>
                <patternFill>
                  <bgColor theme="9" tint="0.59996337778862885"/>
                </patternFill>
              </fill>
            </x14:dxf>
          </x14:cfRule>
          <x14:cfRule type="containsText" priority="9" operator="containsText" id="{4133C1FC-9488-45B8-8364-556B2D61BDBA}">
            <xm:f>NOT(ISERROR(SEARCH($R$5,C13)))</xm:f>
            <xm:f>$R$5</xm:f>
            <x14:dxf>
              <fill>
                <patternFill>
                  <bgColor theme="8" tint="0.79998168889431442"/>
                </patternFill>
              </fill>
            </x14:dxf>
          </x14:cfRule>
          <xm:sqref>C13:C36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4323-6A8A-4CBF-A095-7E6FF47AFF50}">
  <sheetPr>
    <tabColor rgb="FFFFB7B7"/>
  </sheetPr>
  <dimension ref="B2:AL58"/>
  <sheetViews>
    <sheetView zoomScale="80" zoomScaleNormal="80" workbookViewId="0">
      <selection activeCell="B11" sqref="B11"/>
    </sheetView>
  </sheetViews>
  <sheetFormatPr defaultRowHeight="15" x14ac:dyDescent="0.2"/>
  <cols>
    <col min="1" max="1" width="4.70703125" customWidth="1"/>
    <col min="2" max="2" width="25.828125" customWidth="1"/>
    <col min="3" max="3" width="12.23828125" customWidth="1"/>
    <col min="4" max="30" width="6.72265625" customWidth="1"/>
    <col min="31" max="38" width="10.76171875" customWidth="1"/>
  </cols>
  <sheetData>
    <row r="2" spans="2:38" ht="18.75" x14ac:dyDescent="0.25">
      <c r="B2" s="178" t="s">
        <v>94</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spans="2:38" ht="15" customHeight="1" x14ac:dyDescent="0.25">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row>
    <row r="4" spans="2:38" ht="15" customHeight="1" thickBot="1" x14ac:dyDescent="0.3">
      <c r="B4" s="67"/>
      <c r="C4" s="67"/>
      <c r="D4" s="67"/>
      <c r="E4" s="67"/>
      <c r="F4" s="67"/>
      <c r="G4" s="67"/>
      <c r="H4" s="67"/>
      <c r="I4" s="67"/>
      <c r="J4" s="67"/>
      <c r="K4" s="67"/>
      <c r="L4" s="67"/>
      <c r="R4" s="261" t="s">
        <v>122</v>
      </c>
      <c r="S4" s="261"/>
      <c r="T4" s="261"/>
      <c r="U4" s="261"/>
      <c r="V4" s="261"/>
      <c r="AC4" s="67"/>
      <c r="AD4" s="67"/>
      <c r="AE4" s="67"/>
      <c r="AF4" s="67"/>
      <c r="AG4" s="67"/>
      <c r="AH4" s="67"/>
      <c r="AI4" s="67"/>
      <c r="AJ4" s="67"/>
      <c r="AK4" s="67"/>
      <c r="AL4" s="67"/>
    </row>
    <row r="5" spans="2:38" ht="15.75" customHeight="1" x14ac:dyDescent="0.2">
      <c r="B5" s="128" t="s">
        <v>1</v>
      </c>
      <c r="C5" s="255"/>
      <c r="D5" s="256"/>
      <c r="E5" s="256"/>
      <c r="F5" s="256"/>
      <c r="G5" s="256"/>
      <c r="H5" s="256"/>
      <c r="I5" s="257"/>
      <c r="R5" s="46">
        <v>1</v>
      </c>
      <c r="S5" s="271" t="s">
        <v>116</v>
      </c>
      <c r="T5" s="272"/>
      <c r="U5" s="273"/>
      <c r="V5" s="46">
        <f>COUNTIF(Dec[Baseline Assessment Score],1)</f>
        <v>0</v>
      </c>
      <c r="AE5" s="250" t="s">
        <v>119</v>
      </c>
      <c r="AF5" s="251"/>
      <c r="AG5" s="252"/>
      <c r="AH5" s="253" t="s">
        <v>66</v>
      </c>
      <c r="AI5" s="254"/>
      <c r="AJ5" s="51">
        <v>0</v>
      </c>
      <c r="AK5" s="11" t="s">
        <v>120</v>
      </c>
      <c r="AL5" s="52">
        <v>5</v>
      </c>
    </row>
    <row r="6" spans="2:38" ht="15.75" thickBot="1" x14ac:dyDescent="0.25">
      <c r="B6" s="129" t="s">
        <v>2</v>
      </c>
      <c r="C6" s="258" t="s">
        <v>134</v>
      </c>
      <c r="D6" s="259"/>
      <c r="E6" s="260"/>
      <c r="F6" s="130" t="s">
        <v>0</v>
      </c>
      <c r="G6" s="246"/>
      <c r="H6" s="247"/>
      <c r="I6" s="248"/>
      <c r="R6" s="47">
        <v>2</v>
      </c>
      <c r="S6" s="268" t="s">
        <v>66</v>
      </c>
      <c r="T6" s="269"/>
      <c r="U6" s="270"/>
      <c r="V6" s="47">
        <f>COUNTIF(Dec[Baseline Assessment Score],2)</f>
        <v>0</v>
      </c>
      <c r="AE6" s="141"/>
      <c r="AF6" s="142"/>
      <c r="AG6" s="143"/>
      <c r="AH6" s="233" t="s">
        <v>74</v>
      </c>
      <c r="AI6" s="234"/>
      <c r="AJ6" s="45">
        <v>6</v>
      </c>
      <c r="AK6" s="27" t="s">
        <v>120</v>
      </c>
      <c r="AL6" s="53">
        <v>10</v>
      </c>
    </row>
    <row r="7" spans="2:38" ht="15.75" customHeight="1" thickBot="1" x14ac:dyDescent="0.25">
      <c r="R7" s="48">
        <v>3</v>
      </c>
      <c r="S7" s="265" t="s">
        <v>117</v>
      </c>
      <c r="T7" s="266"/>
      <c r="U7" s="267"/>
      <c r="V7" s="48">
        <f>COUNTIF(Dec[Baseline Assessment Score],3)</f>
        <v>0</v>
      </c>
      <c r="AE7" s="144"/>
      <c r="AF7" s="145"/>
      <c r="AG7" s="146"/>
      <c r="AH7" s="235" t="s">
        <v>83</v>
      </c>
      <c r="AI7" s="236"/>
      <c r="AJ7" s="54">
        <v>11</v>
      </c>
      <c r="AK7" s="50" t="s">
        <v>120</v>
      </c>
      <c r="AL7" s="55">
        <v>15</v>
      </c>
    </row>
    <row r="8" spans="2:38" ht="15" customHeight="1" x14ac:dyDescent="0.2">
      <c r="B8" s="39"/>
      <c r="C8" s="39"/>
      <c r="D8" s="40"/>
      <c r="E8" s="40"/>
      <c r="F8" s="39"/>
      <c r="G8" s="38"/>
      <c r="H8" s="38"/>
      <c r="I8" s="38"/>
      <c r="R8" s="49">
        <v>4</v>
      </c>
      <c r="S8" s="262" t="s">
        <v>118</v>
      </c>
      <c r="T8" s="263"/>
      <c r="U8" s="264"/>
      <c r="V8" s="49">
        <f>COUNTIF(Dec[Baseline Assessment Score],4)</f>
        <v>0</v>
      </c>
      <c r="AJ8" s="237" t="s">
        <v>121</v>
      </c>
      <c r="AK8" s="238"/>
      <c r="AL8" s="239"/>
    </row>
    <row r="9" spans="2:38" s="69" customFormat="1" ht="15" customHeight="1" x14ac:dyDescent="0.2">
      <c r="B9" s="39"/>
      <c r="C9" s="39"/>
      <c r="D9" s="40"/>
      <c r="E9" s="40"/>
      <c r="F9" s="39"/>
      <c r="G9" s="70"/>
      <c r="H9" s="70"/>
      <c r="I9" s="70"/>
      <c r="R9" s="71"/>
      <c r="S9" s="71"/>
      <c r="T9" s="71"/>
      <c r="U9" s="71"/>
      <c r="V9" s="71"/>
      <c r="W9" s="71"/>
      <c r="AJ9" s="240"/>
      <c r="AK9" s="241"/>
      <c r="AL9" s="242"/>
    </row>
    <row r="10" spans="2:38" ht="25.5" customHeight="1" thickBot="1" x14ac:dyDescent="0.25">
      <c r="D10" s="249" t="s">
        <v>115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J10" s="243"/>
      <c r="AK10" s="244"/>
      <c r="AL10" s="245"/>
    </row>
    <row r="11" spans="2:38" ht="29.25" customHeight="1" thickBot="1" x14ac:dyDescent="0.25">
      <c r="B11" s="3"/>
      <c r="C11" s="3"/>
      <c r="D11" s="335" t="s">
        <v>40</v>
      </c>
      <c r="E11" s="336"/>
      <c r="F11" s="337"/>
      <c r="G11" s="327" t="s">
        <v>41</v>
      </c>
      <c r="H11" s="328"/>
      <c r="I11" s="329"/>
      <c r="J11" s="330" t="s">
        <v>42</v>
      </c>
      <c r="K11" s="331"/>
      <c r="L11" s="332"/>
      <c r="M11" s="327" t="s">
        <v>47</v>
      </c>
      <c r="N11" s="328"/>
      <c r="O11" s="329"/>
      <c r="P11" s="330" t="s">
        <v>43</v>
      </c>
      <c r="Q11" s="331"/>
      <c r="R11" s="332"/>
      <c r="S11" s="327" t="s">
        <v>44</v>
      </c>
      <c r="T11" s="328"/>
      <c r="U11" s="329"/>
      <c r="V11" s="330" t="s">
        <v>95</v>
      </c>
      <c r="W11" s="331"/>
      <c r="X11" s="332"/>
      <c r="Y11" s="327" t="s">
        <v>45</v>
      </c>
      <c r="Z11" s="328"/>
      <c r="AA11" s="329"/>
      <c r="AB11" s="330" t="s">
        <v>46</v>
      </c>
      <c r="AC11" s="331"/>
      <c r="AD11" s="332"/>
    </row>
    <row r="12" spans="2:38" ht="55.5" thickBot="1" x14ac:dyDescent="0.25">
      <c r="B12" s="135" t="s">
        <v>3</v>
      </c>
      <c r="C12" s="136" t="s">
        <v>39</v>
      </c>
      <c r="D12" s="131" t="s">
        <v>4</v>
      </c>
      <c r="E12" s="132" t="s">
        <v>5</v>
      </c>
      <c r="F12" s="133" t="s">
        <v>6</v>
      </c>
      <c r="G12" s="137" t="s">
        <v>13</v>
      </c>
      <c r="H12" s="137" t="s">
        <v>14</v>
      </c>
      <c r="I12" s="138" t="s">
        <v>15</v>
      </c>
      <c r="J12" s="132" t="s">
        <v>16</v>
      </c>
      <c r="K12" s="132" t="s">
        <v>17</v>
      </c>
      <c r="L12" s="133" t="s">
        <v>18</v>
      </c>
      <c r="M12" s="137" t="s">
        <v>19</v>
      </c>
      <c r="N12" s="137" t="s">
        <v>20</v>
      </c>
      <c r="O12" s="138" t="s">
        <v>21</v>
      </c>
      <c r="P12" s="132" t="s">
        <v>22</v>
      </c>
      <c r="Q12" s="132" t="s">
        <v>23</v>
      </c>
      <c r="R12" s="133" t="s">
        <v>24</v>
      </c>
      <c r="S12" s="137" t="s">
        <v>25</v>
      </c>
      <c r="T12" s="137" t="s">
        <v>26</v>
      </c>
      <c r="U12" s="138" t="s">
        <v>27</v>
      </c>
      <c r="V12" s="132" t="s">
        <v>28</v>
      </c>
      <c r="W12" s="132" t="s">
        <v>29</v>
      </c>
      <c r="X12" s="133" t="s">
        <v>30</v>
      </c>
      <c r="Y12" s="137" t="s">
        <v>32</v>
      </c>
      <c r="Z12" s="137" t="s">
        <v>33</v>
      </c>
      <c r="AA12" s="138" t="s">
        <v>34</v>
      </c>
      <c r="AB12" s="132" t="s">
        <v>31</v>
      </c>
      <c r="AC12" s="132" t="s">
        <v>35</v>
      </c>
      <c r="AD12" s="133" t="s">
        <v>36</v>
      </c>
      <c r="AE12" s="134" t="s">
        <v>7</v>
      </c>
      <c r="AF12" s="133" t="s">
        <v>8</v>
      </c>
      <c r="AG12" s="139" t="s">
        <v>9</v>
      </c>
      <c r="AH12" s="138" t="s">
        <v>12</v>
      </c>
      <c r="AI12" s="134" t="s">
        <v>11</v>
      </c>
      <c r="AJ12" s="133" t="s">
        <v>10</v>
      </c>
      <c r="AK12" s="139" t="s">
        <v>37</v>
      </c>
      <c r="AL12" s="140" t="s">
        <v>38</v>
      </c>
    </row>
    <row r="13" spans="2:38" x14ac:dyDescent="0.2">
      <c r="B13" s="85"/>
      <c r="C13" s="72"/>
      <c r="D13" s="74"/>
      <c r="E13" s="12"/>
      <c r="F13" s="6"/>
      <c r="G13" s="12"/>
      <c r="H13" s="12"/>
      <c r="I13" s="6"/>
      <c r="J13" s="12"/>
      <c r="K13" s="12"/>
      <c r="L13" s="6"/>
      <c r="M13" s="12"/>
      <c r="N13" s="12"/>
      <c r="O13" s="6"/>
      <c r="P13" s="12"/>
      <c r="Q13" s="12"/>
      <c r="R13" s="6"/>
      <c r="S13" s="12"/>
      <c r="T13" s="12"/>
      <c r="U13" s="6"/>
      <c r="V13" s="12"/>
      <c r="W13" s="12"/>
      <c r="X13" s="6"/>
      <c r="Y13" s="12"/>
      <c r="Z13" s="12"/>
      <c r="AA13" s="6"/>
      <c r="AB13" s="12"/>
      <c r="AC13" s="12"/>
      <c r="AD13" s="6"/>
      <c r="AE13" s="13">
        <f>SUM(Dec[[#This Row],[Early]:[Night        ]])+(Dec[[#This Row],[Baseline Assessment Score]]*60)</f>
        <v>0</v>
      </c>
      <c r="AF13" s="16">
        <f>Dec[[#This Row],[Total Mins over 24 hr]]/60</f>
        <v>0</v>
      </c>
      <c r="AG13" s="13">
        <f>SUM(D13,G13,J13,M13,P13,S13,V13,Y13,AB13)+(Dec[[#This Row],[Baseline Assessment Score]]*60/3)</f>
        <v>0</v>
      </c>
      <c r="AH13" s="16">
        <f>SUM(Dec[[#This Row],[Early (08.00 - 14.00) ]]/60)</f>
        <v>0</v>
      </c>
      <c r="AI13" s="13">
        <f>SUM(E13,H13,K13,N13,Q13,T13,W13,Z13,AC13)+(Dec[[#This Row],[Baseline Assessment Score]]*60/3)</f>
        <v>0</v>
      </c>
      <c r="AJ13" s="16">
        <f>SUM(Dec[[#This Row],[Late (14.00 - 20.00) ]]/60)</f>
        <v>0</v>
      </c>
      <c r="AK13" s="13">
        <f>SUM(F13,I13,L13,O13,R13,U13,X13,AA13,AD13)+(Dec[[#This Row],[Baseline Assessment Score]]*60/3)</f>
        <v>0</v>
      </c>
      <c r="AL13" s="86">
        <f>SUM(Dec[[#This Row],[Night (20:00 - 08:00)]]/60)</f>
        <v>0</v>
      </c>
    </row>
    <row r="14" spans="2:38" x14ac:dyDescent="0.2">
      <c r="B14" s="87"/>
      <c r="C14" s="73"/>
      <c r="D14" s="75"/>
      <c r="E14" s="14"/>
      <c r="F14" s="5"/>
      <c r="G14" s="14"/>
      <c r="H14" s="14"/>
      <c r="I14" s="5"/>
      <c r="J14" s="14"/>
      <c r="K14" s="14"/>
      <c r="L14" s="5"/>
      <c r="M14" s="14"/>
      <c r="N14" s="14"/>
      <c r="O14" s="5"/>
      <c r="P14" s="14"/>
      <c r="Q14" s="14"/>
      <c r="R14" s="5"/>
      <c r="S14" s="14"/>
      <c r="T14" s="14"/>
      <c r="U14" s="5"/>
      <c r="V14" s="14"/>
      <c r="W14" s="14"/>
      <c r="X14" s="5"/>
      <c r="Y14" s="14"/>
      <c r="Z14" s="14"/>
      <c r="AA14" s="5"/>
      <c r="AB14" s="14"/>
      <c r="AC14" s="14"/>
      <c r="AD14" s="5"/>
      <c r="AE14" s="15">
        <f>SUM(Dec[[#This Row],[Early]:[Night        ]])+(Dec[[#This Row],[Baseline Assessment Score]]*60)</f>
        <v>0</v>
      </c>
      <c r="AF14" s="19">
        <f>Dec[[#This Row],[Total Mins over 24 hr]]/60</f>
        <v>0</v>
      </c>
      <c r="AG14" s="15">
        <f>SUM(D14,G14,J14,M14,P14,S14,V14,Y14,AB14)+(Dec[[#This Row],[Baseline Assessment Score]]*60/3)</f>
        <v>0</v>
      </c>
      <c r="AH14" s="19">
        <f>SUM(Dec[[#This Row],[Early (08.00 - 14.00) ]]/60)</f>
        <v>0</v>
      </c>
      <c r="AI14" s="15">
        <f>SUM(E14,H14,K14,N14,Q14,T14,W14,Z14,AC14)+(Dec[[#This Row],[Baseline Assessment Score]]*60/3)</f>
        <v>0</v>
      </c>
      <c r="AJ14" s="19">
        <f>SUM(Dec[[#This Row],[Late (14.00 - 20.00) ]]/60)</f>
        <v>0</v>
      </c>
      <c r="AK14" s="15">
        <f>SUM(F14,I14,L14,O14,R14,U14,X14,AA14,AD14)+(Dec[[#This Row],[Baseline Assessment Score]]*60/3)</f>
        <v>0</v>
      </c>
      <c r="AL14" s="88">
        <f>SUM(Dec[[#This Row],[Night (20:00 - 08:00)]]/60)</f>
        <v>0</v>
      </c>
    </row>
    <row r="15" spans="2:38" x14ac:dyDescent="0.2">
      <c r="B15" s="87"/>
      <c r="C15" s="73"/>
      <c r="D15" s="75"/>
      <c r="E15" s="14"/>
      <c r="F15" s="5"/>
      <c r="G15" s="14"/>
      <c r="H15" s="14"/>
      <c r="I15" s="5"/>
      <c r="J15" s="14"/>
      <c r="K15" s="14"/>
      <c r="L15" s="5"/>
      <c r="M15" s="14"/>
      <c r="N15" s="14"/>
      <c r="O15" s="5"/>
      <c r="P15" s="14"/>
      <c r="Q15" s="14"/>
      <c r="R15" s="5"/>
      <c r="S15" s="14"/>
      <c r="T15" s="14"/>
      <c r="U15" s="5"/>
      <c r="V15" s="14"/>
      <c r="W15" s="14"/>
      <c r="X15" s="5"/>
      <c r="Y15" s="14"/>
      <c r="Z15" s="14"/>
      <c r="AA15" s="5"/>
      <c r="AB15" s="14"/>
      <c r="AC15" s="14"/>
      <c r="AD15" s="5"/>
      <c r="AE15" s="15">
        <f>SUM(Dec[[#This Row],[Early]:[Night        ]])+(Dec[[#This Row],[Baseline Assessment Score]]*60)</f>
        <v>0</v>
      </c>
      <c r="AF15" s="19">
        <f>Dec[[#This Row],[Total Mins over 24 hr]]/60</f>
        <v>0</v>
      </c>
      <c r="AG15" s="15">
        <f>SUM(D15,G15,J15,M15,P15,S15,V15,Y15,AB15)+(Dec[[#This Row],[Baseline Assessment Score]]*60/3)</f>
        <v>0</v>
      </c>
      <c r="AH15" s="19">
        <f>SUM(Dec[[#This Row],[Early (08.00 - 14.00) ]]/60)</f>
        <v>0</v>
      </c>
      <c r="AI15" s="15">
        <f>SUM(E15,H15,K15,N15,Q15,T15,W15,Z15,AC15)+(Dec[[#This Row],[Baseline Assessment Score]]*60/3)</f>
        <v>0</v>
      </c>
      <c r="AJ15" s="19">
        <f>SUM(Dec[[#This Row],[Late (14.00 - 20.00) ]]/60)</f>
        <v>0</v>
      </c>
      <c r="AK15" s="15">
        <f>SUM(F15,I15,L15,O15,R15,U15,X15,AA15,AD15)+(Dec[[#This Row],[Baseline Assessment Score]]*60/3)</f>
        <v>0</v>
      </c>
      <c r="AL15" s="88">
        <f>SUM(Dec[[#This Row],[Night (20:00 - 08:00)]]/60)</f>
        <v>0</v>
      </c>
    </row>
    <row r="16" spans="2:38" x14ac:dyDescent="0.2">
      <c r="B16" s="87"/>
      <c r="C16" s="73"/>
      <c r="D16" s="75"/>
      <c r="E16" s="14"/>
      <c r="F16" s="5"/>
      <c r="G16" s="14"/>
      <c r="H16" s="14"/>
      <c r="I16" s="5"/>
      <c r="J16" s="14"/>
      <c r="K16" s="14"/>
      <c r="L16" s="5"/>
      <c r="M16" s="14"/>
      <c r="N16" s="14"/>
      <c r="O16" s="5"/>
      <c r="P16" s="14"/>
      <c r="Q16" s="14"/>
      <c r="R16" s="5"/>
      <c r="S16" s="14"/>
      <c r="T16" s="14"/>
      <c r="U16" s="5"/>
      <c r="V16" s="14"/>
      <c r="W16" s="14"/>
      <c r="X16" s="5"/>
      <c r="Y16" s="14"/>
      <c r="Z16" s="14"/>
      <c r="AA16" s="5"/>
      <c r="AB16" s="14"/>
      <c r="AC16" s="14"/>
      <c r="AD16" s="5"/>
      <c r="AE16" s="15">
        <f>SUM(Dec[[#This Row],[Early]:[Night        ]])+(Dec[[#This Row],[Baseline Assessment Score]]*60)</f>
        <v>0</v>
      </c>
      <c r="AF16" s="19">
        <f>Dec[[#This Row],[Total Mins over 24 hr]]/60</f>
        <v>0</v>
      </c>
      <c r="AG16" s="15">
        <f>SUM(D16,G16,J16,M16,P16,S16,V16,Y16,AB16)+(Dec[[#This Row],[Baseline Assessment Score]]*60/3)</f>
        <v>0</v>
      </c>
      <c r="AH16" s="19">
        <f>SUM(Dec[[#This Row],[Early (08.00 - 14.00) ]]/60)</f>
        <v>0</v>
      </c>
      <c r="AI16" s="15">
        <f>SUM(E16,H16,K16,N16,Q16,T16,W16,Z16,AC16)+(Dec[[#This Row],[Baseline Assessment Score]]*60/3)</f>
        <v>0</v>
      </c>
      <c r="AJ16" s="19">
        <f>SUM(Dec[[#This Row],[Late (14.00 - 20.00) ]]/60)</f>
        <v>0</v>
      </c>
      <c r="AK16" s="15">
        <f>SUM(F16,I16,L16,O16,R16,U16,X16,AA16,AD16)+(Dec[[#This Row],[Baseline Assessment Score]]*60/3)</f>
        <v>0</v>
      </c>
      <c r="AL16" s="88">
        <f>SUM(Dec[[#This Row],[Night (20:00 - 08:00)]]/60)</f>
        <v>0</v>
      </c>
    </row>
    <row r="17" spans="2:38" x14ac:dyDescent="0.2">
      <c r="B17" s="87"/>
      <c r="C17" s="73"/>
      <c r="D17" s="75"/>
      <c r="E17" s="14"/>
      <c r="F17" s="5"/>
      <c r="G17" s="14"/>
      <c r="H17" s="14"/>
      <c r="I17" s="5"/>
      <c r="J17" s="14"/>
      <c r="K17" s="14"/>
      <c r="L17" s="5"/>
      <c r="M17" s="14"/>
      <c r="N17" s="14"/>
      <c r="O17" s="5"/>
      <c r="P17" s="14"/>
      <c r="Q17" s="14"/>
      <c r="R17" s="5"/>
      <c r="S17" s="14"/>
      <c r="T17" s="14"/>
      <c r="U17" s="5"/>
      <c r="V17" s="14"/>
      <c r="W17" s="14"/>
      <c r="X17" s="5"/>
      <c r="Y17" s="14"/>
      <c r="Z17" s="14"/>
      <c r="AA17" s="5"/>
      <c r="AB17" s="14"/>
      <c r="AC17" s="14"/>
      <c r="AD17" s="5"/>
      <c r="AE17" s="15">
        <f>SUM(Dec[[#This Row],[Early]:[Night        ]])+(Dec[[#This Row],[Baseline Assessment Score]]*60)</f>
        <v>0</v>
      </c>
      <c r="AF17" s="19">
        <f>Dec[[#This Row],[Total Mins over 24 hr]]/60</f>
        <v>0</v>
      </c>
      <c r="AG17" s="15">
        <f>SUM(D17,G17,J17,M17,P17,S17,V17,Y17,AB17)+(Dec[[#This Row],[Baseline Assessment Score]]*60/3)</f>
        <v>0</v>
      </c>
      <c r="AH17" s="19">
        <f>SUM(Dec[[#This Row],[Early (08.00 - 14.00) ]]/60)</f>
        <v>0</v>
      </c>
      <c r="AI17" s="15">
        <f>SUM(E17,H17,K17,N17,Q17,T17,W17,Z17,AC17)+(Dec[[#This Row],[Baseline Assessment Score]]*60/3)</f>
        <v>0</v>
      </c>
      <c r="AJ17" s="19">
        <f>SUM(Dec[[#This Row],[Late (14.00 - 20.00) ]]/60)</f>
        <v>0</v>
      </c>
      <c r="AK17" s="15">
        <f>SUM(F17,I17,L17,O17,R17,U17,X17,AA17,AD17)+(Dec[[#This Row],[Baseline Assessment Score]]*60/3)</f>
        <v>0</v>
      </c>
      <c r="AL17" s="88">
        <f>SUM(Dec[[#This Row],[Night (20:00 - 08:00)]]/60)</f>
        <v>0</v>
      </c>
    </row>
    <row r="18" spans="2:38" x14ac:dyDescent="0.2">
      <c r="B18" s="87"/>
      <c r="C18" s="73"/>
      <c r="D18" s="75"/>
      <c r="E18" s="14"/>
      <c r="F18" s="5"/>
      <c r="G18" s="14"/>
      <c r="H18" s="14"/>
      <c r="I18" s="5"/>
      <c r="J18" s="14"/>
      <c r="K18" s="14"/>
      <c r="L18" s="5"/>
      <c r="M18" s="14"/>
      <c r="N18" s="14"/>
      <c r="O18" s="5"/>
      <c r="P18" s="14"/>
      <c r="Q18" s="14"/>
      <c r="R18" s="5"/>
      <c r="S18" s="14"/>
      <c r="T18" s="14"/>
      <c r="U18" s="5"/>
      <c r="V18" s="14"/>
      <c r="W18" s="14"/>
      <c r="X18" s="5"/>
      <c r="Y18" s="14"/>
      <c r="Z18" s="14"/>
      <c r="AA18" s="5"/>
      <c r="AB18" s="14"/>
      <c r="AC18" s="14"/>
      <c r="AD18" s="5"/>
      <c r="AE18" s="15">
        <f>SUM(Dec[[#This Row],[Early]:[Night        ]])+(Dec[[#This Row],[Baseline Assessment Score]]*60)</f>
        <v>0</v>
      </c>
      <c r="AF18" s="19">
        <f>Dec[[#This Row],[Total Mins over 24 hr]]/60</f>
        <v>0</v>
      </c>
      <c r="AG18" s="15">
        <f>SUM(D18,G18,J18,M18,P18,S18,V18,Y18,AB18)+(Dec[[#This Row],[Baseline Assessment Score]]*60/3)</f>
        <v>0</v>
      </c>
      <c r="AH18" s="19">
        <f>SUM(Dec[[#This Row],[Early (08.00 - 14.00) ]]/60)</f>
        <v>0</v>
      </c>
      <c r="AI18" s="15">
        <f>SUM(E18,H18,K18,N18,Q18,T18,W18,Z18,AC18)+(Dec[[#This Row],[Baseline Assessment Score]]*60/3)</f>
        <v>0</v>
      </c>
      <c r="AJ18" s="19">
        <f>SUM(Dec[[#This Row],[Late (14.00 - 20.00) ]]/60)</f>
        <v>0</v>
      </c>
      <c r="AK18" s="15">
        <f>SUM(F18,I18,L18,O18,R18,U18,X18,AA18,AD18)+(Dec[[#This Row],[Baseline Assessment Score]]*60/3)</f>
        <v>0</v>
      </c>
      <c r="AL18" s="88">
        <f>SUM(Dec[[#This Row],[Night (20:00 - 08:00)]]/60)</f>
        <v>0</v>
      </c>
    </row>
    <row r="19" spans="2:38" x14ac:dyDescent="0.2">
      <c r="B19" s="87"/>
      <c r="C19" s="73"/>
      <c r="D19" s="75"/>
      <c r="E19" s="14"/>
      <c r="F19" s="5"/>
      <c r="G19" s="14"/>
      <c r="H19" s="14"/>
      <c r="I19" s="5"/>
      <c r="J19" s="14"/>
      <c r="K19" s="14"/>
      <c r="L19" s="5"/>
      <c r="M19" s="14"/>
      <c r="N19" s="14"/>
      <c r="O19" s="5"/>
      <c r="P19" s="14"/>
      <c r="Q19" s="14"/>
      <c r="R19" s="5"/>
      <c r="S19" s="14"/>
      <c r="T19" s="14"/>
      <c r="U19" s="5"/>
      <c r="V19" s="14"/>
      <c r="W19" s="14"/>
      <c r="X19" s="5"/>
      <c r="Y19" s="14"/>
      <c r="Z19" s="14"/>
      <c r="AA19" s="5"/>
      <c r="AB19" s="14"/>
      <c r="AC19" s="14"/>
      <c r="AD19" s="5"/>
      <c r="AE19" s="15">
        <f>SUM(Dec[[#This Row],[Early]:[Night        ]])+(Dec[[#This Row],[Baseline Assessment Score]]*60)</f>
        <v>0</v>
      </c>
      <c r="AF19" s="19">
        <f>Dec[[#This Row],[Total Mins over 24 hr]]/60</f>
        <v>0</v>
      </c>
      <c r="AG19" s="15">
        <f>SUM(D19,G19,J19,M19,P19,S19,V19,Y19,AB19)+(Dec[[#This Row],[Baseline Assessment Score]]*60/3)</f>
        <v>0</v>
      </c>
      <c r="AH19" s="19">
        <f>SUM(Dec[[#This Row],[Early (08.00 - 14.00) ]]/60)</f>
        <v>0</v>
      </c>
      <c r="AI19" s="15">
        <f>SUM(E19,H19,K19,N19,Q19,T19,W19,Z19,AC19)+(Dec[[#This Row],[Baseline Assessment Score]]*60/3)</f>
        <v>0</v>
      </c>
      <c r="AJ19" s="19">
        <f>SUM(Dec[[#This Row],[Late (14.00 - 20.00) ]]/60)</f>
        <v>0</v>
      </c>
      <c r="AK19" s="15">
        <f>SUM(F19,I19,L19,O19,R19,U19,X19,AA19,AD19)+(Dec[[#This Row],[Baseline Assessment Score]]*60/3)</f>
        <v>0</v>
      </c>
      <c r="AL19" s="88">
        <f>SUM(Dec[[#This Row],[Night (20:00 - 08:00)]]/60)</f>
        <v>0</v>
      </c>
    </row>
    <row r="20" spans="2:38" x14ac:dyDescent="0.2">
      <c r="B20" s="87"/>
      <c r="C20" s="73"/>
      <c r="D20" s="75"/>
      <c r="E20" s="14"/>
      <c r="F20" s="5"/>
      <c r="G20" s="14"/>
      <c r="H20" s="14"/>
      <c r="I20" s="5"/>
      <c r="J20" s="14"/>
      <c r="K20" s="14"/>
      <c r="L20" s="5"/>
      <c r="M20" s="14"/>
      <c r="N20" s="14"/>
      <c r="O20" s="5"/>
      <c r="P20" s="14"/>
      <c r="Q20" s="14"/>
      <c r="R20" s="5"/>
      <c r="S20" s="14"/>
      <c r="T20" s="14"/>
      <c r="U20" s="5"/>
      <c r="V20" s="14"/>
      <c r="W20" s="14"/>
      <c r="X20" s="5"/>
      <c r="Y20" s="14"/>
      <c r="Z20" s="14"/>
      <c r="AA20" s="5"/>
      <c r="AB20" s="14"/>
      <c r="AC20" s="14"/>
      <c r="AD20" s="5"/>
      <c r="AE20" s="15">
        <f>SUM(Dec[[#This Row],[Early]:[Night        ]])+(Dec[[#This Row],[Baseline Assessment Score]]*60)</f>
        <v>0</v>
      </c>
      <c r="AF20" s="19">
        <f>Dec[[#This Row],[Total Mins over 24 hr]]/60</f>
        <v>0</v>
      </c>
      <c r="AG20" s="15">
        <f>SUM(D20,G20,J20,M20,P20,S20,V20,Y20,AB20)+(Dec[[#This Row],[Baseline Assessment Score]]*60/3)</f>
        <v>0</v>
      </c>
      <c r="AH20" s="19">
        <f>SUM(Dec[[#This Row],[Early (08.00 - 14.00) ]]/60)</f>
        <v>0</v>
      </c>
      <c r="AI20" s="15">
        <f>SUM(E20,H20,K20,N20,Q20,T20,W20,Z20,AC20)+(Dec[[#This Row],[Baseline Assessment Score]]*60/3)</f>
        <v>0</v>
      </c>
      <c r="AJ20" s="19">
        <f>SUM(Dec[[#This Row],[Late (14.00 - 20.00) ]]/60)</f>
        <v>0</v>
      </c>
      <c r="AK20" s="15">
        <f>SUM(F20,I20,L20,O20,R20,U20,X20,AA20,AD20)+(Dec[[#This Row],[Baseline Assessment Score]]*60/3)</f>
        <v>0</v>
      </c>
      <c r="AL20" s="88">
        <f>SUM(Dec[[#This Row],[Night (20:00 - 08:00)]]/60)</f>
        <v>0</v>
      </c>
    </row>
    <row r="21" spans="2:38" x14ac:dyDescent="0.2">
      <c r="B21" s="87"/>
      <c r="C21" s="73"/>
      <c r="D21" s="75"/>
      <c r="E21" s="14"/>
      <c r="F21" s="5"/>
      <c r="G21" s="14"/>
      <c r="H21" s="14"/>
      <c r="I21" s="5"/>
      <c r="J21" s="14"/>
      <c r="K21" s="14"/>
      <c r="L21" s="5"/>
      <c r="M21" s="14"/>
      <c r="N21" s="14"/>
      <c r="O21" s="5"/>
      <c r="P21" s="14"/>
      <c r="Q21" s="14"/>
      <c r="R21" s="5"/>
      <c r="S21" s="14"/>
      <c r="T21" s="14"/>
      <c r="U21" s="5"/>
      <c r="V21" s="14"/>
      <c r="W21" s="14"/>
      <c r="X21" s="5"/>
      <c r="Y21" s="14"/>
      <c r="Z21" s="14"/>
      <c r="AA21" s="5"/>
      <c r="AB21" s="14"/>
      <c r="AC21" s="14"/>
      <c r="AD21" s="5"/>
      <c r="AE21" s="15">
        <f>SUM(Dec[[#This Row],[Early]:[Night        ]])+(Dec[[#This Row],[Baseline Assessment Score]]*60)</f>
        <v>0</v>
      </c>
      <c r="AF21" s="19">
        <f>Dec[[#This Row],[Total Mins over 24 hr]]/60</f>
        <v>0</v>
      </c>
      <c r="AG21" s="15">
        <f>SUM(D21,G21,J21,M21,P21,S21,V21,Y21,AB21)+(Dec[[#This Row],[Baseline Assessment Score]]*60/3)</f>
        <v>0</v>
      </c>
      <c r="AH21" s="19">
        <f>SUM(Dec[[#This Row],[Early (08.00 - 14.00) ]]/60)</f>
        <v>0</v>
      </c>
      <c r="AI21" s="15">
        <f>SUM(E21,H21,K21,N21,Q21,T21,W21,Z21,AC21)+(Dec[[#This Row],[Baseline Assessment Score]]*60/3)</f>
        <v>0</v>
      </c>
      <c r="AJ21" s="19">
        <f>SUM(Dec[[#This Row],[Late (14.00 - 20.00) ]]/60)</f>
        <v>0</v>
      </c>
      <c r="AK21" s="15">
        <f>SUM(F21,I21,L21,O21,R21,U21,X21,AA21,AD21)+(Dec[[#This Row],[Baseline Assessment Score]]*60/3)</f>
        <v>0</v>
      </c>
      <c r="AL21" s="88">
        <f>SUM(Dec[[#This Row],[Night (20:00 - 08:00)]]/60)</f>
        <v>0</v>
      </c>
    </row>
    <row r="22" spans="2:38" ht="15" customHeight="1" x14ac:dyDescent="0.2">
      <c r="B22" s="87"/>
      <c r="C22" s="73"/>
      <c r="D22" s="75"/>
      <c r="E22" s="14"/>
      <c r="F22" s="5"/>
      <c r="G22" s="14"/>
      <c r="H22" s="14"/>
      <c r="I22" s="5"/>
      <c r="J22" s="14"/>
      <c r="K22" s="14"/>
      <c r="L22" s="5"/>
      <c r="M22" s="14"/>
      <c r="N22" s="14"/>
      <c r="O22" s="5"/>
      <c r="P22" s="14"/>
      <c r="Q22" s="14"/>
      <c r="R22" s="5"/>
      <c r="S22" s="14"/>
      <c r="T22" s="14"/>
      <c r="U22" s="5"/>
      <c r="V22" s="14"/>
      <c r="W22" s="14"/>
      <c r="X22" s="5"/>
      <c r="Y22" s="14"/>
      <c r="Z22" s="14"/>
      <c r="AA22" s="5"/>
      <c r="AB22" s="14"/>
      <c r="AC22" s="14"/>
      <c r="AD22" s="5"/>
      <c r="AE22" s="15">
        <f>SUM(Dec[[#This Row],[Early]:[Night        ]])+(Dec[[#This Row],[Baseline Assessment Score]]*60)</f>
        <v>0</v>
      </c>
      <c r="AF22" s="19">
        <f>Dec[[#This Row],[Total Mins over 24 hr]]/60</f>
        <v>0</v>
      </c>
      <c r="AG22" s="15">
        <f>SUM(D22,G22,J22,M22,P22,S22,V22,Y22,AB22)+(Dec[[#This Row],[Baseline Assessment Score]]*60/3)</f>
        <v>0</v>
      </c>
      <c r="AH22" s="19">
        <f>SUM(Dec[[#This Row],[Early (08.00 - 14.00) ]]/60)</f>
        <v>0</v>
      </c>
      <c r="AI22" s="15">
        <f>SUM(E22,H22,K22,N22,Q22,T22,W22,Z22,AC22)+(Dec[[#This Row],[Baseline Assessment Score]]*60/3)</f>
        <v>0</v>
      </c>
      <c r="AJ22" s="19">
        <f>SUM(Dec[[#This Row],[Late (14.00 - 20.00) ]]/60)</f>
        <v>0</v>
      </c>
      <c r="AK22" s="15">
        <f>SUM(F22,I22,L22,O22,R22,U22,X22,AA22,AD22)+(Dec[[#This Row],[Baseline Assessment Score]]*60/3)</f>
        <v>0</v>
      </c>
      <c r="AL22" s="88">
        <f>SUM(Dec[[#This Row],[Night (20:00 - 08:00)]]/60)</f>
        <v>0</v>
      </c>
    </row>
    <row r="23" spans="2:38" x14ac:dyDescent="0.2">
      <c r="B23" s="87"/>
      <c r="C23" s="73"/>
      <c r="D23" s="75"/>
      <c r="E23" s="14"/>
      <c r="F23" s="5"/>
      <c r="G23" s="14"/>
      <c r="H23" s="14"/>
      <c r="I23" s="5"/>
      <c r="J23" s="14"/>
      <c r="K23" s="14"/>
      <c r="L23" s="5"/>
      <c r="M23" s="14"/>
      <c r="N23" s="14"/>
      <c r="O23" s="5"/>
      <c r="P23" s="14"/>
      <c r="Q23" s="14"/>
      <c r="R23" s="5"/>
      <c r="S23" s="14"/>
      <c r="T23" s="14"/>
      <c r="U23" s="5"/>
      <c r="V23" s="14"/>
      <c r="W23" s="14"/>
      <c r="X23" s="5"/>
      <c r="Y23" s="14"/>
      <c r="Z23" s="14"/>
      <c r="AA23" s="5"/>
      <c r="AB23" s="14"/>
      <c r="AC23" s="14"/>
      <c r="AD23" s="5"/>
      <c r="AE23" s="15">
        <f>SUM(Dec[[#This Row],[Early]:[Night        ]])+(Dec[[#This Row],[Baseline Assessment Score]]*60)</f>
        <v>0</v>
      </c>
      <c r="AF23" s="19">
        <f>Dec[[#This Row],[Total Mins over 24 hr]]/60</f>
        <v>0</v>
      </c>
      <c r="AG23" s="15">
        <f>SUM(D23,G23,J23,M23,P23,S23,V23,Y23,AB23)+(Dec[[#This Row],[Baseline Assessment Score]]*60/3)</f>
        <v>0</v>
      </c>
      <c r="AH23" s="19">
        <f>SUM(Dec[[#This Row],[Early (08.00 - 14.00) ]]/60)</f>
        <v>0</v>
      </c>
      <c r="AI23" s="15">
        <f>SUM(E23,H23,K23,N23,Q23,T23,W23,Z23,AC23)+(Dec[[#This Row],[Baseline Assessment Score]]*60/3)</f>
        <v>0</v>
      </c>
      <c r="AJ23" s="19">
        <f>SUM(Dec[[#This Row],[Late (14.00 - 20.00) ]]/60)</f>
        <v>0</v>
      </c>
      <c r="AK23" s="15">
        <f>SUM(F23,I23,L23,O23,R23,U23,X23,AA23,AD23)+(Dec[[#This Row],[Baseline Assessment Score]]*60/3)</f>
        <v>0</v>
      </c>
      <c r="AL23" s="88">
        <f>SUM(Dec[[#This Row],[Night (20:00 - 08:00)]]/60)</f>
        <v>0</v>
      </c>
    </row>
    <row r="24" spans="2:38" x14ac:dyDescent="0.2">
      <c r="B24" s="87"/>
      <c r="C24" s="73"/>
      <c r="D24" s="75"/>
      <c r="E24" s="14"/>
      <c r="F24" s="5"/>
      <c r="G24" s="14"/>
      <c r="H24" s="14"/>
      <c r="I24" s="5"/>
      <c r="J24" s="14"/>
      <c r="K24" s="14"/>
      <c r="L24" s="5"/>
      <c r="M24" s="14"/>
      <c r="N24" s="14"/>
      <c r="O24" s="5"/>
      <c r="P24" s="14"/>
      <c r="Q24" s="14"/>
      <c r="R24" s="5"/>
      <c r="S24" s="14"/>
      <c r="T24" s="14"/>
      <c r="U24" s="5"/>
      <c r="V24" s="14"/>
      <c r="W24" s="14"/>
      <c r="X24" s="5"/>
      <c r="Y24" s="14"/>
      <c r="Z24" s="14"/>
      <c r="AA24" s="5"/>
      <c r="AB24" s="14"/>
      <c r="AC24" s="14"/>
      <c r="AD24" s="5"/>
      <c r="AE24" s="15">
        <f>SUM(Dec[[#This Row],[Early]:[Night        ]])+(Dec[[#This Row],[Baseline Assessment Score]]*60)</f>
        <v>0</v>
      </c>
      <c r="AF24" s="19">
        <f>Dec[[#This Row],[Total Mins over 24 hr]]/60</f>
        <v>0</v>
      </c>
      <c r="AG24" s="15">
        <f>SUM(D24,G24,J24,M24,P24,S24,V24,Y24,AB24)+(Dec[[#This Row],[Baseline Assessment Score]]*60/3)</f>
        <v>0</v>
      </c>
      <c r="AH24" s="19">
        <f>SUM(Dec[[#This Row],[Early (08.00 - 14.00) ]]/60)</f>
        <v>0</v>
      </c>
      <c r="AI24" s="15">
        <f>SUM(E24,H24,K24,N24,Q24,T24,W24,Z24,AC24)+(Dec[[#This Row],[Baseline Assessment Score]]*60/3)</f>
        <v>0</v>
      </c>
      <c r="AJ24" s="19">
        <f>SUM(Dec[[#This Row],[Late (14.00 - 20.00) ]]/60)</f>
        <v>0</v>
      </c>
      <c r="AK24" s="15">
        <f>SUM(F24,I24,L24,O24,R24,U24,X24,AA24,AD24)+(Dec[[#This Row],[Baseline Assessment Score]]*60/3)</f>
        <v>0</v>
      </c>
      <c r="AL24" s="88">
        <f>SUM(Dec[[#This Row],[Night (20:00 - 08:00)]]/60)</f>
        <v>0</v>
      </c>
    </row>
    <row r="25" spans="2:38" x14ac:dyDescent="0.2">
      <c r="B25" s="87"/>
      <c r="C25" s="73"/>
      <c r="D25" s="75"/>
      <c r="E25" s="14"/>
      <c r="F25" s="5"/>
      <c r="G25" s="14"/>
      <c r="H25" s="14"/>
      <c r="I25" s="5"/>
      <c r="J25" s="14"/>
      <c r="K25" s="14"/>
      <c r="L25" s="5"/>
      <c r="M25" s="14"/>
      <c r="N25" s="14"/>
      <c r="O25" s="5"/>
      <c r="P25" s="14"/>
      <c r="Q25" s="14"/>
      <c r="R25" s="5"/>
      <c r="S25" s="14"/>
      <c r="T25" s="14"/>
      <c r="U25" s="5"/>
      <c r="V25" s="14"/>
      <c r="W25" s="14"/>
      <c r="X25" s="5"/>
      <c r="Y25" s="14"/>
      <c r="Z25" s="14"/>
      <c r="AA25" s="5"/>
      <c r="AB25" s="14"/>
      <c r="AC25" s="14"/>
      <c r="AD25" s="5"/>
      <c r="AE25" s="15">
        <f>SUM(Dec[[#This Row],[Early]:[Night        ]])+(Dec[[#This Row],[Baseline Assessment Score]]*60)</f>
        <v>0</v>
      </c>
      <c r="AF25" s="19">
        <f>Dec[[#This Row],[Total Mins over 24 hr]]/60</f>
        <v>0</v>
      </c>
      <c r="AG25" s="15">
        <f>SUM(D25,G25,J25,M25,P25,S25,V25,Y25,AB25)+(Dec[[#This Row],[Baseline Assessment Score]]*60/3)</f>
        <v>0</v>
      </c>
      <c r="AH25" s="19">
        <f>SUM(Dec[[#This Row],[Early (08.00 - 14.00) ]]/60)</f>
        <v>0</v>
      </c>
      <c r="AI25" s="15">
        <f>SUM(E25,H25,K25,N25,Q25,T25,W25,Z25,AC25)+(Dec[[#This Row],[Baseline Assessment Score]]*60/3)</f>
        <v>0</v>
      </c>
      <c r="AJ25" s="19">
        <f>SUM(Dec[[#This Row],[Late (14.00 - 20.00) ]]/60)</f>
        <v>0</v>
      </c>
      <c r="AK25" s="15">
        <f>SUM(F25,I25,L25,O25,R25,U25,X25,AA25,AD25)+(Dec[[#This Row],[Baseline Assessment Score]]*60/3)</f>
        <v>0</v>
      </c>
      <c r="AL25" s="88">
        <f>SUM(Dec[[#This Row],[Night (20:00 - 08:00)]]/60)</f>
        <v>0</v>
      </c>
    </row>
    <row r="26" spans="2:38" x14ac:dyDescent="0.2">
      <c r="B26" s="87"/>
      <c r="C26" s="73"/>
      <c r="D26" s="75"/>
      <c r="E26" s="14"/>
      <c r="F26" s="5"/>
      <c r="G26" s="14"/>
      <c r="H26" s="14"/>
      <c r="I26" s="5"/>
      <c r="J26" s="14"/>
      <c r="K26" s="14"/>
      <c r="L26" s="5"/>
      <c r="M26" s="14"/>
      <c r="N26" s="14"/>
      <c r="O26" s="5"/>
      <c r="P26" s="14"/>
      <c r="Q26" s="14"/>
      <c r="R26" s="5"/>
      <c r="S26" s="14"/>
      <c r="T26" s="14"/>
      <c r="U26" s="5"/>
      <c r="V26" s="14"/>
      <c r="W26" s="14"/>
      <c r="X26" s="5"/>
      <c r="Y26" s="14"/>
      <c r="Z26" s="14"/>
      <c r="AA26" s="5"/>
      <c r="AB26" s="14"/>
      <c r="AC26" s="14"/>
      <c r="AD26" s="5"/>
      <c r="AE26" s="15">
        <f>SUM(Dec[[#This Row],[Early]:[Night        ]])+(Dec[[#This Row],[Baseline Assessment Score]]*60)</f>
        <v>0</v>
      </c>
      <c r="AF26" s="19">
        <f>Dec[[#This Row],[Total Mins over 24 hr]]/60</f>
        <v>0</v>
      </c>
      <c r="AG26" s="15">
        <f>SUM(D26,G26,J26,M26,P26,S26,V26,Y26,AB26)+(Dec[[#This Row],[Baseline Assessment Score]]*60/3)</f>
        <v>0</v>
      </c>
      <c r="AH26" s="19">
        <f>SUM(Dec[[#This Row],[Early (08.00 - 14.00) ]]/60)</f>
        <v>0</v>
      </c>
      <c r="AI26" s="15">
        <f>SUM(E26,H26,K26,N26,Q26,T26,W26,Z26,AC26)+(Dec[[#This Row],[Baseline Assessment Score]]*60/3)</f>
        <v>0</v>
      </c>
      <c r="AJ26" s="19">
        <f>SUM(Dec[[#This Row],[Late (14.00 - 20.00) ]]/60)</f>
        <v>0</v>
      </c>
      <c r="AK26" s="15">
        <f>SUM(F26,I26,L26,O26,R26,U26,X26,AA26,AD26)+(Dec[[#This Row],[Baseline Assessment Score]]*60/3)</f>
        <v>0</v>
      </c>
      <c r="AL26" s="88">
        <f>SUM(Dec[[#This Row],[Night (20:00 - 08:00)]]/60)</f>
        <v>0</v>
      </c>
    </row>
    <row r="27" spans="2:38" x14ac:dyDescent="0.2">
      <c r="B27" s="87"/>
      <c r="C27" s="73"/>
      <c r="D27" s="75"/>
      <c r="E27" s="14"/>
      <c r="F27" s="5"/>
      <c r="G27" s="14"/>
      <c r="H27" s="14"/>
      <c r="I27" s="5"/>
      <c r="J27" s="14"/>
      <c r="K27" s="14"/>
      <c r="L27" s="5"/>
      <c r="M27" s="14"/>
      <c r="N27" s="14"/>
      <c r="O27" s="5"/>
      <c r="P27" s="14"/>
      <c r="Q27" s="14"/>
      <c r="R27" s="5"/>
      <c r="S27" s="14"/>
      <c r="T27" s="14"/>
      <c r="U27" s="5"/>
      <c r="V27" s="14"/>
      <c r="W27" s="14"/>
      <c r="X27" s="5"/>
      <c r="Y27" s="14"/>
      <c r="Z27" s="14"/>
      <c r="AA27" s="5"/>
      <c r="AB27" s="14"/>
      <c r="AC27" s="14"/>
      <c r="AD27" s="5"/>
      <c r="AE27" s="15">
        <f>SUM(Dec[[#This Row],[Early]:[Night        ]])+(Dec[[#This Row],[Baseline Assessment Score]]*60)</f>
        <v>0</v>
      </c>
      <c r="AF27" s="19">
        <f>Dec[[#This Row],[Total Mins over 24 hr]]/60</f>
        <v>0</v>
      </c>
      <c r="AG27" s="15">
        <f>SUM(D27,G27,J27,M27,P27,S27,V27,Y27,AB27)+(Dec[[#This Row],[Baseline Assessment Score]]*60/3)</f>
        <v>0</v>
      </c>
      <c r="AH27" s="19">
        <f>SUM(Dec[[#This Row],[Early (08.00 - 14.00) ]]/60)</f>
        <v>0</v>
      </c>
      <c r="AI27" s="15">
        <f>SUM(E27,H27,K27,N27,Q27,T27,W27,Z27,AC27)+(Dec[[#This Row],[Baseline Assessment Score]]*60/3)</f>
        <v>0</v>
      </c>
      <c r="AJ27" s="19">
        <f>SUM(Dec[[#This Row],[Late (14.00 - 20.00) ]]/60)</f>
        <v>0</v>
      </c>
      <c r="AK27" s="15">
        <f>SUM(F27,I27,L27,O27,R27,U27,X27,AA27,AD27)+(Dec[[#This Row],[Baseline Assessment Score]]*60/3)</f>
        <v>0</v>
      </c>
      <c r="AL27" s="88">
        <f>SUM(Dec[[#This Row],[Night (20:00 - 08:00)]]/60)</f>
        <v>0</v>
      </c>
    </row>
    <row r="28" spans="2:38" x14ac:dyDescent="0.2">
      <c r="B28" s="87"/>
      <c r="C28" s="73"/>
      <c r="D28" s="75"/>
      <c r="E28" s="14"/>
      <c r="F28" s="5"/>
      <c r="G28" s="14"/>
      <c r="H28" s="14"/>
      <c r="I28" s="5"/>
      <c r="J28" s="14"/>
      <c r="K28" s="14"/>
      <c r="L28" s="5"/>
      <c r="M28" s="14"/>
      <c r="N28" s="14"/>
      <c r="O28" s="5"/>
      <c r="P28" s="14"/>
      <c r="Q28" s="14"/>
      <c r="R28" s="5"/>
      <c r="S28" s="14"/>
      <c r="T28" s="14"/>
      <c r="U28" s="5"/>
      <c r="V28" s="14"/>
      <c r="W28" s="14"/>
      <c r="X28" s="5"/>
      <c r="Y28" s="14"/>
      <c r="Z28" s="14"/>
      <c r="AA28" s="5"/>
      <c r="AB28" s="14"/>
      <c r="AC28" s="14"/>
      <c r="AD28" s="5"/>
      <c r="AE28" s="15">
        <f>SUM(Dec[[#This Row],[Early]:[Night        ]])+(Dec[[#This Row],[Baseline Assessment Score]]*60)</f>
        <v>0</v>
      </c>
      <c r="AF28" s="19">
        <f>Dec[[#This Row],[Total Mins over 24 hr]]/60</f>
        <v>0</v>
      </c>
      <c r="AG28" s="15">
        <f>SUM(D28,G28,J28,M28,P28,S28,V28,Y28,AB28)+(Dec[[#This Row],[Baseline Assessment Score]]*60/3)</f>
        <v>0</v>
      </c>
      <c r="AH28" s="19">
        <f>SUM(Dec[[#This Row],[Early (08.00 - 14.00) ]]/60)</f>
        <v>0</v>
      </c>
      <c r="AI28" s="15">
        <f>SUM(E28,H28,K28,N28,Q28,T28,W28,Z28,AC28)+(Dec[[#This Row],[Baseline Assessment Score]]*60/3)</f>
        <v>0</v>
      </c>
      <c r="AJ28" s="19">
        <f>SUM(Dec[[#This Row],[Late (14.00 - 20.00) ]]/60)</f>
        <v>0</v>
      </c>
      <c r="AK28" s="15">
        <f>SUM(F28,I28,L28,O28,R28,U28,X28,AA28,AD28)+(Dec[[#This Row],[Baseline Assessment Score]]*60/3)</f>
        <v>0</v>
      </c>
      <c r="AL28" s="88">
        <f>SUM(Dec[[#This Row],[Night (20:00 - 08:00)]]/60)</f>
        <v>0</v>
      </c>
    </row>
    <row r="29" spans="2:38" ht="15" customHeight="1" x14ac:dyDescent="0.2">
      <c r="B29" s="87"/>
      <c r="C29" s="73"/>
      <c r="D29" s="75"/>
      <c r="E29" s="14"/>
      <c r="F29" s="5"/>
      <c r="G29" s="14"/>
      <c r="H29" s="14"/>
      <c r="I29" s="5"/>
      <c r="J29" s="14"/>
      <c r="K29" s="14"/>
      <c r="L29" s="5"/>
      <c r="M29" s="14"/>
      <c r="N29" s="14"/>
      <c r="O29" s="5"/>
      <c r="P29" s="14"/>
      <c r="Q29" s="14"/>
      <c r="R29" s="5"/>
      <c r="S29" s="14"/>
      <c r="T29" s="14"/>
      <c r="U29" s="5"/>
      <c r="V29" s="14"/>
      <c r="W29" s="14"/>
      <c r="X29" s="5"/>
      <c r="Y29" s="14"/>
      <c r="Z29" s="14"/>
      <c r="AA29" s="5"/>
      <c r="AB29" s="14"/>
      <c r="AC29" s="14"/>
      <c r="AD29" s="5"/>
      <c r="AE29" s="15">
        <f>SUM(Dec[[#This Row],[Early]:[Night        ]])+(Dec[[#This Row],[Baseline Assessment Score]]*60)</f>
        <v>0</v>
      </c>
      <c r="AF29" s="19">
        <f>Dec[[#This Row],[Total Mins over 24 hr]]/60</f>
        <v>0</v>
      </c>
      <c r="AG29" s="15">
        <f>SUM(D29,G29,J29,M29,P29,S29,V29,Y29,AB29)+(Dec[[#This Row],[Baseline Assessment Score]]*60/3)</f>
        <v>0</v>
      </c>
      <c r="AH29" s="19">
        <f>SUM(Dec[[#This Row],[Early (08.00 - 14.00) ]]/60)</f>
        <v>0</v>
      </c>
      <c r="AI29" s="15">
        <f>SUM(E29,H29,K29,N29,Q29,T29,W29,Z29,AC29)+(Dec[[#This Row],[Baseline Assessment Score]]*60/3)</f>
        <v>0</v>
      </c>
      <c r="AJ29" s="19">
        <f>SUM(Dec[[#This Row],[Late (14.00 - 20.00) ]]/60)</f>
        <v>0</v>
      </c>
      <c r="AK29" s="15">
        <f>SUM(F29,I29,L29,O29,R29,U29,X29,AA29,AD29)+(Dec[[#This Row],[Baseline Assessment Score]]*60/3)</f>
        <v>0</v>
      </c>
      <c r="AL29" s="88">
        <f>SUM(Dec[[#This Row],[Night (20:00 - 08:00)]]/60)</f>
        <v>0</v>
      </c>
    </row>
    <row r="30" spans="2:38" x14ac:dyDescent="0.2">
      <c r="B30" s="87"/>
      <c r="C30" s="73"/>
      <c r="D30" s="75"/>
      <c r="E30" s="14"/>
      <c r="F30" s="5"/>
      <c r="G30" s="14"/>
      <c r="H30" s="14"/>
      <c r="I30" s="5"/>
      <c r="J30" s="14"/>
      <c r="K30" s="14"/>
      <c r="L30" s="5"/>
      <c r="M30" s="14"/>
      <c r="N30" s="14"/>
      <c r="O30" s="5"/>
      <c r="P30" s="14"/>
      <c r="Q30" s="14"/>
      <c r="R30" s="5"/>
      <c r="S30" s="14"/>
      <c r="T30" s="14"/>
      <c r="U30" s="5"/>
      <c r="V30" s="14"/>
      <c r="W30" s="14"/>
      <c r="X30" s="5"/>
      <c r="Y30" s="14"/>
      <c r="Z30" s="14"/>
      <c r="AA30" s="5"/>
      <c r="AB30" s="14"/>
      <c r="AC30" s="14"/>
      <c r="AD30" s="5"/>
      <c r="AE30" s="15">
        <f>SUM(Dec[[#This Row],[Early]:[Night        ]])+(Dec[[#This Row],[Baseline Assessment Score]]*60)</f>
        <v>0</v>
      </c>
      <c r="AF30" s="19">
        <f>Dec[[#This Row],[Total Mins over 24 hr]]/60</f>
        <v>0</v>
      </c>
      <c r="AG30" s="15">
        <f>SUM(D30,G30,J30,M30,P30,S30,V30,Y30,AB30)+(Dec[[#This Row],[Baseline Assessment Score]]*60/3)</f>
        <v>0</v>
      </c>
      <c r="AH30" s="19">
        <f>SUM(Dec[[#This Row],[Early (08.00 - 14.00) ]]/60)</f>
        <v>0</v>
      </c>
      <c r="AI30" s="15">
        <f>SUM(E30,H30,K30,N30,Q30,T30,W30,Z30,AC30)+(Dec[[#This Row],[Baseline Assessment Score]]*60/3)</f>
        <v>0</v>
      </c>
      <c r="AJ30" s="19">
        <f>SUM(Dec[[#This Row],[Late (14.00 - 20.00) ]]/60)</f>
        <v>0</v>
      </c>
      <c r="AK30" s="15">
        <f>SUM(F30,I30,L30,O30,R30,U30,X30,AA30,AD30)+(Dec[[#This Row],[Baseline Assessment Score]]*60/3)</f>
        <v>0</v>
      </c>
      <c r="AL30" s="88">
        <f>SUM(Dec[[#This Row],[Night (20:00 - 08:00)]]/60)</f>
        <v>0</v>
      </c>
    </row>
    <row r="31" spans="2:38" x14ac:dyDescent="0.2">
      <c r="B31" s="87"/>
      <c r="C31" s="73"/>
      <c r="D31" s="75"/>
      <c r="E31" s="14"/>
      <c r="F31" s="5"/>
      <c r="G31" s="14"/>
      <c r="H31" s="14"/>
      <c r="I31" s="5"/>
      <c r="J31" s="14"/>
      <c r="K31" s="14"/>
      <c r="L31" s="5"/>
      <c r="M31" s="14"/>
      <c r="N31" s="14"/>
      <c r="O31" s="5"/>
      <c r="P31" s="14"/>
      <c r="Q31" s="14"/>
      <c r="R31" s="5"/>
      <c r="S31" s="14"/>
      <c r="T31" s="14"/>
      <c r="U31" s="5"/>
      <c r="V31" s="14"/>
      <c r="W31" s="14"/>
      <c r="X31" s="5"/>
      <c r="Y31" s="14"/>
      <c r="Z31" s="14"/>
      <c r="AA31" s="5"/>
      <c r="AB31" s="14"/>
      <c r="AC31" s="14"/>
      <c r="AD31" s="5"/>
      <c r="AE31" s="15">
        <f>SUM(Dec[[#This Row],[Early]:[Night        ]])+(Dec[[#This Row],[Baseline Assessment Score]]*60)</f>
        <v>0</v>
      </c>
      <c r="AF31" s="19">
        <f>Dec[[#This Row],[Total Mins over 24 hr]]/60</f>
        <v>0</v>
      </c>
      <c r="AG31" s="15">
        <f>SUM(D31,G31,J31,M31,P31,S31,V31,Y31,AB31)+(Dec[[#This Row],[Baseline Assessment Score]]*60/3)</f>
        <v>0</v>
      </c>
      <c r="AH31" s="19">
        <f>SUM(Dec[[#This Row],[Early (08.00 - 14.00) ]]/60)</f>
        <v>0</v>
      </c>
      <c r="AI31" s="15">
        <f>SUM(E31,H31,K31,N31,Q31,T31,W31,Z31,AC31)+(Dec[[#This Row],[Baseline Assessment Score]]*60/3)</f>
        <v>0</v>
      </c>
      <c r="AJ31" s="19">
        <f>SUM(Dec[[#This Row],[Late (14.00 - 20.00) ]]/60)</f>
        <v>0</v>
      </c>
      <c r="AK31" s="15">
        <f>SUM(F31,I31,L31,O31,R31,U31,X31,AA31,AD31)+(Dec[[#This Row],[Baseline Assessment Score]]*60/3)</f>
        <v>0</v>
      </c>
      <c r="AL31" s="88">
        <f>SUM(Dec[[#This Row],[Night (20:00 - 08:00)]]/60)</f>
        <v>0</v>
      </c>
    </row>
    <row r="32" spans="2:38" x14ac:dyDescent="0.2">
      <c r="B32" s="87"/>
      <c r="C32" s="73"/>
      <c r="D32" s="75"/>
      <c r="E32" s="14"/>
      <c r="F32" s="5"/>
      <c r="G32" s="14"/>
      <c r="H32" s="14"/>
      <c r="I32" s="5"/>
      <c r="J32" s="14"/>
      <c r="K32" s="14"/>
      <c r="L32" s="5"/>
      <c r="M32" s="14"/>
      <c r="N32" s="14"/>
      <c r="O32" s="5"/>
      <c r="P32" s="14"/>
      <c r="Q32" s="14"/>
      <c r="R32" s="5"/>
      <c r="S32" s="14"/>
      <c r="T32" s="14"/>
      <c r="U32" s="5"/>
      <c r="V32" s="14"/>
      <c r="W32" s="14"/>
      <c r="X32" s="5"/>
      <c r="Y32" s="14"/>
      <c r="Z32" s="14"/>
      <c r="AA32" s="5"/>
      <c r="AB32" s="14"/>
      <c r="AC32" s="14"/>
      <c r="AD32" s="5"/>
      <c r="AE32" s="15">
        <f>SUM(Dec[[#This Row],[Early]:[Night        ]])+(Dec[[#This Row],[Baseline Assessment Score]]*60)</f>
        <v>0</v>
      </c>
      <c r="AF32" s="19">
        <f>Dec[[#This Row],[Total Mins over 24 hr]]/60</f>
        <v>0</v>
      </c>
      <c r="AG32" s="15">
        <f>SUM(D32,G32,J32,M32,P32,S32,V32,Y32,AB32)+(Dec[[#This Row],[Baseline Assessment Score]]*60/3)</f>
        <v>0</v>
      </c>
      <c r="AH32" s="19">
        <f>SUM(Dec[[#This Row],[Early (08.00 - 14.00) ]]/60)</f>
        <v>0</v>
      </c>
      <c r="AI32" s="15">
        <f>SUM(E32,H32,K32,N32,Q32,T32,W32,Z32,AC32)+(Dec[[#This Row],[Baseline Assessment Score]]*60/3)</f>
        <v>0</v>
      </c>
      <c r="AJ32" s="19">
        <f>SUM(Dec[[#This Row],[Late (14.00 - 20.00) ]]/60)</f>
        <v>0</v>
      </c>
      <c r="AK32" s="15">
        <f>SUM(F32,I32,L32,O32,R32,U32,X32,AA32,AD32)+(Dec[[#This Row],[Baseline Assessment Score]]*60/3)</f>
        <v>0</v>
      </c>
      <c r="AL32" s="88">
        <f>SUM(Dec[[#This Row],[Night (20:00 - 08:00)]]/60)</f>
        <v>0</v>
      </c>
    </row>
    <row r="33" spans="2:38" x14ac:dyDescent="0.2">
      <c r="B33" s="87"/>
      <c r="C33" s="73"/>
      <c r="D33" s="75"/>
      <c r="E33" s="14"/>
      <c r="F33" s="5"/>
      <c r="G33" s="14"/>
      <c r="H33" s="14"/>
      <c r="I33" s="5"/>
      <c r="J33" s="14"/>
      <c r="K33" s="14"/>
      <c r="L33" s="5"/>
      <c r="M33" s="14"/>
      <c r="N33" s="14"/>
      <c r="O33" s="5"/>
      <c r="P33" s="14"/>
      <c r="Q33" s="14"/>
      <c r="R33" s="5"/>
      <c r="S33" s="14"/>
      <c r="T33" s="14"/>
      <c r="U33" s="5"/>
      <c r="V33" s="14"/>
      <c r="W33" s="14"/>
      <c r="X33" s="5"/>
      <c r="Y33" s="14"/>
      <c r="Z33" s="14"/>
      <c r="AA33" s="5"/>
      <c r="AB33" s="14"/>
      <c r="AC33" s="14"/>
      <c r="AD33" s="5"/>
      <c r="AE33" s="15">
        <f>SUM(Dec[[#This Row],[Early]:[Night        ]])+(Dec[[#This Row],[Baseline Assessment Score]]*60)</f>
        <v>0</v>
      </c>
      <c r="AF33" s="19">
        <f>Dec[[#This Row],[Total Mins over 24 hr]]/60</f>
        <v>0</v>
      </c>
      <c r="AG33" s="15">
        <f>SUM(D33,G33,J33,M33,P33,S33,V33,Y33,AB33)+(Dec[[#This Row],[Baseline Assessment Score]]*60/3)</f>
        <v>0</v>
      </c>
      <c r="AH33" s="19">
        <f>SUM(Dec[[#This Row],[Early (08.00 - 14.00) ]]/60)</f>
        <v>0</v>
      </c>
      <c r="AI33" s="15">
        <f>SUM(E33,H33,K33,N33,Q33,T33,W33,Z33,AC33)+(Dec[[#This Row],[Baseline Assessment Score]]*60/3)</f>
        <v>0</v>
      </c>
      <c r="AJ33" s="19">
        <f>SUM(Dec[[#This Row],[Late (14.00 - 20.00) ]]/60)</f>
        <v>0</v>
      </c>
      <c r="AK33" s="15">
        <f>SUM(F33,I33,L33,O33,R33,U33,X33,AA33,AD33)+(Dec[[#This Row],[Baseline Assessment Score]]*60/3)</f>
        <v>0</v>
      </c>
      <c r="AL33" s="88">
        <f>SUM(Dec[[#This Row],[Night (20:00 - 08:00)]]/60)</f>
        <v>0</v>
      </c>
    </row>
    <row r="34" spans="2:38" x14ac:dyDescent="0.2">
      <c r="B34" s="87"/>
      <c r="C34" s="73"/>
      <c r="D34" s="75"/>
      <c r="E34" s="14"/>
      <c r="F34" s="5"/>
      <c r="G34" s="14"/>
      <c r="H34" s="14"/>
      <c r="I34" s="5"/>
      <c r="J34" s="14"/>
      <c r="K34" s="14"/>
      <c r="L34" s="5"/>
      <c r="M34" s="14"/>
      <c r="N34" s="14"/>
      <c r="O34" s="5"/>
      <c r="P34" s="14"/>
      <c r="Q34" s="14"/>
      <c r="R34" s="5"/>
      <c r="S34" s="14"/>
      <c r="T34" s="14"/>
      <c r="U34" s="5"/>
      <c r="V34" s="14"/>
      <c r="W34" s="14"/>
      <c r="X34" s="5"/>
      <c r="Y34" s="14"/>
      <c r="Z34" s="14"/>
      <c r="AA34" s="5"/>
      <c r="AB34" s="14"/>
      <c r="AC34" s="14"/>
      <c r="AD34" s="5"/>
      <c r="AE34" s="15">
        <f>SUM(Dec[[#This Row],[Early]:[Night        ]])+(Dec[[#This Row],[Baseline Assessment Score]]*60)</f>
        <v>0</v>
      </c>
      <c r="AF34" s="19">
        <f>Dec[[#This Row],[Total Mins over 24 hr]]/60</f>
        <v>0</v>
      </c>
      <c r="AG34" s="15">
        <f>SUM(D34,G34,J34,M34,P34,S34,V34,Y34,AB34)+(Dec[[#This Row],[Baseline Assessment Score]]*60/3)</f>
        <v>0</v>
      </c>
      <c r="AH34" s="19">
        <f>SUM(Dec[[#This Row],[Early (08.00 - 14.00) ]]/60)</f>
        <v>0</v>
      </c>
      <c r="AI34" s="15">
        <f>SUM(E34,H34,K34,N34,Q34,T34,W34,Z34,AC34)+(Dec[[#This Row],[Baseline Assessment Score]]*60/3)</f>
        <v>0</v>
      </c>
      <c r="AJ34" s="19">
        <f>SUM(Dec[[#This Row],[Late (14.00 - 20.00) ]]/60)</f>
        <v>0</v>
      </c>
      <c r="AK34" s="15">
        <f>SUM(F34,I34,L34,O34,R34,U34,X34,AA34,AD34)+(Dec[[#This Row],[Baseline Assessment Score]]*60/3)</f>
        <v>0</v>
      </c>
      <c r="AL34" s="88">
        <f>SUM(Dec[[#This Row],[Night (20:00 - 08:00)]]/60)</f>
        <v>0</v>
      </c>
    </row>
    <row r="35" spans="2:38" ht="15" customHeight="1" x14ac:dyDescent="0.2">
      <c r="B35" s="87"/>
      <c r="C35" s="73"/>
      <c r="D35" s="75"/>
      <c r="E35" s="14"/>
      <c r="F35" s="5"/>
      <c r="G35" s="14"/>
      <c r="H35" s="14"/>
      <c r="I35" s="5"/>
      <c r="J35" s="14"/>
      <c r="K35" s="14"/>
      <c r="L35" s="5"/>
      <c r="M35" s="14"/>
      <c r="N35" s="14"/>
      <c r="O35" s="5"/>
      <c r="P35" s="14"/>
      <c r="Q35" s="14"/>
      <c r="R35" s="5"/>
      <c r="S35" s="14"/>
      <c r="T35" s="14"/>
      <c r="U35" s="5"/>
      <c r="V35" s="14"/>
      <c r="W35" s="14"/>
      <c r="X35" s="5"/>
      <c r="Y35" s="14"/>
      <c r="Z35" s="14"/>
      <c r="AA35" s="5"/>
      <c r="AB35" s="14"/>
      <c r="AC35" s="14"/>
      <c r="AD35" s="5"/>
      <c r="AE35" s="15">
        <f>SUM(Dec[[#This Row],[Early]:[Night        ]])+(Dec[[#This Row],[Baseline Assessment Score]]*60)</f>
        <v>0</v>
      </c>
      <c r="AF35" s="19">
        <f>Dec[[#This Row],[Total Mins over 24 hr]]/60</f>
        <v>0</v>
      </c>
      <c r="AG35" s="15">
        <f>SUM(D35,G35,J35,M35,P35,S35,V35,Y35,AB35)+(Dec[[#This Row],[Baseline Assessment Score]]*60/3)</f>
        <v>0</v>
      </c>
      <c r="AH35" s="19">
        <f>SUM(Dec[[#This Row],[Early (08.00 - 14.00) ]]/60)</f>
        <v>0</v>
      </c>
      <c r="AI35" s="15">
        <f>SUM(E35,H35,K35,N35,Q35,T35,W35,Z35,AC35)+(Dec[[#This Row],[Baseline Assessment Score]]*60/3)</f>
        <v>0</v>
      </c>
      <c r="AJ35" s="19">
        <f>SUM(Dec[[#This Row],[Late (14.00 - 20.00) ]]/60)</f>
        <v>0</v>
      </c>
      <c r="AK35" s="15">
        <f>SUM(F35,I35,L35,O35,R35,U35,X35,AA35,AD35)+(Dec[[#This Row],[Baseline Assessment Score]]*60/3)</f>
        <v>0</v>
      </c>
      <c r="AL35" s="88">
        <f>SUM(Dec[[#This Row],[Night (20:00 - 08:00)]]/60)</f>
        <v>0</v>
      </c>
    </row>
    <row r="36" spans="2:38" x14ac:dyDescent="0.2">
      <c r="B36" s="89"/>
      <c r="C36" s="90"/>
      <c r="D36" s="76"/>
      <c r="E36" s="17"/>
      <c r="F36" s="7"/>
      <c r="G36" s="17"/>
      <c r="H36" s="17"/>
      <c r="I36" s="7"/>
      <c r="J36" s="17"/>
      <c r="K36" s="17"/>
      <c r="L36" s="7"/>
      <c r="M36" s="17"/>
      <c r="N36" s="17"/>
      <c r="O36" s="7"/>
      <c r="P36" s="17"/>
      <c r="Q36" s="17"/>
      <c r="R36" s="7"/>
      <c r="S36" s="17"/>
      <c r="T36" s="17"/>
      <c r="U36" s="7"/>
      <c r="V36" s="17"/>
      <c r="W36" s="17"/>
      <c r="X36" s="7"/>
      <c r="Y36" s="17"/>
      <c r="Z36" s="17"/>
      <c r="AA36" s="7"/>
      <c r="AB36" s="17"/>
      <c r="AC36" s="17"/>
      <c r="AD36" s="7"/>
      <c r="AE36" s="18">
        <f>SUM(Dec[[#This Row],[Early]:[Night        ]])+(Dec[[#This Row],[Baseline Assessment Score]]*60)</f>
        <v>0</v>
      </c>
      <c r="AF36" s="20">
        <f>Dec[[#This Row],[Total Mins over 24 hr]]/60</f>
        <v>0</v>
      </c>
      <c r="AG36" s="18">
        <f>SUM(D36,G36,J36,M36,P36,S36,V36,Y36,AB36)+(Dec[[#This Row],[Baseline Assessment Score]]*60/3)</f>
        <v>0</v>
      </c>
      <c r="AH36" s="20">
        <f>SUM(Dec[[#This Row],[Early (08.00 - 14.00) ]]/60)</f>
        <v>0</v>
      </c>
      <c r="AI36" s="18">
        <f>SUM(E36,H36,K36,N36,Q36,T36,W36,Z36,AC36)+(Dec[[#This Row],[Baseline Assessment Score]]*60/3)</f>
        <v>0</v>
      </c>
      <c r="AJ36" s="20">
        <f>SUM(Dec[[#This Row],[Late (14.00 - 20.00) ]]/60)</f>
        <v>0</v>
      </c>
      <c r="AK36" s="18">
        <f>SUM(F36,I36,L36,O36,R36,U36,X36,AA36,AD36)+(Dec[[#This Row],[Baseline Assessment Score]]*60/3)</f>
        <v>0</v>
      </c>
      <c r="AL36" s="91">
        <f>SUM(Dec[[#This Row],[Night (20:00 - 08:00)]]/60)</f>
        <v>0</v>
      </c>
    </row>
    <row r="37" spans="2:38" ht="33" customHeight="1" thickBot="1" x14ac:dyDescent="0.25">
      <c r="C37" s="181" t="s">
        <v>96</v>
      </c>
      <c r="D37" s="182"/>
      <c r="E37" s="182"/>
      <c r="F37" s="182"/>
      <c r="G37" s="182"/>
      <c r="H37" s="182"/>
      <c r="I37" s="182"/>
      <c r="J37" s="182"/>
      <c r="K37" s="182"/>
      <c r="L37" s="182"/>
      <c r="M37" s="182"/>
      <c r="N37" s="182"/>
      <c r="O37" s="182"/>
      <c r="P37" s="182"/>
      <c r="Q37" s="182"/>
      <c r="R37" s="182"/>
      <c r="S37" s="182"/>
      <c r="T37" s="183"/>
      <c r="V37" s="333" t="s">
        <v>51</v>
      </c>
      <c r="W37" s="334"/>
      <c r="X37" s="334"/>
      <c r="Y37" s="334"/>
      <c r="Z37" s="334"/>
      <c r="AA37" s="334"/>
      <c r="AB37" s="334"/>
      <c r="AC37" s="334"/>
      <c r="AD37" s="334"/>
      <c r="AE37" s="338">
        <f>SUM(Dec[Actual contact time (hours)])</f>
        <v>0</v>
      </c>
      <c r="AF37" s="338"/>
      <c r="AG37" s="338">
        <f>SUM(Dec[Contact time per shift])</f>
        <v>0</v>
      </c>
      <c r="AH37" s="339"/>
      <c r="AI37" s="338">
        <f>SUM(Dec[[Contact time per shift ]])</f>
        <v>0</v>
      </c>
      <c r="AJ37" s="339"/>
      <c r="AK37" s="338">
        <f>SUM(Dec[[Contact time per shift  ]])</f>
        <v>0</v>
      </c>
      <c r="AL37" s="340"/>
    </row>
    <row r="38" spans="2:38" ht="48.75" customHeight="1" x14ac:dyDescent="0.2">
      <c r="C38" s="184" t="s">
        <v>97</v>
      </c>
      <c r="D38" s="185"/>
      <c r="E38" s="185"/>
      <c r="F38" s="185"/>
      <c r="G38" s="185"/>
      <c r="H38" s="185"/>
      <c r="I38" s="185"/>
      <c r="J38" s="185"/>
      <c r="K38" s="185"/>
      <c r="L38" s="185"/>
      <c r="M38" s="185"/>
      <c r="N38" s="185"/>
      <c r="O38" s="185"/>
      <c r="P38" s="185"/>
      <c r="Q38" s="185"/>
      <c r="R38" s="185"/>
      <c r="S38" s="185"/>
      <c r="T38" s="186"/>
      <c r="V38" s="200" t="s">
        <v>53</v>
      </c>
      <c r="W38" s="201"/>
      <c r="X38" s="201"/>
      <c r="Y38" s="201"/>
      <c r="Z38" s="201"/>
      <c r="AA38" s="201"/>
      <c r="AB38" s="201"/>
      <c r="AC38" s="201"/>
      <c r="AD38" s="201"/>
      <c r="AE38" s="219">
        <f>SUM(AG38:AL38)</f>
        <v>0</v>
      </c>
      <c r="AF38" s="219"/>
      <c r="AG38" s="219"/>
      <c r="AH38" s="219"/>
      <c r="AI38" s="219"/>
      <c r="AJ38" s="219"/>
      <c r="AK38" s="219"/>
      <c r="AL38" s="220"/>
    </row>
    <row r="39" spans="2:38" ht="33" customHeight="1" thickBot="1" x14ac:dyDescent="0.25">
      <c r="C39" s="184"/>
      <c r="D39" s="185"/>
      <c r="E39" s="185"/>
      <c r="F39" s="185"/>
      <c r="G39" s="185"/>
      <c r="H39" s="185"/>
      <c r="I39" s="185"/>
      <c r="J39" s="185"/>
      <c r="K39" s="185"/>
      <c r="L39" s="185"/>
      <c r="M39" s="185"/>
      <c r="N39" s="185"/>
      <c r="O39" s="185"/>
      <c r="P39" s="185"/>
      <c r="Q39" s="185"/>
      <c r="R39" s="185"/>
      <c r="S39" s="185"/>
      <c r="T39" s="186"/>
      <c r="V39" s="202" t="s">
        <v>98</v>
      </c>
      <c r="W39" s="203"/>
      <c r="X39" s="203"/>
      <c r="Y39" s="203"/>
      <c r="Z39" s="203"/>
      <c r="AA39" s="203"/>
      <c r="AB39" s="203"/>
      <c r="AC39" s="203"/>
      <c r="AD39" s="203"/>
      <c r="AE39" s="211">
        <f>SUM(AE37,AE38)</f>
        <v>0</v>
      </c>
      <c r="AF39" s="211"/>
      <c r="AG39" s="211">
        <f t="shared" ref="AG39" si="0">SUM(AG37,AG38)</f>
        <v>0</v>
      </c>
      <c r="AH39" s="211"/>
      <c r="AI39" s="211">
        <f t="shared" ref="AI39" si="1">SUM(AI37,AI38)</f>
        <v>0</v>
      </c>
      <c r="AJ39" s="211"/>
      <c r="AK39" s="211">
        <f t="shared" ref="AK39" si="2">SUM(AK37,AK38)</f>
        <v>0</v>
      </c>
      <c r="AL39" s="211"/>
    </row>
    <row r="40" spans="2:38" ht="33" customHeight="1" thickBot="1" x14ac:dyDescent="0.25">
      <c r="C40" s="184"/>
      <c r="D40" s="185"/>
      <c r="E40" s="185"/>
      <c r="F40" s="185"/>
      <c r="G40" s="185"/>
      <c r="H40" s="185"/>
      <c r="I40" s="185"/>
      <c r="J40" s="185"/>
      <c r="K40" s="185"/>
      <c r="L40" s="185"/>
      <c r="M40" s="185"/>
      <c r="N40" s="185"/>
      <c r="O40" s="185"/>
      <c r="P40" s="185"/>
      <c r="Q40" s="185"/>
      <c r="R40" s="185"/>
      <c r="S40" s="185"/>
      <c r="T40" s="186"/>
      <c r="U40" s="21"/>
      <c r="V40" s="192" t="s">
        <v>52</v>
      </c>
      <c r="W40" s="193"/>
      <c r="X40" s="193"/>
      <c r="Y40" s="193"/>
      <c r="Z40" s="193"/>
      <c r="AA40" s="193"/>
      <c r="AB40" s="193"/>
      <c r="AC40" s="193"/>
      <c r="AD40" s="193"/>
      <c r="AE40" s="212">
        <f>SUM(AG40:AL40)</f>
        <v>0</v>
      </c>
      <c r="AF40" s="212"/>
      <c r="AG40" s="212"/>
      <c r="AH40" s="212"/>
      <c r="AI40" s="212"/>
      <c r="AJ40" s="212"/>
      <c r="AK40" s="212"/>
      <c r="AL40" s="213"/>
    </row>
    <row r="41" spans="2:38" ht="33" customHeight="1" x14ac:dyDescent="0.2">
      <c r="C41" s="184"/>
      <c r="D41" s="185"/>
      <c r="E41" s="185"/>
      <c r="F41" s="185"/>
      <c r="G41" s="185"/>
      <c r="H41" s="185"/>
      <c r="I41" s="185"/>
      <c r="J41" s="185"/>
      <c r="K41" s="185"/>
      <c r="L41" s="185"/>
      <c r="M41" s="185"/>
      <c r="N41" s="185"/>
      <c r="O41" s="185"/>
      <c r="P41" s="185"/>
      <c r="Q41" s="185"/>
      <c r="R41" s="185"/>
      <c r="S41" s="185"/>
      <c r="T41" s="186"/>
      <c r="V41" s="194" t="s">
        <v>48</v>
      </c>
      <c r="W41" s="195"/>
      <c r="X41" s="195"/>
      <c r="Y41" s="195"/>
      <c r="Z41" s="195"/>
      <c r="AA41" s="195"/>
      <c r="AB41" s="195"/>
      <c r="AC41" s="195"/>
      <c r="AD41" s="195"/>
      <c r="AE41" s="208">
        <f>SUM(AG41:AL41)</f>
        <v>0</v>
      </c>
      <c r="AF41" s="208"/>
      <c r="AG41" s="217"/>
      <c r="AH41" s="217"/>
      <c r="AI41" s="217"/>
      <c r="AJ41" s="217"/>
      <c r="AK41" s="217"/>
      <c r="AL41" s="218"/>
    </row>
    <row r="42" spans="2:38" ht="33" customHeight="1" thickBot="1" x14ac:dyDescent="0.25">
      <c r="C42" s="184"/>
      <c r="D42" s="185"/>
      <c r="E42" s="185"/>
      <c r="F42" s="185"/>
      <c r="G42" s="185"/>
      <c r="H42" s="185"/>
      <c r="I42" s="185"/>
      <c r="J42" s="185"/>
      <c r="K42" s="185"/>
      <c r="L42" s="185"/>
      <c r="M42" s="185"/>
      <c r="N42" s="185"/>
      <c r="O42" s="185"/>
      <c r="P42" s="185"/>
      <c r="Q42" s="185"/>
      <c r="R42" s="185"/>
      <c r="S42" s="185"/>
      <c r="T42" s="186"/>
      <c r="V42" s="196" t="s">
        <v>49</v>
      </c>
      <c r="W42" s="197"/>
      <c r="X42" s="197"/>
      <c r="Y42" s="197"/>
      <c r="Z42" s="197"/>
      <c r="AA42" s="197"/>
      <c r="AB42" s="197"/>
      <c r="AC42" s="197"/>
      <c r="AD42" s="197"/>
      <c r="AE42" s="209">
        <f>COUNTIF(Dec[Adults Name],"&lt;&gt;"&amp;"")</f>
        <v>0</v>
      </c>
      <c r="AF42" s="210"/>
      <c r="AG42" s="214"/>
      <c r="AH42" s="215"/>
      <c r="AI42" s="215"/>
      <c r="AJ42" s="215"/>
      <c r="AK42" s="215"/>
      <c r="AL42" s="216"/>
    </row>
    <row r="43" spans="2:38" ht="33" customHeight="1" thickBot="1" x14ac:dyDescent="0.25">
      <c r="C43" s="187"/>
      <c r="D43" s="188"/>
      <c r="E43" s="188"/>
      <c r="F43" s="188"/>
      <c r="G43" s="188"/>
      <c r="H43" s="188"/>
      <c r="I43" s="188"/>
      <c r="J43" s="188"/>
      <c r="K43" s="188"/>
      <c r="L43" s="188"/>
      <c r="M43" s="188"/>
      <c r="N43" s="188"/>
      <c r="O43" s="188"/>
      <c r="P43" s="188"/>
      <c r="Q43" s="188"/>
      <c r="R43" s="188"/>
      <c r="S43" s="188"/>
      <c r="T43" s="189"/>
      <c r="V43" s="198" t="s">
        <v>50</v>
      </c>
      <c r="W43" s="199"/>
      <c r="X43" s="199"/>
      <c r="Y43" s="199"/>
      <c r="Z43" s="199"/>
      <c r="AA43" s="199"/>
      <c r="AB43" s="199"/>
      <c r="AC43" s="199"/>
      <c r="AD43" s="199"/>
      <c r="AE43" s="204" t="e">
        <f>SUM(AE42/AE41)</f>
        <v>#DIV/0!</v>
      </c>
      <c r="AF43" s="204"/>
      <c r="AG43" s="205" t="e">
        <f>SUM(AE42/AG41)</f>
        <v>#DIV/0!</v>
      </c>
      <c r="AH43" s="205"/>
      <c r="AI43" s="205" t="e">
        <f>SUM(AE42/AI41)</f>
        <v>#DIV/0!</v>
      </c>
      <c r="AJ43" s="205"/>
      <c r="AK43" s="205" t="e">
        <f>SUM(AE42/AK41)</f>
        <v>#DIV/0!</v>
      </c>
      <c r="AL43" s="206"/>
    </row>
    <row r="45" spans="2:38" x14ac:dyDescent="0.2">
      <c r="Y45" s="21"/>
      <c r="Z45" s="21"/>
      <c r="AA45" s="21"/>
      <c r="AB45" s="21"/>
      <c r="AC45" s="21"/>
      <c r="AD45" s="21"/>
      <c r="AE45" s="207"/>
      <c r="AF45" s="207"/>
      <c r="AG45" s="207"/>
      <c r="AH45" s="207"/>
      <c r="AI45" s="207"/>
      <c r="AJ45" s="207"/>
      <c r="AK45" s="207"/>
      <c r="AL45" s="207"/>
    </row>
    <row r="46" spans="2:38" ht="15" customHeight="1" x14ac:dyDescent="0.2">
      <c r="Y46" s="21"/>
      <c r="Z46" s="21"/>
      <c r="AA46" s="21"/>
      <c r="AB46" s="21"/>
      <c r="AC46" s="21"/>
      <c r="AD46" s="21"/>
      <c r="AE46" s="207"/>
      <c r="AF46" s="207"/>
      <c r="AG46" s="207"/>
      <c r="AH46" s="207"/>
      <c r="AI46" s="207"/>
      <c r="AJ46" s="207"/>
      <c r="AK46" s="207"/>
      <c r="AL46" s="207"/>
    </row>
    <row r="52" ht="15" customHeight="1" x14ac:dyDescent="0.2"/>
    <row r="58" ht="15" customHeight="1" x14ac:dyDescent="0.2"/>
  </sheetData>
  <mergeCells count="69">
    <mergeCell ref="AE46:AF46"/>
    <mergeCell ref="AG46:AH46"/>
    <mergeCell ref="AI46:AJ46"/>
    <mergeCell ref="AK46:AL46"/>
    <mergeCell ref="V43:AD43"/>
    <mergeCell ref="AE43:AF43"/>
    <mergeCell ref="AG43:AH43"/>
    <mergeCell ref="AI43:AJ43"/>
    <mergeCell ref="AK43:AL43"/>
    <mergeCell ref="AE45:AF45"/>
    <mergeCell ref="AG45:AH45"/>
    <mergeCell ref="AI45:AJ45"/>
    <mergeCell ref="AK45:AL45"/>
    <mergeCell ref="AE39:AF39"/>
    <mergeCell ref="AG39:AH39"/>
    <mergeCell ref="AI39:AJ39"/>
    <mergeCell ref="AK39:AL39"/>
    <mergeCell ref="V42:AD42"/>
    <mergeCell ref="AE42:AF42"/>
    <mergeCell ref="AG42:AH42"/>
    <mergeCell ref="AI42:AJ42"/>
    <mergeCell ref="AK42:AL42"/>
    <mergeCell ref="V41:AD41"/>
    <mergeCell ref="AE41:AF41"/>
    <mergeCell ref="AG41:AH41"/>
    <mergeCell ref="AI41:AJ41"/>
    <mergeCell ref="AK41:AL41"/>
    <mergeCell ref="AE37:AF37"/>
    <mergeCell ref="AG37:AH37"/>
    <mergeCell ref="AI37:AJ37"/>
    <mergeCell ref="AK37:AL37"/>
    <mergeCell ref="C38:T43"/>
    <mergeCell ref="V38:AD38"/>
    <mergeCell ref="AE38:AF38"/>
    <mergeCell ref="AG38:AH38"/>
    <mergeCell ref="AI38:AJ38"/>
    <mergeCell ref="AK38:AL38"/>
    <mergeCell ref="V40:AD40"/>
    <mergeCell ref="AE40:AF40"/>
    <mergeCell ref="AG40:AH40"/>
    <mergeCell ref="AI40:AJ40"/>
    <mergeCell ref="AK40:AL40"/>
    <mergeCell ref="V39:AD39"/>
    <mergeCell ref="C37:T37"/>
    <mergeCell ref="V37:AD37"/>
    <mergeCell ref="D11:F11"/>
    <mergeCell ref="G11:I11"/>
    <mergeCell ref="J11:L11"/>
    <mergeCell ref="M11:O11"/>
    <mergeCell ref="P11:R11"/>
    <mergeCell ref="S8:U8"/>
    <mergeCell ref="AJ8:AL10"/>
    <mergeCell ref="D10:AD10"/>
    <mergeCell ref="S11:U11"/>
    <mergeCell ref="V11:X11"/>
    <mergeCell ref="Y11:AA11"/>
    <mergeCell ref="AB11:AD11"/>
    <mergeCell ref="B2:AL2"/>
    <mergeCell ref="R4:V4"/>
    <mergeCell ref="C5:I5"/>
    <mergeCell ref="S5:U5"/>
    <mergeCell ref="AE5:AG7"/>
    <mergeCell ref="AH5:AI5"/>
    <mergeCell ref="C6:E6"/>
    <mergeCell ref="G6:I6"/>
    <mergeCell ref="S6:U6"/>
    <mergeCell ref="AH6:AI6"/>
    <mergeCell ref="S7:U7"/>
    <mergeCell ref="AH7:AI7"/>
  </mergeCells>
  <conditionalFormatting sqref="D13:AD36">
    <cfRule type="cellIs" priority="1" stopIfTrue="1" operator="lessThanOrEqual">
      <formula>$AJ$5</formula>
    </cfRule>
    <cfRule type="cellIs" dxfId="3" priority="2" operator="greaterThan">
      <formula>$AL$7</formula>
    </cfRule>
    <cfRule type="cellIs" dxfId="2" priority="3" operator="between">
      <formula>$AJ$7</formula>
      <formula>$AL$7</formula>
    </cfRule>
    <cfRule type="cellIs" dxfId="1" priority="4" operator="between">
      <formula>$AJ$6</formula>
      <formula>$AL$6</formula>
    </cfRule>
    <cfRule type="cellIs" dxfId="0" priority="5" operator="between">
      <formula>$AJ$5</formula>
      <formula>$AL$5</formula>
    </cfRule>
  </conditionalFormatting>
  <dataValidations count="1">
    <dataValidation type="list" allowBlank="1" showInputMessage="1" showErrorMessage="1" sqref="C13:C36" xr:uid="{DE6CF64F-529D-4640-9F2C-2AFA82F7F42A}">
      <formula1>$R$5:$R$8</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31BC0FDB-99A2-4EDE-90DB-DB1F95B9FD31}">
            <xm:f>NOT(ISERROR(SEARCH($R$8,C13)))</xm:f>
            <xm:f>$R$8</xm:f>
            <x14:dxf>
              <fill>
                <patternFill>
                  <bgColor rgb="FFFF9999"/>
                </patternFill>
              </fill>
            </x14:dxf>
          </x14:cfRule>
          <x14:cfRule type="containsText" priority="7" operator="containsText" id="{657759E4-2FBF-4F24-AEF4-6B08F418E8D9}">
            <xm:f>NOT(ISERROR(SEARCH($R$7,C13)))</xm:f>
            <xm:f>$R$7</xm:f>
            <x14:dxf>
              <fill>
                <patternFill>
                  <bgColor theme="5" tint="0.59996337778862885"/>
                </patternFill>
              </fill>
            </x14:dxf>
          </x14:cfRule>
          <x14:cfRule type="containsText" priority="8" operator="containsText" id="{ED77B905-F961-498B-9EF0-87FE5F06C180}">
            <xm:f>NOT(ISERROR(SEARCH($R$6,C13)))</xm:f>
            <xm:f>$R$6</xm:f>
            <x14:dxf>
              <fill>
                <patternFill>
                  <bgColor theme="9" tint="0.59996337778862885"/>
                </patternFill>
              </fill>
            </x14:dxf>
          </x14:cfRule>
          <x14:cfRule type="containsText" priority="9" operator="containsText" id="{CC109F42-8B5C-4A08-B5E3-58522BD0FA8D}">
            <xm:f>NOT(ISERROR(SEARCH($R$5,C13)))</xm:f>
            <xm:f>$R$5</xm:f>
            <x14:dxf>
              <fill>
                <patternFill>
                  <bgColor theme="8" tint="0.79998168889431442"/>
                </patternFill>
              </fill>
            </x14:dxf>
          </x14:cfRule>
          <xm:sqref>C13:C36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15</vt:i4>
      </vt:variant>
    </vt:vector>
  </HeadingPairs>
  <TitlesOfParts>
    <vt:vector size="15" baseType="lpstr">
      <vt:lpstr>Guidance</vt:lpstr>
      <vt:lpstr>Baseline</vt:lpstr>
      <vt:lpstr>Additional Needs</vt:lpstr>
      <vt:lpstr>Jan</vt:lpstr>
      <vt:lpstr>Feb</vt:lpstr>
      <vt:lpstr>Mar</vt:lpstr>
      <vt:lpstr>Apr</vt:lpstr>
      <vt:lpstr>May</vt:lpstr>
      <vt:lpstr>Jun</vt:lpstr>
      <vt:lpstr>Jul</vt:lpstr>
      <vt:lpstr>Aug</vt:lpstr>
      <vt:lpstr>Sep</vt:lpstr>
      <vt:lpstr>Oct</vt:lpstr>
      <vt:lpstr>Nov</vt:lpstr>
      <vt:lpstr>Dec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Cassie Phillips - Provider Quality Improvement Officer</dc:creator>
  <cp:lastModifiedBy>Cassie Phillips - Provider Quality Improvement Officer</cp:lastModifiedBy>
  <dcterms:created xsi:type="dcterms:W3CDTF">2024-09-04T13:28:20Z</dcterms:created>
  <dcterms:modified xsi:type="dcterms:W3CDTF">2026-01-28T10:17:46Z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d8be9e-c8d9-4b9c-bd40-2c27cc7ea2e6_Enabled">
    <vt:lpwstr>true</vt:lpwstr>
  </property>
  <property fmtid="{D5CDD505-2E9C-101B-9397-08002B2CF9AE}" pid="3" name="MSIP_Label_39d8be9e-c8d9-4b9c-bd40-2c27cc7ea2e6_SetDate">
    <vt:lpwstr>2024-09-04T15:06:24Z</vt:lpwstr>
  </property>
  <property fmtid="{D5CDD505-2E9C-101B-9397-08002B2CF9AE}" pid="4" name="MSIP_Label_39d8be9e-c8d9-4b9c-bd40-2c27cc7ea2e6_Method">
    <vt:lpwstr>Standard</vt:lpwstr>
  </property>
  <property fmtid="{D5CDD505-2E9C-101B-9397-08002B2CF9AE}" pid="5" name="MSIP_Label_39d8be9e-c8d9-4b9c-bd40-2c27cc7ea2e6_Name">
    <vt:lpwstr>39d8be9e-c8d9-4b9c-bd40-2c27cc7ea2e6</vt:lpwstr>
  </property>
  <property fmtid="{D5CDD505-2E9C-101B-9397-08002B2CF9AE}" pid="6" name="MSIP_Label_39d8be9e-c8d9-4b9c-bd40-2c27cc7ea2e6_SiteId">
    <vt:lpwstr>a8b4324f-155c-4215-a0f1-7ed8cc9a992f</vt:lpwstr>
  </property>
  <property fmtid="{D5CDD505-2E9C-101B-9397-08002B2CF9AE}" pid="7" name="MSIP_Label_39d8be9e-c8d9-4b9c-bd40-2c27cc7ea2e6_ActionId">
    <vt:lpwstr>e3241196-6b42-4199-9e09-a6b977ac6c01</vt:lpwstr>
  </property>
  <property fmtid="{D5CDD505-2E9C-101B-9397-08002B2CF9AE}" pid="8" name="MSIP_Label_39d8be9e-c8d9-4b9c-bd40-2c27cc7ea2e6_ContentBits">
    <vt:lpwstr>0</vt:lpwstr>
  </property>
</Properties>
</file>